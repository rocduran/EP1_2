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activeX/activeX1.bin" ContentType="application/vnd.ms-office.activeX"/>
  <Override PartName="/xl/charts/chart2.xml" ContentType="application/vnd.openxmlformats-officedocument.drawingml.char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CF7912D4-E1FB-CFBD-DB76-401B14FF14DE}"/>
  <workbookPr filterPrivacy="1" codeName="ThisWorkbook" defaultThemeVersion="124226"/>
  <bookViews>
    <workbookView xWindow="360" yWindow="300" windowWidth="14880" windowHeight="7815" activeTab="1"/>
  </bookViews>
  <sheets>
    <sheet name="DADES" sheetId="13" r:id="rId1"/>
    <sheet name="EXERCICI_1" sheetId="12" r:id="rId2"/>
  </sheets>
  <definedNames>
    <definedName name="_xlnm._FilterDatabase" localSheetId="1" hidden="1">EXERCICI_1!$A$1:$E$4222</definedName>
    <definedName name="DatosExternos_1" localSheetId="0" hidden="1">DADES!$A$1:$H$1623</definedName>
    <definedName name="DatosExternos_2" localSheetId="0" hidden="1">DADES!$K$1:$P$1781</definedName>
  </definedNames>
  <calcPr calcId="125725"/>
</workbook>
</file>

<file path=xl/calcChain.xml><?xml version="1.0" encoding="utf-8"?>
<calcChain xmlns="http://schemas.openxmlformats.org/spreadsheetml/2006/main">
  <c r="K16" i="12"/>
  <c r="K3"/>
  <c r="K128"/>
  <c r="K129"/>
  <c r="K130"/>
  <c r="K131"/>
  <c r="K17"/>
  <c r="K18"/>
  <c r="K19"/>
  <c r="K20"/>
  <c r="K177"/>
  <c r="K178"/>
  <c r="K179"/>
  <c r="K180"/>
  <c r="K181"/>
  <c r="K182"/>
  <c r="K183"/>
  <c r="K184"/>
  <c r="K185"/>
  <c r="K186"/>
  <c r="K187"/>
  <c r="K188"/>
  <c r="K189"/>
  <c r="K340"/>
  <c r="K1664"/>
  <c r="K1665"/>
  <c r="K1666"/>
  <c r="K509"/>
  <c r="K1089"/>
  <c r="K1090"/>
  <c r="K1091"/>
  <c r="K510"/>
  <c r="K511"/>
  <c r="K512"/>
  <c r="K1092"/>
  <c r="K407"/>
  <c r="K1667"/>
  <c r="K1093"/>
  <c r="K1612"/>
  <c r="K911"/>
  <c r="K513"/>
  <c r="K514"/>
  <c r="K515"/>
  <c r="K516"/>
  <c r="K912"/>
  <c r="K408"/>
  <c r="K1094"/>
  <c r="K1095"/>
  <c r="K1096"/>
  <c r="K1097"/>
  <c r="K1098"/>
  <c r="K341"/>
  <c r="K894"/>
  <c r="K793"/>
  <c r="K1532"/>
  <c r="K517"/>
  <c r="K518"/>
  <c r="K1613"/>
  <c r="K382"/>
  <c r="K704"/>
  <c r="K781"/>
  <c r="K383"/>
  <c r="K342"/>
  <c r="K343"/>
  <c r="K519"/>
  <c r="K520"/>
  <c r="K1099"/>
  <c r="K521"/>
  <c r="K1100"/>
  <c r="K1101"/>
  <c r="K522"/>
  <c r="K523"/>
  <c r="K524"/>
  <c r="K525"/>
  <c r="K1102"/>
  <c r="K1103"/>
  <c r="K1614"/>
  <c r="K1615"/>
  <c r="K895"/>
  <c r="K1616"/>
  <c r="K913"/>
  <c r="K914"/>
  <c r="K915"/>
  <c r="K916"/>
  <c r="K917"/>
  <c r="K918"/>
  <c r="K919"/>
  <c r="K920"/>
  <c r="K526"/>
  <c r="K527"/>
  <c r="K528"/>
  <c r="K529"/>
  <c r="K530"/>
  <c r="K531"/>
  <c r="K532"/>
  <c r="K533"/>
  <c r="K921"/>
  <c r="K922"/>
  <c r="K1104"/>
  <c r="K923"/>
  <c r="K344"/>
  <c r="K534"/>
  <c r="K794"/>
  <c r="K924"/>
  <c r="K409"/>
  <c r="K410"/>
  <c r="K411"/>
  <c r="K1105"/>
  <c r="K1106"/>
  <c r="K412"/>
  <c r="K413"/>
  <c r="K535"/>
  <c r="K1107"/>
  <c r="K925"/>
  <c r="K926"/>
  <c r="K927"/>
  <c r="K928"/>
  <c r="K795"/>
  <c r="K536"/>
  <c r="K1739"/>
  <c r="K537"/>
  <c r="K345"/>
  <c r="K929"/>
  <c r="K1108"/>
  <c r="K705"/>
  <c r="K1109"/>
  <c r="K496"/>
  <c r="K538"/>
  <c r="K706"/>
  <c r="K1110"/>
  <c r="K1111"/>
  <c r="K1112"/>
  <c r="K539"/>
  <c r="K540"/>
  <c r="K707"/>
  <c r="K414"/>
  <c r="K1113"/>
  <c r="K415"/>
  <c r="K416"/>
  <c r="K930"/>
  <c r="K931"/>
  <c r="K1114"/>
  <c r="K1115"/>
  <c r="K541"/>
  <c r="K542"/>
  <c r="K932"/>
  <c r="K933"/>
  <c r="K796"/>
  <c r="K797"/>
  <c r="K798"/>
  <c r="K799"/>
  <c r="K1116"/>
  <c r="K934"/>
  <c r="K896"/>
  <c r="K543"/>
  <c r="K897"/>
  <c r="K898"/>
  <c r="K1117"/>
  <c r="K544"/>
  <c r="K1617"/>
  <c r="K800"/>
  <c r="K1533"/>
  <c r="K801"/>
  <c r="K708"/>
  <c r="K935"/>
  <c r="K21"/>
  <c r="K22"/>
  <c r="K23"/>
  <c r="K24"/>
  <c r="K4"/>
  <c r="K132"/>
  <c r="K133"/>
  <c r="K134"/>
  <c r="K135"/>
  <c r="K25"/>
  <c r="K26"/>
  <c r="K27"/>
  <c r="K28"/>
  <c r="K190"/>
  <c r="K191"/>
  <c r="K192"/>
  <c r="K193"/>
  <c r="K194"/>
  <c r="K195"/>
  <c r="K196"/>
  <c r="K197"/>
  <c r="K198"/>
  <c r="K199"/>
  <c r="K200"/>
  <c r="K201"/>
  <c r="K202"/>
  <c r="K384"/>
  <c r="K709"/>
  <c r="K385"/>
  <c r="K710"/>
  <c r="K782"/>
  <c r="K545"/>
  <c r="K1668"/>
  <c r="K1118"/>
  <c r="K1669"/>
  <c r="K1754"/>
  <c r="K1670"/>
  <c r="K1119"/>
  <c r="K1120"/>
  <c r="K1121"/>
  <c r="K546"/>
  <c r="K1122"/>
  <c r="K1671"/>
  <c r="K1123"/>
  <c r="K1672"/>
  <c r="K1673"/>
  <c r="K1124"/>
  <c r="K346"/>
  <c r="K547"/>
  <c r="K1125"/>
  <c r="K1618"/>
  <c r="K1619"/>
  <c r="K1620"/>
  <c r="K936"/>
  <c r="K548"/>
  <c r="K549"/>
  <c r="K937"/>
  <c r="K938"/>
  <c r="K939"/>
  <c r="K550"/>
  <c r="K1766"/>
  <c r="K551"/>
  <c r="K1714"/>
  <c r="K552"/>
  <c r="K553"/>
  <c r="K554"/>
  <c r="K940"/>
  <c r="K1126"/>
  <c r="K555"/>
  <c r="K802"/>
  <c r="K941"/>
  <c r="K417"/>
  <c r="K1127"/>
  <c r="K1128"/>
  <c r="K418"/>
  <c r="K556"/>
  <c r="K942"/>
  <c r="K943"/>
  <c r="K944"/>
  <c r="K803"/>
  <c r="K557"/>
  <c r="K558"/>
  <c r="K945"/>
  <c r="K1129"/>
  <c r="K946"/>
  <c r="K559"/>
  <c r="K347"/>
  <c r="K560"/>
  <c r="K561"/>
  <c r="K1130"/>
  <c r="K348"/>
  <c r="K1131"/>
  <c r="K804"/>
  <c r="K805"/>
  <c r="K947"/>
  <c r="K948"/>
  <c r="K949"/>
  <c r="K711"/>
  <c r="K1132"/>
  <c r="K1715"/>
  <c r="K1133"/>
  <c r="K1134"/>
  <c r="K1135"/>
  <c r="K1136"/>
  <c r="K497"/>
  <c r="K712"/>
  <c r="K806"/>
  <c r="K1137"/>
  <c r="K1534"/>
  <c r="K349"/>
  <c r="K950"/>
  <c r="K713"/>
  <c r="K419"/>
  <c r="K420"/>
  <c r="K421"/>
  <c r="K422"/>
  <c r="K423"/>
  <c r="K1138"/>
  <c r="K1139"/>
  <c r="K350"/>
  <c r="K1140"/>
  <c r="K714"/>
  <c r="K1697"/>
  <c r="K1141"/>
  <c r="K1142"/>
  <c r="K351"/>
  <c r="K1143"/>
  <c r="K1144"/>
  <c r="K1145"/>
  <c r="K1146"/>
  <c r="K1147"/>
  <c r="K951"/>
  <c r="K952"/>
  <c r="K953"/>
  <c r="K562"/>
  <c r="K1148"/>
  <c r="K352"/>
  <c r="K1755"/>
  <c r="K563"/>
  <c r="K1698"/>
  <c r="K1699"/>
  <c r="K1149"/>
  <c r="K1150"/>
  <c r="K1151"/>
  <c r="K954"/>
  <c r="K1152"/>
  <c r="K1153"/>
  <c r="K1154"/>
  <c r="K1155"/>
  <c r="K1156"/>
  <c r="K1157"/>
  <c r="K1158"/>
  <c r="K1159"/>
  <c r="K1160"/>
  <c r="K1161"/>
  <c r="K1162"/>
  <c r="K1163"/>
  <c r="K1164"/>
  <c r="K1165"/>
  <c r="K1166"/>
  <c r="K955"/>
  <c r="K1167"/>
  <c r="K1621"/>
  <c r="K1622"/>
  <c r="K956"/>
  <c r="K807"/>
  <c r="K1535"/>
  <c r="K564"/>
  <c r="K808"/>
  <c r="K715"/>
  <c r="K1674"/>
  <c r="K29"/>
  <c r="K30"/>
  <c r="K31"/>
  <c r="K32"/>
  <c r="K33"/>
  <c r="K5"/>
  <c r="K136"/>
  <c r="K137"/>
  <c r="K138"/>
  <c r="K139"/>
  <c r="K34"/>
  <c r="K35"/>
  <c r="K36"/>
  <c r="K37"/>
  <c r="K38"/>
  <c r="K203"/>
  <c r="K204"/>
  <c r="K205"/>
  <c r="K206"/>
  <c r="K207"/>
  <c r="K208"/>
  <c r="K209"/>
  <c r="K210"/>
  <c r="K211"/>
  <c r="K212"/>
  <c r="K213"/>
  <c r="K214"/>
  <c r="K215"/>
  <c r="K716"/>
  <c r="K717"/>
  <c r="K718"/>
  <c r="K386"/>
  <c r="K719"/>
  <c r="K783"/>
  <c r="K387"/>
  <c r="K1675"/>
  <c r="K1168"/>
  <c r="K957"/>
  <c r="K958"/>
  <c r="K1716"/>
  <c r="K2"/>
  <c r="K1169"/>
  <c r="K1170"/>
  <c r="K1171"/>
  <c r="K353"/>
  <c r="K1172"/>
  <c r="K565"/>
  <c r="K424"/>
  <c r="K1676"/>
  <c r="K1173"/>
  <c r="K1174"/>
  <c r="K1175"/>
  <c r="K959"/>
  <c r="K1623"/>
  <c r="K1624"/>
  <c r="K1625"/>
  <c r="K1626"/>
  <c r="K1627"/>
  <c r="K1536"/>
  <c r="K960"/>
  <c r="K566"/>
  <c r="K567"/>
  <c r="K568"/>
  <c r="K569"/>
  <c r="K570"/>
  <c r="K571"/>
  <c r="K572"/>
  <c r="K573"/>
  <c r="K574"/>
  <c r="K575"/>
  <c r="K576"/>
  <c r="K577"/>
  <c r="K961"/>
  <c r="K578"/>
  <c r="K579"/>
  <c r="K962"/>
  <c r="K963"/>
  <c r="K1176"/>
  <c r="K1177"/>
  <c r="K580"/>
  <c r="K1178"/>
  <c r="K1179"/>
  <c r="K1180"/>
  <c r="K425"/>
  <c r="K964"/>
  <c r="K965"/>
  <c r="K966"/>
  <c r="K967"/>
  <c r="K968"/>
  <c r="K1717"/>
  <c r="K1767"/>
  <c r="K1181"/>
  <c r="K354"/>
  <c r="K355"/>
  <c r="K581"/>
  <c r="K582"/>
  <c r="K583"/>
  <c r="K584"/>
  <c r="K585"/>
  <c r="K586"/>
  <c r="K587"/>
  <c r="K588"/>
  <c r="K809"/>
  <c r="K810"/>
  <c r="K1718"/>
  <c r="K1182"/>
  <c r="K720"/>
  <c r="K1183"/>
  <c r="K498"/>
  <c r="K969"/>
  <c r="K721"/>
  <c r="K1184"/>
  <c r="K811"/>
  <c r="K1185"/>
  <c r="K722"/>
  <c r="K1186"/>
  <c r="K1187"/>
  <c r="K970"/>
  <c r="K723"/>
  <c r="K426"/>
  <c r="K1756"/>
  <c r="K1757"/>
  <c r="K1677"/>
  <c r="K589"/>
  <c r="K427"/>
  <c r="K428"/>
  <c r="K429"/>
  <c r="K1188"/>
  <c r="K1189"/>
  <c r="K1190"/>
  <c r="K1191"/>
  <c r="K590"/>
  <c r="K591"/>
  <c r="K724"/>
  <c r="K430"/>
  <c r="K971"/>
  <c r="K1740"/>
  <c r="K592"/>
  <c r="K356"/>
  <c r="K1192"/>
  <c r="K972"/>
  <c r="K1193"/>
  <c r="K725"/>
  <c r="K1537"/>
  <c r="K812"/>
  <c r="K726"/>
  <c r="K593"/>
  <c r="K1194"/>
  <c r="K1195"/>
  <c r="K1695"/>
  <c r="K1628"/>
  <c r="K594"/>
  <c r="K595"/>
  <c r="K596"/>
  <c r="K597"/>
  <c r="K973"/>
  <c r="K598"/>
  <c r="K727"/>
  <c r="K388"/>
  <c r="K39"/>
  <c r="K40"/>
  <c r="K41"/>
  <c r="K42"/>
  <c r="K43"/>
  <c r="K6"/>
  <c r="K140"/>
  <c r="K141"/>
  <c r="K142"/>
  <c r="K143"/>
  <c r="K44"/>
  <c r="K45"/>
  <c r="K46"/>
  <c r="K47"/>
  <c r="K216"/>
  <c r="K217"/>
  <c r="K218"/>
  <c r="K219"/>
  <c r="K220"/>
  <c r="K221"/>
  <c r="K222"/>
  <c r="K223"/>
  <c r="K224"/>
  <c r="K225"/>
  <c r="K226"/>
  <c r="K227"/>
  <c r="K228"/>
  <c r="K784"/>
  <c r="K389"/>
  <c r="K599"/>
  <c r="K1719"/>
  <c r="K1780"/>
  <c r="K1678"/>
  <c r="K1196"/>
  <c r="K1197"/>
  <c r="K1198"/>
  <c r="K1199"/>
  <c r="K1200"/>
  <c r="K1201"/>
  <c r="K1202"/>
  <c r="K1768"/>
  <c r="K1203"/>
  <c r="K1204"/>
  <c r="K974"/>
  <c r="K1205"/>
  <c r="K1206"/>
  <c r="K600"/>
  <c r="K1679"/>
  <c r="K975"/>
  <c r="K1629"/>
  <c r="K1538"/>
  <c r="K976"/>
  <c r="K977"/>
  <c r="K978"/>
  <c r="K979"/>
  <c r="K980"/>
  <c r="K601"/>
  <c r="K602"/>
  <c r="K981"/>
  <c r="K1207"/>
  <c r="K1208"/>
  <c r="K603"/>
  <c r="K982"/>
  <c r="K604"/>
  <c r="K983"/>
  <c r="K984"/>
  <c r="K813"/>
  <c r="K1209"/>
  <c r="K1210"/>
  <c r="K431"/>
  <c r="K508"/>
  <c r="K432"/>
  <c r="K605"/>
  <c r="K433"/>
  <c r="K985"/>
  <c r="K986"/>
  <c r="K987"/>
  <c r="K988"/>
  <c r="K989"/>
  <c r="K990"/>
  <c r="K991"/>
  <c r="K992"/>
  <c r="K993"/>
  <c r="K814"/>
  <c r="K1769"/>
  <c r="K815"/>
  <c r="K816"/>
  <c r="K994"/>
  <c r="K995"/>
  <c r="K606"/>
  <c r="K817"/>
  <c r="K728"/>
  <c r="K996"/>
  <c r="K997"/>
  <c r="K998"/>
  <c r="K1211"/>
  <c r="K607"/>
  <c r="K1212"/>
  <c r="K729"/>
  <c r="K357"/>
  <c r="K1213"/>
  <c r="K499"/>
  <c r="K730"/>
  <c r="K1539"/>
  <c r="K1214"/>
  <c r="K818"/>
  <c r="K1215"/>
  <c r="K1216"/>
  <c r="K1217"/>
  <c r="K819"/>
  <c r="K1218"/>
  <c r="K999"/>
  <c r="K1000"/>
  <c r="K1700"/>
  <c r="K731"/>
  <c r="K434"/>
  <c r="K1540"/>
  <c r="K1541"/>
  <c r="K435"/>
  <c r="K436"/>
  <c r="K437"/>
  <c r="K1001"/>
  <c r="K1219"/>
  <c r="K1002"/>
  <c r="K1758"/>
  <c r="K1220"/>
  <c r="K1221"/>
  <c r="K1701"/>
  <c r="K1003"/>
  <c r="K1004"/>
  <c r="K608"/>
  <c r="K820"/>
  <c r="K821"/>
  <c r="K822"/>
  <c r="K1005"/>
  <c r="K823"/>
  <c r="K1770"/>
  <c r="K1222"/>
  <c r="K1006"/>
  <c r="K1007"/>
  <c r="K1223"/>
  <c r="K358"/>
  <c r="K899"/>
  <c r="K900"/>
  <c r="K901"/>
  <c r="K902"/>
  <c r="K1224"/>
  <c r="K1225"/>
  <c r="K732"/>
  <c r="K824"/>
  <c r="K733"/>
  <c r="K1630"/>
  <c r="K229"/>
  <c r="K230"/>
  <c r="K231"/>
  <c r="K232"/>
  <c r="K233"/>
  <c r="K234"/>
  <c r="K235"/>
  <c r="K236"/>
  <c r="K237"/>
  <c r="K48"/>
  <c r="K49"/>
  <c r="K50"/>
  <c r="K51"/>
  <c r="K52"/>
  <c r="K7"/>
  <c r="K144"/>
  <c r="K145"/>
  <c r="K146"/>
  <c r="K147"/>
  <c r="K148"/>
  <c r="K53"/>
  <c r="K54"/>
  <c r="K55"/>
  <c r="K56"/>
  <c r="K238"/>
  <c r="K239"/>
  <c r="K240"/>
  <c r="K241"/>
  <c r="K242"/>
  <c r="K243"/>
  <c r="K244"/>
  <c r="K245"/>
  <c r="K246"/>
  <c r="K247"/>
  <c r="K248"/>
  <c r="K249"/>
  <c r="K250"/>
  <c r="K390"/>
  <c r="K734"/>
  <c r="K785"/>
  <c r="K391"/>
  <c r="K1759"/>
  <c r="K609"/>
  <c r="K610"/>
  <c r="K611"/>
  <c r="K1226"/>
  <c r="K1227"/>
  <c r="K1228"/>
  <c r="K1229"/>
  <c r="K1230"/>
  <c r="K1231"/>
  <c r="K612"/>
  <c r="K1232"/>
  <c r="K613"/>
  <c r="K1680"/>
  <c r="K1233"/>
  <c r="K1234"/>
  <c r="K614"/>
  <c r="K615"/>
  <c r="K1235"/>
  <c r="K1236"/>
  <c r="K1008"/>
  <c r="K1542"/>
  <c r="K1631"/>
  <c r="K1632"/>
  <c r="K1009"/>
  <c r="K1543"/>
  <c r="K1544"/>
  <c r="K1545"/>
  <c r="K1546"/>
  <c r="K1511"/>
  <c r="K1010"/>
  <c r="K1512"/>
  <c r="K1771"/>
  <c r="K1011"/>
  <c r="K616"/>
  <c r="K617"/>
  <c r="K1012"/>
  <c r="K618"/>
  <c r="K1547"/>
  <c r="K1513"/>
  <c r="K1237"/>
  <c r="K1013"/>
  <c r="K1014"/>
  <c r="K1238"/>
  <c r="K1015"/>
  <c r="K825"/>
  <c r="K826"/>
  <c r="K619"/>
  <c r="K1016"/>
  <c r="K438"/>
  <c r="K1239"/>
  <c r="K1240"/>
  <c r="K439"/>
  <c r="K1720"/>
  <c r="K1721"/>
  <c r="K1017"/>
  <c r="K1018"/>
  <c r="K827"/>
  <c r="K1019"/>
  <c r="K1548"/>
  <c r="K1514"/>
  <c r="K1549"/>
  <c r="K1550"/>
  <c r="K1551"/>
  <c r="K1020"/>
  <c r="K1021"/>
  <c r="K57"/>
  <c r="K1741"/>
  <c r="K1742"/>
  <c r="K1022"/>
  <c r="K1722"/>
  <c r="K620"/>
  <c r="K359"/>
  <c r="K1023"/>
  <c r="K621"/>
  <c r="K1723"/>
  <c r="K1024"/>
  <c r="K1241"/>
  <c r="K360"/>
  <c r="K1552"/>
  <c r="K1242"/>
  <c r="K1243"/>
  <c r="K500"/>
  <c r="K1025"/>
  <c r="K735"/>
  <c r="K1244"/>
  <c r="K1026"/>
  <c r="K828"/>
  <c r="K829"/>
  <c r="K1245"/>
  <c r="K1027"/>
  <c r="K440"/>
  <c r="K441"/>
  <c r="K442"/>
  <c r="K443"/>
  <c r="K830"/>
  <c r="K831"/>
  <c r="K444"/>
  <c r="K1246"/>
  <c r="K1247"/>
  <c r="K1248"/>
  <c r="K1553"/>
  <c r="K1554"/>
  <c r="K361"/>
  <c r="K1249"/>
  <c r="K1028"/>
  <c r="K1029"/>
  <c r="K1030"/>
  <c r="K832"/>
  <c r="K833"/>
  <c r="K834"/>
  <c r="K1772"/>
  <c r="K1250"/>
  <c r="K1031"/>
  <c r="K1251"/>
  <c r="K1252"/>
  <c r="K1253"/>
  <c r="K1724"/>
  <c r="K1254"/>
  <c r="K1255"/>
  <c r="K835"/>
  <c r="K903"/>
  <c r="K836"/>
  <c r="K736"/>
  <c r="K1256"/>
  <c r="K1257"/>
  <c r="K1258"/>
  <c r="K1259"/>
  <c r="K1260"/>
  <c r="K362"/>
  <c r="K1261"/>
  <c r="K1262"/>
  <c r="K1263"/>
  <c r="K1264"/>
  <c r="K1265"/>
  <c r="K363"/>
  <c r="K1266"/>
  <c r="K1267"/>
  <c r="K1268"/>
  <c r="K1269"/>
  <c r="K1270"/>
  <c r="K1271"/>
  <c r="K1272"/>
  <c r="K1273"/>
  <c r="K1274"/>
  <c r="K1275"/>
  <c r="K1276"/>
  <c r="K1277"/>
  <c r="K1278"/>
  <c r="K1279"/>
  <c r="K1280"/>
  <c r="K1281"/>
  <c r="K1282"/>
  <c r="K1283"/>
  <c r="K1284"/>
  <c r="K1285"/>
  <c r="K1633"/>
  <c r="K1634"/>
  <c r="K1696"/>
  <c r="K1635"/>
  <c r="K1032"/>
  <c r="K1033"/>
  <c r="K837"/>
  <c r="K838"/>
  <c r="K737"/>
  <c r="K1555"/>
  <c r="K58"/>
  <c r="K59"/>
  <c r="K60"/>
  <c r="K61"/>
  <c r="K62"/>
  <c r="K8"/>
  <c r="K149"/>
  <c r="K150"/>
  <c r="K151"/>
  <c r="K152"/>
  <c r="K153"/>
  <c r="K63"/>
  <c r="K64"/>
  <c r="K65"/>
  <c r="K66"/>
  <c r="K251"/>
  <c r="K252"/>
  <c r="K253"/>
  <c r="K254"/>
  <c r="K255"/>
  <c r="K256"/>
  <c r="K257"/>
  <c r="K258"/>
  <c r="K259"/>
  <c r="K260"/>
  <c r="K261"/>
  <c r="K262"/>
  <c r="K263"/>
  <c r="K738"/>
  <c r="K392"/>
  <c r="K786"/>
  <c r="K393"/>
  <c r="K622"/>
  <c r="K1286"/>
  <c r="K1287"/>
  <c r="K1288"/>
  <c r="K1681"/>
  <c r="K623"/>
  <c r="K624"/>
  <c r="K1034"/>
  <c r="K1035"/>
  <c r="K1636"/>
  <c r="K1637"/>
  <c r="K1638"/>
  <c r="K1639"/>
  <c r="K1556"/>
  <c r="K1515"/>
  <c r="K1516"/>
  <c r="K1517"/>
  <c r="K1518"/>
  <c r="K1519"/>
  <c r="K625"/>
  <c r="K626"/>
  <c r="K1743"/>
  <c r="K627"/>
  <c r="K628"/>
  <c r="K1036"/>
  <c r="K1289"/>
  <c r="K1290"/>
  <c r="K1037"/>
  <c r="K629"/>
  <c r="K1038"/>
  <c r="K839"/>
  <c r="K1291"/>
  <c r="K1292"/>
  <c r="K1293"/>
  <c r="K445"/>
  <c r="K446"/>
  <c r="K1557"/>
  <c r="K1520"/>
  <c r="K1558"/>
  <c r="K1559"/>
  <c r="K1560"/>
  <c r="K840"/>
  <c r="K1294"/>
  <c r="K1744"/>
  <c r="K1725"/>
  <c r="K630"/>
  <c r="K364"/>
  <c r="K365"/>
  <c r="K1561"/>
  <c r="K1562"/>
  <c r="K1563"/>
  <c r="K1564"/>
  <c r="K1565"/>
  <c r="K1566"/>
  <c r="K631"/>
  <c r="K1567"/>
  <c r="K1568"/>
  <c r="K1569"/>
  <c r="K1295"/>
  <c r="K501"/>
  <c r="K1773"/>
  <c r="K366"/>
  <c r="K1296"/>
  <c r="K367"/>
  <c r="K1297"/>
  <c r="K447"/>
  <c r="K739"/>
  <c r="K1298"/>
  <c r="K448"/>
  <c r="K1299"/>
  <c r="K449"/>
  <c r="K450"/>
  <c r="K451"/>
  <c r="K452"/>
  <c r="K1300"/>
  <c r="K1301"/>
  <c r="K1302"/>
  <c r="K368"/>
  <c r="K1303"/>
  <c r="K1039"/>
  <c r="K1304"/>
  <c r="K632"/>
  <c r="K1702"/>
  <c r="K1570"/>
  <c r="K1305"/>
  <c r="K1306"/>
  <c r="K1040"/>
  <c r="K369"/>
  <c r="K370"/>
  <c r="K371"/>
  <c r="K904"/>
  <c r="K1571"/>
  <c r="K1041"/>
  <c r="K1042"/>
  <c r="K1307"/>
  <c r="K740"/>
  <c r="K841"/>
  <c r="K741"/>
  <c r="K1640"/>
  <c r="K633"/>
  <c r="K634"/>
  <c r="K1572"/>
  <c r="K1573"/>
  <c r="K394"/>
  <c r="K742"/>
  <c r="K67"/>
  <c r="K68"/>
  <c r="K69"/>
  <c r="K70"/>
  <c r="K71"/>
  <c r="K9"/>
  <c r="K154"/>
  <c r="K155"/>
  <c r="K156"/>
  <c r="K72"/>
  <c r="K73"/>
  <c r="K74"/>
  <c r="K75"/>
  <c r="K264"/>
  <c r="K265"/>
  <c r="K266"/>
  <c r="K267"/>
  <c r="K268"/>
  <c r="K269"/>
  <c r="K270"/>
  <c r="K271"/>
  <c r="K272"/>
  <c r="K273"/>
  <c r="K274"/>
  <c r="K275"/>
  <c r="K787"/>
  <c r="K395"/>
  <c r="K1641"/>
  <c r="K743"/>
  <c r="K744"/>
  <c r="K745"/>
  <c r="K746"/>
  <c r="K747"/>
  <c r="K1760"/>
  <c r="K1745"/>
  <c r="K1308"/>
  <c r="K1682"/>
  <c r="K1642"/>
  <c r="K1643"/>
  <c r="K635"/>
  <c r="K1309"/>
  <c r="K1310"/>
  <c r="K636"/>
  <c r="K1311"/>
  <c r="K1043"/>
  <c r="K842"/>
  <c r="K637"/>
  <c r="K1044"/>
  <c r="K1312"/>
  <c r="K1313"/>
  <c r="K453"/>
  <c r="K638"/>
  <c r="K454"/>
  <c r="K843"/>
  <c r="K1574"/>
  <c r="K844"/>
  <c r="K845"/>
  <c r="K639"/>
  <c r="K1314"/>
  <c r="K1315"/>
  <c r="K640"/>
  <c r="K502"/>
  <c r="K846"/>
  <c r="K1316"/>
  <c r="K847"/>
  <c r="K641"/>
  <c r="K1317"/>
  <c r="K848"/>
  <c r="K455"/>
  <c r="K456"/>
  <c r="K457"/>
  <c r="K458"/>
  <c r="K1318"/>
  <c r="K1703"/>
  <c r="K1319"/>
  <c r="K1045"/>
  <c r="K459"/>
  <c r="K1320"/>
  <c r="K1321"/>
  <c r="K748"/>
  <c r="K396"/>
  <c r="K788"/>
  <c r="K76"/>
  <c r="K77"/>
  <c r="K78"/>
  <c r="K79"/>
  <c r="K80"/>
  <c r="K10"/>
  <c r="K157"/>
  <c r="K158"/>
  <c r="K159"/>
  <c r="K81"/>
  <c r="K82"/>
  <c r="K83"/>
  <c r="K84"/>
  <c r="K276"/>
  <c r="K277"/>
  <c r="K278"/>
  <c r="K279"/>
  <c r="K280"/>
  <c r="K281"/>
  <c r="K282"/>
  <c r="K283"/>
  <c r="K284"/>
  <c r="K285"/>
  <c r="K286"/>
  <c r="K287"/>
  <c r="K397"/>
  <c r="K749"/>
  <c r="K1322"/>
  <c r="K1323"/>
  <c r="K1324"/>
  <c r="K1325"/>
  <c r="K1326"/>
  <c r="K1327"/>
  <c r="K1328"/>
  <c r="K1329"/>
  <c r="K642"/>
  <c r="K1330"/>
  <c r="K1331"/>
  <c r="K1332"/>
  <c r="K1046"/>
  <c r="K1774"/>
  <c r="K372"/>
  <c r="K1333"/>
  <c r="K1334"/>
  <c r="K1644"/>
  <c r="K1645"/>
  <c r="K1646"/>
  <c r="K1647"/>
  <c r="K398"/>
  <c r="K399"/>
  <c r="K643"/>
  <c r="K1575"/>
  <c r="K644"/>
  <c r="K645"/>
  <c r="K646"/>
  <c r="K647"/>
  <c r="K648"/>
  <c r="K1335"/>
  <c r="K1336"/>
  <c r="K1337"/>
  <c r="K1338"/>
  <c r="K460"/>
  <c r="K461"/>
  <c r="K1576"/>
  <c r="K1577"/>
  <c r="K849"/>
  <c r="K1578"/>
  <c r="K649"/>
  <c r="K1339"/>
  <c r="K850"/>
  <c r="K1579"/>
  <c r="K1340"/>
  <c r="K503"/>
  <c r="K1047"/>
  <c r="K750"/>
  <c r="K462"/>
  <c r="K463"/>
  <c r="K464"/>
  <c r="K1341"/>
  <c r="K373"/>
  <c r="K1048"/>
  <c r="K1049"/>
  <c r="K1342"/>
  <c r="K851"/>
  <c r="K1704"/>
  <c r="K751"/>
  <c r="K650"/>
  <c r="K852"/>
  <c r="K1521"/>
  <c r="K1765"/>
  <c r="K1580"/>
  <c r="K1779"/>
  <c r="K1522"/>
  <c r="K1581"/>
  <c r="K1343"/>
  <c r="K1344"/>
  <c r="K1345"/>
  <c r="K1346"/>
  <c r="K1347"/>
  <c r="K1348"/>
  <c r="K1349"/>
  <c r="K1350"/>
  <c r="K1351"/>
  <c r="K1352"/>
  <c r="K1353"/>
  <c r="K1354"/>
  <c r="K1355"/>
  <c r="K85"/>
  <c r="K86"/>
  <c r="K87"/>
  <c r="K88"/>
  <c r="K89"/>
  <c r="K90"/>
  <c r="K11"/>
  <c r="K160"/>
  <c r="K161"/>
  <c r="K162"/>
  <c r="K163"/>
  <c r="K91"/>
  <c r="K92"/>
  <c r="K93"/>
  <c r="K94"/>
  <c r="K95"/>
  <c r="K96"/>
  <c r="K288"/>
  <c r="K289"/>
  <c r="K290"/>
  <c r="K291"/>
  <c r="K292"/>
  <c r="K293"/>
  <c r="K294"/>
  <c r="K295"/>
  <c r="K296"/>
  <c r="K297"/>
  <c r="K298"/>
  <c r="K299"/>
  <c r="K300"/>
  <c r="K400"/>
  <c r="K752"/>
  <c r="K789"/>
  <c r="K401"/>
  <c r="K753"/>
  <c r="K1523"/>
  <c r="K1582"/>
  <c r="K1524"/>
  <c r="K1583"/>
  <c r="K1525"/>
  <c r="K1356"/>
  <c r="K651"/>
  <c r="K1357"/>
  <c r="K465"/>
  <c r="K1358"/>
  <c r="K1359"/>
  <c r="K1683"/>
  <c r="K1684"/>
  <c r="K652"/>
  <c r="K1775"/>
  <c r="K1360"/>
  <c r="K1361"/>
  <c r="K1362"/>
  <c r="K1648"/>
  <c r="K1649"/>
  <c r="K1650"/>
  <c r="K653"/>
  <c r="K1526"/>
  <c r="K1584"/>
  <c r="K1585"/>
  <c r="K1726"/>
  <c r="K654"/>
  <c r="K655"/>
  <c r="K656"/>
  <c r="K657"/>
  <c r="K658"/>
  <c r="K1586"/>
  <c r="K1363"/>
  <c r="K1364"/>
  <c r="K1365"/>
  <c r="K1050"/>
  <c r="K659"/>
  <c r="K1366"/>
  <c r="K1051"/>
  <c r="K1367"/>
  <c r="K1368"/>
  <c r="K466"/>
  <c r="K1587"/>
  <c r="K1588"/>
  <c r="K1527"/>
  <c r="K1589"/>
  <c r="K853"/>
  <c r="K660"/>
  <c r="K661"/>
  <c r="K1746"/>
  <c r="K1747"/>
  <c r="K662"/>
  <c r="K1727"/>
  <c r="K854"/>
  <c r="K855"/>
  <c r="K856"/>
  <c r="K857"/>
  <c r="K1748"/>
  <c r="K1749"/>
  <c r="K1590"/>
  <c r="K1591"/>
  <c r="K1728"/>
  <c r="K663"/>
  <c r="K1369"/>
  <c r="K1370"/>
  <c r="K504"/>
  <c r="K664"/>
  <c r="K754"/>
  <c r="K755"/>
  <c r="K1761"/>
  <c r="K1371"/>
  <c r="K1705"/>
  <c r="K1706"/>
  <c r="K1372"/>
  <c r="K467"/>
  <c r="K468"/>
  <c r="K469"/>
  <c r="K1373"/>
  <c r="K470"/>
  <c r="K1374"/>
  <c r="K756"/>
  <c r="K757"/>
  <c r="K1375"/>
  <c r="K1592"/>
  <c r="K374"/>
  <c r="K1593"/>
  <c r="K1376"/>
  <c r="K858"/>
  <c r="K471"/>
  <c r="K1377"/>
  <c r="K1378"/>
  <c r="K1729"/>
  <c r="K1379"/>
  <c r="K905"/>
  <c r="K1730"/>
  <c r="K906"/>
  <c r="K907"/>
  <c r="K758"/>
  <c r="K1052"/>
  <c r="K665"/>
  <c r="K666"/>
  <c r="K1380"/>
  <c r="K1381"/>
  <c r="K1053"/>
  <c r="K1382"/>
  <c r="K1383"/>
  <c r="K1384"/>
  <c r="K1385"/>
  <c r="K1054"/>
  <c r="K1386"/>
  <c r="K859"/>
  <c r="K759"/>
  <c r="K1594"/>
  <c r="K1595"/>
  <c r="K1387"/>
  <c r="K1651"/>
  <c r="K97"/>
  <c r="K98"/>
  <c r="K99"/>
  <c r="K100"/>
  <c r="K101"/>
  <c r="K12"/>
  <c r="K164"/>
  <c r="K165"/>
  <c r="K166"/>
  <c r="K167"/>
  <c r="K102"/>
  <c r="K103"/>
  <c r="K104"/>
  <c r="K105"/>
  <c r="K106"/>
  <c r="K301"/>
  <c r="K302"/>
  <c r="K303"/>
  <c r="K304"/>
  <c r="K305"/>
  <c r="K306"/>
  <c r="K307"/>
  <c r="K308"/>
  <c r="K309"/>
  <c r="K310"/>
  <c r="K311"/>
  <c r="K312"/>
  <c r="K313"/>
  <c r="K107"/>
  <c r="K402"/>
  <c r="K760"/>
  <c r="K790"/>
  <c r="K403"/>
  <c r="K1055"/>
  <c r="K667"/>
  <c r="K1528"/>
  <c r="K1056"/>
  <c r="K1596"/>
  <c r="K1057"/>
  <c r="K1597"/>
  <c r="K668"/>
  <c r="K1058"/>
  <c r="K1685"/>
  <c r="K1686"/>
  <c r="K1059"/>
  <c r="K1060"/>
  <c r="K1388"/>
  <c r="K1731"/>
  <c r="K860"/>
  <c r="K1389"/>
  <c r="K1390"/>
  <c r="K1391"/>
  <c r="K1392"/>
  <c r="K1393"/>
  <c r="K1687"/>
  <c r="K1394"/>
  <c r="K375"/>
  <c r="K1395"/>
  <c r="K669"/>
  <c r="K1396"/>
  <c r="K1652"/>
  <c r="K1653"/>
  <c r="K1654"/>
  <c r="K404"/>
  <c r="K1529"/>
  <c r="K1598"/>
  <c r="K670"/>
  <c r="K1061"/>
  <c r="K1397"/>
  <c r="K1398"/>
  <c r="K1399"/>
  <c r="K671"/>
  <c r="K672"/>
  <c r="K861"/>
  <c r="K862"/>
  <c r="K1400"/>
  <c r="K1401"/>
  <c r="K472"/>
  <c r="K473"/>
  <c r="K474"/>
  <c r="K1062"/>
  <c r="K1599"/>
  <c r="K1600"/>
  <c r="K1402"/>
  <c r="K863"/>
  <c r="K1750"/>
  <c r="K1751"/>
  <c r="K1752"/>
  <c r="K1063"/>
  <c r="K1064"/>
  <c r="K1530"/>
  <c r="K673"/>
  <c r="K674"/>
  <c r="K675"/>
  <c r="K864"/>
  <c r="K865"/>
  <c r="K1601"/>
  <c r="K1602"/>
  <c r="K1603"/>
  <c r="K1065"/>
  <c r="K1066"/>
  <c r="K1403"/>
  <c r="K676"/>
  <c r="K1732"/>
  <c r="K761"/>
  <c r="K1404"/>
  <c r="K505"/>
  <c r="K677"/>
  <c r="K762"/>
  <c r="K1067"/>
  <c r="K866"/>
  <c r="K1405"/>
  <c r="K475"/>
  <c r="K476"/>
  <c r="K763"/>
  <c r="K477"/>
  <c r="K478"/>
  <c r="K1406"/>
  <c r="K1068"/>
  <c r="K1407"/>
  <c r="K1408"/>
  <c r="K1409"/>
  <c r="K678"/>
  <c r="K1707"/>
  <c r="K1410"/>
  <c r="K1411"/>
  <c r="K1604"/>
  <c r="K1412"/>
  <c r="K867"/>
  <c r="K868"/>
  <c r="K869"/>
  <c r="K870"/>
  <c r="K1069"/>
  <c r="K1070"/>
  <c r="K871"/>
  <c r="K1413"/>
  <c r="K1071"/>
  <c r="K1072"/>
  <c r="K1073"/>
  <c r="K1074"/>
  <c r="K1708"/>
  <c r="K479"/>
  <c r="K679"/>
  <c r="K680"/>
  <c r="K1414"/>
  <c r="K1075"/>
  <c r="K1733"/>
  <c r="K1415"/>
  <c r="K872"/>
  <c r="K1416"/>
  <c r="K1417"/>
  <c r="K1418"/>
  <c r="K681"/>
  <c r="K1419"/>
  <c r="K873"/>
  <c r="K764"/>
  <c r="K1420"/>
  <c r="K1655"/>
  <c r="K908"/>
  <c r="K1656"/>
  <c r="K108"/>
  <c r="K109"/>
  <c r="K110"/>
  <c r="K111"/>
  <c r="K112"/>
  <c r="K113"/>
  <c r="K13"/>
  <c r="K168"/>
  <c r="K169"/>
  <c r="K170"/>
  <c r="K171"/>
  <c r="K172"/>
  <c r="K114"/>
  <c r="K115"/>
  <c r="K116"/>
  <c r="K117"/>
  <c r="K118"/>
  <c r="K119"/>
  <c r="K314"/>
  <c r="K315"/>
  <c r="K316"/>
  <c r="K317"/>
  <c r="K318"/>
  <c r="K319"/>
  <c r="K320"/>
  <c r="K321"/>
  <c r="K322"/>
  <c r="K323"/>
  <c r="K324"/>
  <c r="K325"/>
  <c r="K326"/>
  <c r="K765"/>
  <c r="K766"/>
  <c r="K405"/>
  <c r="K791"/>
  <c r="K406"/>
  <c r="K682"/>
  <c r="K683"/>
  <c r="K684"/>
  <c r="K376"/>
  <c r="K1421"/>
  <c r="K685"/>
  <c r="K1422"/>
  <c r="K1423"/>
  <c r="K1424"/>
  <c r="K1425"/>
  <c r="K1762"/>
  <c r="K1426"/>
  <c r="K1427"/>
  <c r="K1428"/>
  <c r="K1429"/>
  <c r="K1430"/>
  <c r="K1431"/>
  <c r="K1432"/>
  <c r="K1433"/>
  <c r="K1434"/>
  <c r="K1657"/>
  <c r="K1658"/>
  <c r="K1659"/>
  <c r="K1660"/>
  <c r="K686"/>
  <c r="K1734"/>
  <c r="K687"/>
  <c r="K688"/>
  <c r="K1531"/>
  <c r="K1076"/>
  <c r="K1435"/>
  <c r="K1436"/>
  <c r="K689"/>
  <c r="K690"/>
  <c r="K691"/>
  <c r="K1437"/>
  <c r="K1438"/>
  <c r="K1439"/>
  <c r="K480"/>
  <c r="K481"/>
  <c r="K482"/>
  <c r="K1605"/>
  <c r="K874"/>
  <c r="K1753"/>
  <c r="K692"/>
  <c r="K875"/>
  <c r="K1606"/>
  <c r="K767"/>
  <c r="K1607"/>
  <c r="K1608"/>
  <c r="K1440"/>
  <c r="K1441"/>
  <c r="K1442"/>
  <c r="K506"/>
  <c r="K1077"/>
  <c r="K768"/>
  <c r="K876"/>
  <c r="K1443"/>
  <c r="K693"/>
  <c r="K769"/>
  <c r="K483"/>
  <c r="K484"/>
  <c r="K485"/>
  <c r="K486"/>
  <c r="K1444"/>
  <c r="K1445"/>
  <c r="K1709"/>
  <c r="K1710"/>
  <c r="K1446"/>
  <c r="K1688"/>
  <c r="K1447"/>
  <c r="K877"/>
  <c r="K878"/>
  <c r="K879"/>
  <c r="K1448"/>
  <c r="K1776"/>
  <c r="K1777"/>
  <c r="K1449"/>
  <c r="K1450"/>
  <c r="K880"/>
  <c r="K694"/>
  <c r="K695"/>
  <c r="K909"/>
  <c r="K1763"/>
  <c r="K1451"/>
  <c r="K1452"/>
  <c r="K1735"/>
  <c r="K1453"/>
  <c r="K120"/>
  <c r="K121"/>
  <c r="K122"/>
  <c r="K123"/>
  <c r="K14"/>
  <c r="K173"/>
  <c r="K174"/>
  <c r="K175"/>
  <c r="K176"/>
  <c r="K124"/>
  <c r="K125"/>
  <c r="K126"/>
  <c r="K127"/>
  <c r="K327"/>
  <c r="K328"/>
  <c r="K329"/>
  <c r="K330"/>
  <c r="K331"/>
  <c r="K332"/>
  <c r="K333"/>
  <c r="K334"/>
  <c r="K335"/>
  <c r="K336"/>
  <c r="K337"/>
  <c r="K338"/>
  <c r="K339"/>
  <c r="K770"/>
  <c r="K771"/>
  <c r="K881"/>
  <c r="K1661"/>
  <c r="K1662"/>
  <c r="K772"/>
  <c r="K792"/>
  <c r="K1454"/>
  <c r="K1455"/>
  <c r="K1456"/>
  <c r="K1457"/>
  <c r="K1458"/>
  <c r="K1078"/>
  <c r="K1459"/>
  <c r="K1460"/>
  <c r="K1461"/>
  <c r="K1462"/>
  <c r="K1463"/>
  <c r="K1464"/>
  <c r="K1465"/>
  <c r="K1466"/>
  <c r="K1467"/>
  <c r="K377"/>
  <c r="K1468"/>
  <c r="K1079"/>
  <c r="K1080"/>
  <c r="K1469"/>
  <c r="K1470"/>
  <c r="K1471"/>
  <c r="K1472"/>
  <c r="K1473"/>
  <c r="K1474"/>
  <c r="K1475"/>
  <c r="K1476"/>
  <c r="K1477"/>
  <c r="K1478"/>
  <c r="K1479"/>
  <c r="K1480"/>
  <c r="K1481"/>
  <c r="K1482"/>
  <c r="K1483"/>
  <c r="K1484"/>
  <c r="K1485"/>
  <c r="K1486"/>
  <c r="K1487"/>
  <c r="K1689"/>
  <c r="K1690"/>
  <c r="K1691"/>
  <c r="K1488"/>
  <c r="K1489"/>
  <c r="K1490"/>
  <c r="K1491"/>
  <c r="K1692"/>
  <c r="K1492"/>
  <c r="K696"/>
  <c r="K1493"/>
  <c r="K1494"/>
  <c r="K1495"/>
  <c r="K882"/>
  <c r="K1778"/>
  <c r="K1693"/>
  <c r="K1663"/>
  <c r="K697"/>
  <c r="K1496"/>
  <c r="K1497"/>
  <c r="K1498"/>
  <c r="K698"/>
  <c r="K1081"/>
  <c r="K699"/>
  <c r="K1499"/>
  <c r="K700"/>
  <c r="K701"/>
  <c r="K1082"/>
  <c r="K883"/>
  <c r="K884"/>
  <c r="K487"/>
  <c r="K1500"/>
  <c r="K488"/>
  <c r="K1501"/>
  <c r="K1502"/>
  <c r="K489"/>
  <c r="K490"/>
  <c r="K885"/>
  <c r="K702"/>
  <c r="K703"/>
  <c r="K886"/>
  <c r="K1609"/>
  <c r="K1610"/>
  <c r="K773"/>
  <c r="K774"/>
  <c r="K1503"/>
  <c r="K507"/>
  <c r="K1504"/>
  <c r="K887"/>
  <c r="K1505"/>
  <c r="K775"/>
  <c r="K1083"/>
  <c r="K1084"/>
  <c r="K776"/>
  <c r="K378"/>
  <c r="K491"/>
  <c r="K492"/>
  <c r="K1506"/>
  <c r="K1711"/>
  <c r="K379"/>
  <c r="K1507"/>
  <c r="K777"/>
  <c r="K1085"/>
  <c r="K1086"/>
  <c r="K888"/>
  <c r="K778"/>
  <c r="K889"/>
  <c r="K890"/>
  <c r="K1508"/>
  <c r="K1087"/>
  <c r="K380"/>
  <c r="K1712"/>
  <c r="K1736"/>
  <c r="K493"/>
  <c r="K1713"/>
  <c r="K494"/>
  <c r="K1509"/>
  <c r="K910"/>
  <c r="K1764"/>
  <c r="K891"/>
  <c r="K892"/>
  <c r="K779"/>
  <c r="K893"/>
  <c r="K1737"/>
  <c r="K1738"/>
  <c r="K1088"/>
  <c r="K1510"/>
  <c r="K1694"/>
  <c r="K1611"/>
  <c r="K495"/>
  <c r="K381"/>
  <c r="K780"/>
  <c r="J16"/>
  <c r="J3"/>
  <c r="J128"/>
  <c r="J129"/>
  <c r="J130"/>
  <c r="J131"/>
  <c r="J17"/>
  <c r="J18"/>
  <c r="J19"/>
  <c r="J20"/>
  <c r="J177"/>
  <c r="J178"/>
  <c r="J179"/>
  <c r="J180"/>
  <c r="J181"/>
  <c r="J182"/>
  <c r="J183"/>
  <c r="J184"/>
  <c r="J185"/>
  <c r="J186"/>
  <c r="J187"/>
  <c r="J188"/>
  <c r="J189"/>
  <c r="J340"/>
  <c r="J1664"/>
  <c r="J1665"/>
  <c r="J1666"/>
  <c r="J509"/>
  <c r="J1089"/>
  <c r="J1090"/>
  <c r="J1091"/>
  <c r="J510"/>
  <c r="J511"/>
  <c r="J512"/>
  <c r="J1092"/>
  <c r="J407"/>
  <c r="J1667"/>
  <c r="J1093"/>
  <c r="J1612"/>
  <c r="J911"/>
  <c r="J513"/>
  <c r="J514"/>
  <c r="J515"/>
  <c r="J516"/>
  <c r="J912"/>
  <c r="J408"/>
  <c r="J1094"/>
  <c r="J1095"/>
  <c r="J1096"/>
  <c r="J1097"/>
  <c r="J1098"/>
  <c r="J341"/>
  <c r="J894"/>
  <c r="J793"/>
  <c r="J1532"/>
  <c r="J517"/>
  <c r="J518"/>
  <c r="J1613"/>
  <c r="J382"/>
  <c r="J704"/>
  <c r="J781"/>
  <c r="J383"/>
  <c r="J342"/>
  <c r="J343"/>
  <c r="J519"/>
  <c r="J520"/>
  <c r="J1099"/>
  <c r="J521"/>
  <c r="J1100"/>
  <c r="J1101"/>
  <c r="J522"/>
  <c r="J523"/>
  <c r="J524"/>
  <c r="J525"/>
  <c r="J1102"/>
  <c r="J1103"/>
  <c r="J1614"/>
  <c r="J1615"/>
  <c r="J895"/>
  <c r="J1616"/>
  <c r="J913"/>
  <c r="J914"/>
  <c r="J915"/>
  <c r="J916"/>
  <c r="J917"/>
  <c r="J918"/>
  <c r="J919"/>
  <c r="J920"/>
  <c r="J526"/>
  <c r="J527"/>
  <c r="J528"/>
  <c r="J529"/>
  <c r="J530"/>
  <c r="J531"/>
  <c r="J532"/>
  <c r="J533"/>
  <c r="J921"/>
  <c r="J922"/>
  <c r="J1104"/>
  <c r="J923"/>
  <c r="J344"/>
  <c r="J534"/>
  <c r="J794"/>
  <c r="J924"/>
  <c r="J409"/>
  <c r="J410"/>
  <c r="J411"/>
  <c r="J1105"/>
  <c r="J1106"/>
  <c r="J412"/>
  <c r="J413"/>
  <c r="J535"/>
  <c r="J1107"/>
  <c r="J925"/>
  <c r="J926"/>
  <c r="J927"/>
  <c r="J928"/>
  <c r="J795"/>
  <c r="J536"/>
  <c r="J1739"/>
  <c r="J537"/>
  <c r="J345"/>
  <c r="J929"/>
  <c r="J1108"/>
  <c r="J705"/>
  <c r="J1109"/>
  <c r="J496"/>
  <c r="J538"/>
  <c r="J706"/>
  <c r="J1110"/>
  <c r="J1111"/>
  <c r="J1112"/>
  <c r="J539"/>
  <c r="J540"/>
  <c r="J707"/>
  <c r="J414"/>
  <c r="J1113"/>
  <c r="J415"/>
  <c r="J416"/>
  <c r="J930"/>
  <c r="J931"/>
  <c r="J1114"/>
  <c r="J1115"/>
  <c r="J541"/>
  <c r="J542"/>
  <c r="J932"/>
  <c r="J933"/>
  <c r="J796"/>
  <c r="J797"/>
  <c r="J798"/>
  <c r="J799"/>
  <c r="J1116"/>
  <c r="J934"/>
  <c r="J896"/>
  <c r="J543"/>
  <c r="J897"/>
  <c r="J898"/>
  <c r="J1117"/>
  <c r="J544"/>
  <c r="J1617"/>
  <c r="J800"/>
  <c r="J1533"/>
  <c r="J801"/>
  <c r="J708"/>
  <c r="J935"/>
  <c r="J21"/>
  <c r="J22"/>
  <c r="J23"/>
  <c r="J24"/>
  <c r="J4"/>
  <c r="J132"/>
  <c r="J133"/>
  <c r="J134"/>
  <c r="J135"/>
  <c r="J25"/>
  <c r="J26"/>
  <c r="J27"/>
  <c r="J28"/>
  <c r="J190"/>
  <c r="J191"/>
  <c r="J192"/>
  <c r="J193"/>
  <c r="J194"/>
  <c r="J195"/>
  <c r="J196"/>
  <c r="J197"/>
  <c r="J198"/>
  <c r="J199"/>
  <c r="J200"/>
  <c r="J201"/>
  <c r="J202"/>
  <c r="J384"/>
  <c r="J709"/>
  <c r="J385"/>
  <c r="J710"/>
  <c r="J782"/>
  <c r="J545"/>
  <c r="J1668"/>
  <c r="J1118"/>
  <c r="J1669"/>
  <c r="J1754"/>
  <c r="J1670"/>
  <c r="J1119"/>
  <c r="J1120"/>
  <c r="J1121"/>
  <c r="J546"/>
  <c r="J1122"/>
  <c r="J1671"/>
  <c r="J1123"/>
  <c r="J1672"/>
  <c r="J1673"/>
  <c r="J1124"/>
  <c r="J346"/>
  <c r="J547"/>
  <c r="J1125"/>
  <c r="J1618"/>
  <c r="J1619"/>
  <c r="J1620"/>
  <c r="J936"/>
  <c r="J548"/>
  <c r="J549"/>
  <c r="J937"/>
  <c r="J938"/>
  <c r="J939"/>
  <c r="J550"/>
  <c r="J1766"/>
  <c r="J551"/>
  <c r="J1714"/>
  <c r="J552"/>
  <c r="J553"/>
  <c r="J554"/>
  <c r="J940"/>
  <c r="J1126"/>
  <c r="J555"/>
  <c r="J802"/>
  <c r="J941"/>
  <c r="J417"/>
  <c r="J1127"/>
  <c r="J1128"/>
  <c r="J418"/>
  <c r="J556"/>
  <c r="J942"/>
  <c r="J943"/>
  <c r="J944"/>
  <c r="J803"/>
  <c r="J557"/>
  <c r="J558"/>
  <c r="J945"/>
  <c r="J1129"/>
  <c r="J946"/>
  <c r="J559"/>
  <c r="J347"/>
  <c r="J560"/>
  <c r="J561"/>
  <c r="J1130"/>
  <c r="J348"/>
  <c r="J1131"/>
  <c r="J804"/>
  <c r="J805"/>
  <c r="J947"/>
  <c r="J948"/>
  <c r="J949"/>
  <c r="J711"/>
  <c r="J1132"/>
  <c r="J1715"/>
  <c r="J1133"/>
  <c r="J1134"/>
  <c r="J1135"/>
  <c r="J1136"/>
  <c r="J497"/>
  <c r="J712"/>
  <c r="J806"/>
  <c r="J1137"/>
  <c r="J1534"/>
  <c r="J349"/>
  <c r="J950"/>
  <c r="J713"/>
  <c r="J419"/>
  <c r="J420"/>
  <c r="J421"/>
  <c r="J422"/>
  <c r="J423"/>
  <c r="J1138"/>
  <c r="J1139"/>
  <c r="J350"/>
  <c r="J1140"/>
  <c r="J714"/>
  <c r="J1697"/>
  <c r="J1141"/>
  <c r="J1142"/>
  <c r="J351"/>
  <c r="J1143"/>
  <c r="J1144"/>
  <c r="J1145"/>
  <c r="J1146"/>
  <c r="J1147"/>
  <c r="J951"/>
  <c r="J952"/>
  <c r="J953"/>
  <c r="J562"/>
  <c r="J1148"/>
  <c r="J352"/>
  <c r="J1755"/>
  <c r="J563"/>
  <c r="J1698"/>
  <c r="J1699"/>
  <c r="J1149"/>
  <c r="J1150"/>
  <c r="J1151"/>
  <c r="J954"/>
  <c r="J1152"/>
  <c r="J1153"/>
  <c r="J1154"/>
  <c r="J1155"/>
  <c r="J1156"/>
  <c r="J1157"/>
  <c r="J1158"/>
  <c r="J1159"/>
  <c r="J1160"/>
  <c r="J1161"/>
  <c r="J1162"/>
  <c r="J1163"/>
  <c r="J1164"/>
  <c r="J1165"/>
  <c r="J1166"/>
  <c r="J955"/>
  <c r="J1167"/>
  <c r="J1621"/>
  <c r="J1622"/>
  <c r="J956"/>
  <c r="J807"/>
  <c r="J1535"/>
  <c r="J564"/>
  <c r="J808"/>
  <c r="J715"/>
  <c r="J1674"/>
  <c r="J29"/>
  <c r="J30"/>
  <c r="J31"/>
  <c r="J32"/>
  <c r="J33"/>
  <c r="J5"/>
  <c r="J136"/>
  <c r="J137"/>
  <c r="J138"/>
  <c r="J139"/>
  <c r="J34"/>
  <c r="J35"/>
  <c r="J36"/>
  <c r="J37"/>
  <c r="J38"/>
  <c r="J203"/>
  <c r="J204"/>
  <c r="J205"/>
  <c r="J206"/>
  <c r="J207"/>
  <c r="J208"/>
  <c r="J209"/>
  <c r="J210"/>
  <c r="J211"/>
  <c r="J212"/>
  <c r="J213"/>
  <c r="J214"/>
  <c r="J215"/>
  <c r="J716"/>
  <c r="J717"/>
  <c r="J718"/>
  <c r="J386"/>
  <c r="J719"/>
  <c r="J783"/>
  <c r="J387"/>
  <c r="J1675"/>
  <c r="J1168"/>
  <c r="J957"/>
  <c r="J958"/>
  <c r="J1716"/>
  <c r="J2"/>
  <c r="J1169"/>
  <c r="J1170"/>
  <c r="J1171"/>
  <c r="J353"/>
  <c r="J1172"/>
  <c r="J565"/>
  <c r="J424"/>
  <c r="J1676"/>
  <c r="J1173"/>
  <c r="J1174"/>
  <c r="J1175"/>
  <c r="J959"/>
  <c r="J1623"/>
  <c r="J1624"/>
  <c r="J1625"/>
  <c r="J1626"/>
  <c r="J1627"/>
  <c r="J1536"/>
  <c r="J960"/>
  <c r="J566"/>
  <c r="J567"/>
  <c r="J568"/>
  <c r="J569"/>
  <c r="J570"/>
  <c r="J571"/>
  <c r="J572"/>
  <c r="J573"/>
  <c r="J574"/>
  <c r="J575"/>
  <c r="J576"/>
  <c r="J577"/>
  <c r="J961"/>
  <c r="J578"/>
  <c r="J579"/>
  <c r="J962"/>
  <c r="J963"/>
  <c r="J1176"/>
  <c r="J1177"/>
  <c r="J580"/>
  <c r="J1178"/>
  <c r="J1179"/>
  <c r="J1180"/>
  <c r="J425"/>
  <c r="J964"/>
  <c r="J965"/>
  <c r="J966"/>
  <c r="J967"/>
  <c r="J968"/>
  <c r="J1717"/>
  <c r="J1767"/>
  <c r="J1181"/>
  <c r="J354"/>
  <c r="J355"/>
  <c r="J581"/>
  <c r="J582"/>
  <c r="J583"/>
  <c r="J584"/>
  <c r="J585"/>
  <c r="J586"/>
  <c r="J587"/>
  <c r="J588"/>
  <c r="J809"/>
  <c r="J810"/>
  <c r="J1718"/>
  <c r="J1182"/>
  <c r="J720"/>
  <c r="J1183"/>
  <c r="J498"/>
  <c r="J969"/>
  <c r="J721"/>
  <c r="J1184"/>
  <c r="J811"/>
  <c r="J1185"/>
  <c r="J722"/>
  <c r="J1186"/>
  <c r="J1187"/>
  <c r="J970"/>
  <c r="J723"/>
  <c r="J426"/>
  <c r="J1756"/>
  <c r="J1757"/>
  <c r="J1677"/>
  <c r="J589"/>
  <c r="J427"/>
  <c r="J428"/>
  <c r="J429"/>
  <c r="J1188"/>
  <c r="J1189"/>
  <c r="J1190"/>
  <c r="J1191"/>
  <c r="J590"/>
  <c r="J591"/>
  <c r="J724"/>
  <c r="J430"/>
  <c r="J971"/>
  <c r="J1740"/>
  <c r="J592"/>
  <c r="J356"/>
  <c r="J1192"/>
  <c r="J972"/>
  <c r="J1193"/>
  <c r="J725"/>
  <c r="J1537"/>
  <c r="J812"/>
  <c r="J726"/>
  <c r="J593"/>
  <c r="J1194"/>
  <c r="J1195"/>
  <c r="J1695"/>
  <c r="J1628"/>
  <c r="J594"/>
  <c r="J595"/>
  <c r="J596"/>
  <c r="J597"/>
  <c r="J973"/>
  <c r="J598"/>
  <c r="J727"/>
  <c r="J388"/>
  <c r="J39"/>
  <c r="J40"/>
  <c r="J41"/>
  <c r="J42"/>
  <c r="J43"/>
  <c r="J6"/>
  <c r="J140"/>
  <c r="J141"/>
  <c r="J142"/>
  <c r="J143"/>
  <c r="J44"/>
  <c r="J45"/>
  <c r="J46"/>
  <c r="J47"/>
  <c r="J216"/>
  <c r="J217"/>
  <c r="J218"/>
  <c r="J219"/>
  <c r="J220"/>
  <c r="J221"/>
  <c r="J222"/>
  <c r="J223"/>
  <c r="J224"/>
  <c r="J225"/>
  <c r="J226"/>
  <c r="J227"/>
  <c r="J228"/>
  <c r="J784"/>
  <c r="J389"/>
  <c r="J599"/>
  <c r="J1719"/>
  <c r="J1780"/>
  <c r="J1678"/>
  <c r="J1196"/>
  <c r="J1197"/>
  <c r="J1198"/>
  <c r="J1199"/>
  <c r="J1200"/>
  <c r="J1201"/>
  <c r="J1202"/>
  <c r="J1768"/>
  <c r="J1203"/>
  <c r="J1204"/>
  <c r="J974"/>
  <c r="J1205"/>
  <c r="J1206"/>
  <c r="J600"/>
  <c r="J1679"/>
  <c r="J975"/>
  <c r="J1629"/>
  <c r="J1538"/>
  <c r="J976"/>
  <c r="J977"/>
  <c r="J978"/>
  <c r="J979"/>
  <c r="J980"/>
  <c r="J601"/>
  <c r="J602"/>
  <c r="J981"/>
  <c r="J1207"/>
  <c r="J1208"/>
  <c r="J603"/>
  <c r="J982"/>
  <c r="J604"/>
  <c r="J983"/>
  <c r="J984"/>
  <c r="J813"/>
  <c r="J1209"/>
  <c r="J1210"/>
  <c r="J431"/>
  <c r="J508"/>
  <c r="J432"/>
  <c r="J605"/>
  <c r="J433"/>
  <c r="J985"/>
  <c r="J986"/>
  <c r="J987"/>
  <c r="J988"/>
  <c r="J989"/>
  <c r="J990"/>
  <c r="J991"/>
  <c r="J992"/>
  <c r="J993"/>
  <c r="J814"/>
  <c r="J1769"/>
  <c r="J815"/>
  <c r="J816"/>
  <c r="J994"/>
  <c r="J995"/>
  <c r="J606"/>
  <c r="J817"/>
  <c r="J728"/>
  <c r="J996"/>
  <c r="J997"/>
  <c r="J998"/>
  <c r="J1211"/>
  <c r="J607"/>
  <c r="J1212"/>
  <c r="J729"/>
  <c r="J357"/>
  <c r="J1213"/>
  <c r="J499"/>
  <c r="J730"/>
  <c r="J1539"/>
  <c r="J1214"/>
  <c r="J818"/>
  <c r="J1215"/>
  <c r="J1216"/>
  <c r="J1217"/>
  <c r="J819"/>
  <c r="J1218"/>
  <c r="J999"/>
  <c r="J1000"/>
  <c r="J1700"/>
  <c r="J731"/>
  <c r="J434"/>
  <c r="J1540"/>
  <c r="J1541"/>
  <c r="J435"/>
  <c r="J436"/>
  <c r="J437"/>
  <c r="J1001"/>
  <c r="J1219"/>
  <c r="J1002"/>
  <c r="J1758"/>
  <c r="J1220"/>
  <c r="J1221"/>
  <c r="J1701"/>
  <c r="J1003"/>
  <c r="J1004"/>
  <c r="J608"/>
  <c r="J820"/>
  <c r="J821"/>
  <c r="J822"/>
  <c r="J1005"/>
  <c r="J823"/>
  <c r="J1770"/>
  <c r="J1222"/>
  <c r="J1006"/>
  <c r="J1007"/>
  <c r="J1223"/>
  <c r="J358"/>
  <c r="J899"/>
  <c r="J900"/>
  <c r="J901"/>
  <c r="J902"/>
  <c r="J1224"/>
  <c r="J1225"/>
  <c r="J732"/>
  <c r="J824"/>
  <c r="J733"/>
  <c r="J1630"/>
  <c r="J229"/>
  <c r="J230"/>
  <c r="J231"/>
  <c r="J232"/>
  <c r="J233"/>
  <c r="J234"/>
  <c r="J235"/>
  <c r="J236"/>
  <c r="J237"/>
  <c r="J48"/>
  <c r="J49"/>
  <c r="J50"/>
  <c r="J51"/>
  <c r="J52"/>
  <c r="J7"/>
  <c r="J144"/>
  <c r="J145"/>
  <c r="J146"/>
  <c r="J147"/>
  <c r="J148"/>
  <c r="J53"/>
  <c r="J54"/>
  <c r="J55"/>
  <c r="J56"/>
  <c r="J238"/>
  <c r="J239"/>
  <c r="J240"/>
  <c r="J241"/>
  <c r="J242"/>
  <c r="J243"/>
  <c r="J244"/>
  <c r="J245"/>
  <c r="J246"/>
  <c r="J247"/>
  <c r="J248"/>
  <c r="J249"/>
  <c r="J250"/>
  <c r="J390"/>
  <c r="J734"/>
  <c r="J785"/>
  <c r="J391"/>
  <c r="J1759"/>
  <c r="J609"/>
  <c r="J610"/>
  <c r="J611"/>
  <c r="J1226"/>
  <c r="J1227"/>
  <c r="J1228"/>
  <c r="J1229"/>
  <c r="J1230"/>
  <c r="J1231"/>
  <c r="J612"/>
  <c r="J1232"/>
  <c r="J613"/>
  <c r="J1680"/>
  <c r="J1233"/>
  <c r="J1234"/>
  <c r="J614"/>
  <c r="J615"/>
  <c r="J1235"/>
  <c r="J1236"/>
  <c r="J1008"/>
  <c r="J1542"/>
  <c r="J1631"/>
  <c r="J1632"/>
  <c r="J1009"/>
  <c r="J1543"/>
  <c r="J1544"/>
  <c r="J1545"/>
  <c r="J1546"/>
  <c r="J1511"/>
  <c r="J1010"/>
  <c r="J1512"/>
  <c r="J1771"/>
  <c r="J1011"/>
  <c r="J616"/>
  <c r="J617"/>
  <c r="J1012"/>
  <c r="J618"/>
  <c r="J1547"/>
  <c r="J1513"/>
  <c r="J1237"/>
  <c r="J1013"/>
  <c r="J1014"/>
  <c r="J1238"/>
  <c r="J1015"/>
  <c r="J825"/>
  <c r="J826"/>
  <c r="J619"/>
  <c r="J1016"/>
  <c r="J438"/>
  <c r="J1239"/>
  <c r="J1240"/>
  <c r="J439"/>
  <c r="J1720"/>
  <c r="J1721"/>
  <c r="J1017"/>
  <c r="J1018"/>
  <c r="J827"/>
  <c r="J1019"/>
  <c r="J1548"/>
  <c r="J1514"/>
  <c r="J1549"/>
  <c r="J1550"/>
  <c r="J1551"/>
  <c r="J1020"/>
  <c r="J1021"/>
  <c r="J57"/>
  <c r="J1741"/>
  <c r="J1742"/>
  <c r="J1022"/>
  <c r="J1722"/>
  <c r="J620"/>
  <c r="J359"/>
  <c r="J1023"/>
  <c r="J621"/>
  <c r="J1723"/>
  <c r="J1024"/>
  <c r="J1241"/>
  <c r="J360"/>
  <c r="J1552"/>
  <c r="J1242"/>
  <c r="J1243"/>
  <c r="J500"/>
  <c r="J1025"/>
  <c r="J735"/>
  <c r="J1244"/>
  <c r="J1026"/>
  <c r="J828"/>
  <c r="J829"/>
  <c r="J1245"/>
  <c r="J1027"/>
  <c r="J440"/>
  <c r="J441"/>
  <c r="J442"/>
  <c r="J443"/>
  <c r="J830"/>
  <c r="J831"/>
  <c r="J444"/>
  <c r="J1246"/>
  <c r="J1247"/>
  <c r="J1248"/>
  <c r="J1553"/>
  <c r="J1554"/>
  <c r="J361"/>
  <c r="J1249"/>
  <c r="J1028"/>
  <c r="J1029"/>
  <c r="J1030"/>
  <c r="J832"/>
  <c r="J833"/>
  <c r="J834"/>
  <c r="J1772"/>
  <c r="J1250"/>
  <c r="J1031"/>
  <c r="J1251"/>
  <c r="J1252"/>
  <c r="J1253"/>
  <c r="J1724"/>
  <c r="J1254"/>
  <c r="J1255"/>
  <c r="J835"/>
  <c r="J903"/>
  <c r="J836"/>
  <c r="J736"/>
  <c r="J1256"/>
  <c r="J1257"/>
  <c r="J1258"/>
  <c r="J1259"/>
  <c r="J1260"/>
  <c r="J362"/>
  <c r="J1261"/>
  <c r="J1262"/>
  <c r="J1263"/>
  <c r="J1264"/>
  <c r="J1265"/>
  <c r="J363"/>
  <c r="J1266"/>
  <c r="J1267"/>
  <c r="J1268"/>
  <c r="J1269"/>
  <c r="J1270"/>
  <c r="J1271"/>
  <c r="J1272"/>
  <c r="J1273"/>
  <c r="J1274"/>
  <c r="J1275"/>
  <c r="J1276"/>
  <c r="J1277"/>
  <c r="J1278"/>
  <c r="J1279"/>
  <c r="J1280"/>
  <c r="J1281"/>
  <c r="J1282"/>
  <c r="J1283"/>
  <c r="J1284"/>
  <c r="J1285"/>
  <c r="J1633"/>
  <c r="J1634"/>
  <c r="J1696"/>
  <c r="J1635"/>
  <c r="J1032"/>
  <c r="J1033"/>
  <c r="J837"/>
  <c r="J838"/>
  <c r="J737"/>
  <c r="J1555"/>
  <c r="J58"/>
  <c r="J59"/>
  <c r="J60"/>
  <c r="J61"/>
  <c r="J62"/>
  <c r="J8"/>
  <c r="J149"/>
  <c r="J150"/>
  <c r="J151"/>
  <c r="J152"/>
  <c r="J153"/>
  <c r="J63"/>
  <c r="J64"/>
  <c r="J65"/>
  <c r="J66"/>
  <c r="J251"/>
  <c r="J252"/>
  <c r="J253"/>
  <c r="J254"/>
  <c r="J255"/>
  <c r="J256"/>
  <c r="J257"/>
  <c r="J258"/>
  <c r="J259"/>
  <c r="J260"/>
  <c r="J261"/>
  <c r="J262"/>
  <c r="J263"/>
  <c r="J738"/>
  <c r="J392"/>
  <c r="J786"/>
  <c r="J393"/>
  <c r="J622"/>
  <c r="J1286"/>
  <c r="J1287"/>
  <c r="J1288"/>
  <c r="J1681"/>
  <c r="J623"/>
  <c r="J624"/>
  <c r="J1034"/>
  <c r="J1035"/>
  <c r="J1636"/>
  <c r="J1637"/>
  <c r="J1638"/>
  <c r="J1639"/>
  <c r="J1556"/>
  <c r="J1515"/>
  <c r="J1516"/>
  <c r="J1517"/>
  <c r="J1518"/>
  <c r="J1519"/>
  <c r="J625"/>
  <c r="J626"/>
  <c r="J1743"/>
  <c r="J627"/>
  <c r="J628"/>
  <c r="J1036"/>
  <c r="J1289"/>
  <c r="J1290"/>
  <c r="J1037"/>
  <c r="J629"/>
  <c r="J1038"/>
  <c r="J839"/>
  <c r="J1291"/>
  <c r="J1292"/>
  <c r="J1293"/>
  <c r="J445"/>
  <c r="J446"/>
  <c r="J1557"/>
  <c r="J1520"/>
  <c r="J1558"/>
  <c r="J1559"/>
  <c r="J1560"/>
  <c r="J840"/>
  <c r="J1294"/>
  <c r="J1744"/>
  <c r="J1725"/>
  <c r="J630"/>
  <c r="J364"/>
  <c r="J365"/>
  <c r="J1561"/>
  <c r="J1562"/>
  <c r="J1563"/>
  <c r="J1564"/>
  <c r="J1565"/>
  <c r="J1566"/>
  <c r="J631"/>
  <c r="J1567"/>
  <c r="J1568"/>
  <c r="J1569"/>
  <c r="J1295"/>
  <c r="J501"/>
  <c r="J1773"/>
  <c r="J366"/>
  <c r="J1296"/>
  <c r="J367"/>
  <c r="J1297"/>
  <c r="J447"/>
  <c r="J739"/>
  <c r="J1298"/>
  <c r="J448"/>
  <c r="J1299"/>
  <c r="J449"/>
  <c r="J450"/>
  <c r="J451"/>
  <c r="J452"/>
  <c r="J1300"/>
  <c r="J1301"/>
  <c r="J1302"/>
  <c r="J368"/>
  <c r="J1303"/>
  <c r="J1039"/>
  <c r="J1304"/>
  <c r="J632"/>
  <c r="J1702"/>
  <c r="J1570"/>
  <c r="J1305"/>
  <c r="J1306"/>
  <c r="J1040"/>
  <c r="J369"/>
  <c r="J370"/>
  <c r="J371"/>
  <c r="J904"/>
  <c r="J1571"/>
  <c r="J1041"/>
  <c r="J1042"/>
  <c r="J1307"/>
  <c r="J740"/>
  <c r="J841"/>
  <c r="J741"/>
  <c r="J1640"/>
  <c r="J633"/>
  <c r="J634"/>
  <c r="J1572"/>
  <c r="J1573"/>
  <c r="J394"/>
  <c r="J742"/>
  <c r="J67"/>
  <c r="J68"/>
  <c r="J69"/>
  <c r="J70"/>
  <c r="J71"/>
  <c r="J9"/>
  <c r="J154"/>
  <c r="J155"/>
  <c r="J156"/>
  <c r="J72"/>
  <c r="J73"/>
  <c r="J74"/>
  <c r="J75"/>
  <c r="J264"/>
  <c r="J265"/>
  <c r="J266"/>
  <c r="J267"/>
  <c r="J268"/>
  <c r="J269"/>
  <c r="J270"/>
  <c r="J271"/>
  <c r="J272"/>
  <c r="J273"/>
  <c r="J274"/>
  <c r="J275"/>
  <c r="J787"/>
  <c r="J395"/>
  <c r="J1641"/>
  <c r="J743"/>
  <c r="J744"/>
  <c r="J745"/>
  <c r="J746"/>
  <c r="J747"/>
  <c r="J1760"/>
  <c r="J1745"/>
  <c r="J1308"/>
  <c r="J1682"/>
  <c r="J1642"/>
  <c r="J1643"/>
  <c r="J635"/>
  <c r="J1309"/>
  <c r="J1310"/>
  <c r="J636"/>
  <c r="J1311"/>
  <c r="J1043"/>
  <c r="J842"/>
  <c r="J637"/>
  <c r="J1044"/>
  <c r="J1312"/>
  <c r="J1313"/>
  <c r="J453"/>
  <c r="J638"/>
  <c r="J454"/>
  <c r="J843"/>
  <c r="J1574"/>
  <c r="J844"/>
  <c r="J845"/>
  <c r="J639"/>
  <c r="J1314"/>
  <c r="J1315"/>
  <c r="J640"/>
  <c r="J502"/>
  <c r="J846"/>
  <c r="J1316"/>
  <c r="J847"/>
  <c r="J641"/>
  <c r="J1317"/>
  <c r="J848"/>
  <c r="J455"/>
  <c r="J456"/>
  <c r="J457"/>
  <c r="J458"/>
  <c r="J1318"/>
  <c r="J1703"/>
  <c r="J1319"/>
  <c r="J1045"/>
  <c r="J459"/>
  <c r="J1320"/>
  <c r="J1321"/>
  <c r="J748"/>
  <c r="J396"/>
  <c r="J788"/>
  <c r="J76"/>
  <c r="J77"/>
  <c r="J78"/>
  <c r="J79"/>
  <c r="J80"/>
  <c r="J10"/>
  <c r="J157"/>
  <c r="J158"/>
  <c r="J159"/>
  <c r="J81"/>
  <c r="J82"/>
  <c r="J83"/>
  <c r="J84"/>
  <c r="J276"/>
  <c r="J277"/>
  <c r="J278"/>
  <c r="J279"/>
  <c r="J280"/>
  <c r="J281"/>
  <c r="J282"/>
  <c r="J283"/>
  <c r="J284"/>
  <c r="J285"/>
  <c r="J286"/>
  <c r="J287"/>
  <c r="J397"/>
  <c r="J749"/>
  <c r="J1322"/>
  <c r="J1323"/>
  <c r="J1324"/>
  <c r="J1325"/>
  <c r="J1326"/>
  <c r="J1327"/>
  <c r="J1328"/>
  <c r="J1329"/>
  <c r="J642"/>
  <c r="J1330"/>
  <c r="J1331"/>
  <c r="J1332"/>
  <c r="J1046"/>
  <c r="J1774"/>
  <c r="J372"/>
  <c r="J1333"/>
  <c r="J1334"/>
  <c r="J1644"/>
  <c r="J1645"/>
  <c r="J1646"/>
  <c r="J1647"/>
  <c r="J398"/>
  <c r="J399"/>
  <c r="J643"/>
  <c r="J1575"/>
  <c r="J644"/>
  <c r="J645"/>
  <c r="J646"/>
  <c r="J647"/>
  <c r="J648"/>
  <c r="J1335"/>
  <c r="J1336"/>
  <c r="J1337"/>
  <c r="J1338"/>
  <c r="J460"/>
  <c r="J461"/>
  <c r="J1576"/>
  <c r="J1577"/>
  <c r="J849"/>
  <c r="J1578"/>
  <c r="J649"/>
  <c r="J1339"/>
  <c r="J850"/>
  <c r="J1579"/>
  <c r="J1340"/>
  <c r="J503"/>
  <c r="J1047"/>
  <c r="J750"/>
  <c r="J462"/>
  <c r="J463"/>
  <c r="J464"/>
  <c r="J1341"/>
  <c r="J373"/>
  <c r="J1048"/>
  <c r="J1049"/>
  <c r="J1342"/>
  <c r="J851"/>
  <c r="J1704"/>
  <c r="J751"/>
  <c r="J650"/>
  <c r="J852"/>
  <c r="J1521"/>
  <c r="J1765"/>
  <c r="J1580"/>
  <c r="J1779"/>
  <c r="J1522"/>
  <c r="J1581"/>
  <c r="J1343"/>
  <c r="J1344"/>
  <c r="J1345"/>
  <c r="J1346"/>
  <c r="J1347"/>
  <c r="J1348"/>
  <c r="J1349"/>
  <c r="J1350"/>
  <c r="J1351"/>
  <c r="J1352"/>
  <c r="J1353"/>
  <c r="J1354"/>
  <c r="J1355"/>
  <c r="J85"/>
  <c r="J86"/>
  <c r="J87"/>
  <c r="J88"/>
  <c r="J89"/>
  <c r="J90"/>
  <c r="J11"/>
  <c r="J160"/>
  <c r="J161"/>
  <c r="J162"/>
  <c r="J163"/>
  <c r="J91"/>
  <c r="J92"/>
  <c r="J93"/>
  <c r="J94"/>
  <c r="J95"/>
  <c r="J96"/>
  <c r="J288"/>
  <c r="J289"/>
  <c r="J290"/>
  <c r="J291"/>
  <c r="J292"/>
  <c r="J293"/>
  <c r="J294"/>
  <c r="J295"/>
  <c r="J296"/>
  <c r="J297"/>
  <c r="J298"/>
  <c r="J299"/>
  <c r="J300"/>
  <c r="J400"/>
  <c r="J752"/>
  <c r="J789"/>
  <c r="J401"/>
  <c r="J753"/>
  <c r="J1523"/>
  <c r="J1582"/>
  <c r="J1524"/>
  <c r="J1583"/>
  <c r="J1525"/>
  <c r="J1356"/>
  <c r="J651"/>
  <c r="J1357"/>
  <c r="J465"/>
  <c r="J1358"/>
  <c r="J1359"/>
  <c r="J1683"/>
  <c r="J1684"/>
  <c r="J652"/>
  <c r="J1775"/>
  <c r="J1360"/>
  <c r="J1361"/>
  <c r="J1362"/>
  <c r="J1648"/>
  <c r="J1649"/>
  <c r="J1650"/>
  <c r="J653"/>
  <c r="J1526"/>
  <c r="J1584"/>
  <c r="J1585"/>
  <c r="J1726"/>
  <c r="J654"/>
  <c r="J655"/>
  <c r="J656"/>
  <c r="J657"/>
  <c r="J658"/>
  <c r="J1586"/>
  <c r="J1363"/>
  <c r="J1364"/>
  <c r="J1365"/>
  <c r="J1050"/>
  <c r="J659"/>
  <c r="J1366"/>
  <c r="J1051"/>
  <c r="J1367"/>
  <c r="J1368"/>
  <c r="J466"/>
  <c r="J1587"/>
  <c r="J1588"/>
  <c r="J1527"/>
  <c r="J1589"/>
  <c r="J853"/>
  <c r="J660"/>
  <c r="J661"/>
  <c r="J1746"/>
  <c r="J1747"/>
  <c r="J662"/>
  <c r="J1727"/>
  <c r="J854"/>
  <c r="J855"/>
  <c r="J856"/>
  <c r="J857"/>
  <c r="J1748"/>
  <c r="J1749"/>
  <c r="J1590"/>
  <c r="J1591"/>
  <c r="J1728"/>
  <c r="J663"/>
  <c r="J1369"/>
  <c r="J1370"/>
  <c r="J504"/>
  <c r="J664"/>
  <c r="J754"/>
  <c r="J755"/>
  <c r="J1761"/>
  <c r="J1371"/>
  <c r="J1705"/>
  <c r="J1706"/>
  <c r="J1372"/>
  <c r="J467"/>
  <c r="J468"/>
  <c r="J469"/>
  <c r="J1373"/>
  <c r="J470"/>
  <c r="J1374"/>
  <c r="J756"/>
  <c r="J757"/>
  <c r="J1375"/>
  <c r="J1592"/>
  <c r="J374"/>
  <c r="J1593"/>
  <c r="J1376"/>
  <c r="J858"/>
  <c r="J471"/>
  <c r="J1377"/>
  <c r="J1378"/>
  <c r="J1729"/>
  <c r="J1379"/>
  <c r="J905"/>
  <c r="J1730"/>
  <c r="J906"/>
  <c r="J907"/>
  <c r="J758"/>
  <c r="J1052"/>
  <c r="J665"/>
  <c r="J666"/>
  <c r="J1380"/>
  <c r="J1381"/>
  <c r="J1053"/>
  <c r="J1382"/>
  <c r="J1383"/>
  <c r="J1384"/>
  <c r="J1385"/>
  <c r="J1054"/>
  <c r="J1386"/>
  <c r="J859"/>
  <c r="J759"/>
  <c r="J1594"/>
  <c r="J1595"/>
  <c r="J1387"/>
  <c r="J1651"/>
  <c r="J97"/>
  <c r="J98"/>
  <c r="J99"/>
  <c r="J100"/>
  <c r="J101"/>
  <c r="J12"/>
  <c r="J164"/>
  <c r="J165"/>
  <c r="J166"/>
  <c r="J167"/>
  <c r="J102"/>
  <c r="J103"/>
  <c r="J104"/>
  <c r="J105"/>
  <c r="J106"/>
  <c r="J301"/>
  <c r="J302"/>
  <c r="J303"/>
  <c r="J304"/>
  <c r="J305"/>
  <c r="J306"/>
  <c r="J307"/>
  <c r="J308"/>
  <c r="J309"/>
  <c r="J310"/>
  <c r="J311"/>
  <c r="J312"/>
  <c r="J313"/>
  <c r="J107"/>
  <c r="J402"/>
  <c r="J760"/>
  <c r="J790"/>
  <c r="J403"/>
  <c r="J1055"/>
  <c r="J667"/>
  <c r="J1528"/>
  <c r="J1056"/>
  <c r="J1596"/>
  <c r="J1057"/>
  <c r="J1597"/>
  <c r="J668"/>
  <c r="J1058"/>
  <c r="J1685"/>
  <c r="J1686"/>
  <c r="J1059"/>
  <c r="J1060"/>
  <c r="J1388"/>
  <c r="J1731"/>
  <c r="J860"/>
  <c r="J1389"/>
  <c r="J1390"/>
  <c r="J1391"/>
  <c r="J1392"/>
  <c r="J1393"/>
  <c r="J1687"/>
  <c r="J1394"/>
  <c r="J375"/>
  <c r="J1395"/>
  <c r="J669"/>
  <c r="J1396"/>
  <c r="J1652"/>
  <c r="J1653"/>
  <c r="J1654"/>
  <c r="J404"/>
  <c r="J1529"/>
  <c r="J1598"/>
  <c r="J670"/>
  <c r="J1061"/>
  <c r="J1397"/>
  <c r="J1398"/>
  <c r="J1399"/>
  <c r="J671"/>
  <c r="J672"/>
  <c r="J861"/>
  <c r="J862"/>
  <c r="J1400"/>
  <c r="J1401"/>
  <c r="J472"/>
  <c r="J473"/>
  <c r="J474"/>
  <c r="J1062"/>
  <c r="J1599"/>
  <c r="J1600"/>
  <c r="J1402"/>
  <c r="J863"/>
  <c r="J1750"/>
  <c r="J1751"/>
  <c r="J1752"/>
  <c r="J1063"/>
  <c r="J1064"/>
  <c r="J1530"/>
  <c r="J673"/>
  <c r="J674"/>
  <c r="J675"/>
  <c r="J864"/>
  <c r="J865"/>
  <c r="J1601"/>
  <c r="J1602"/>
  <c r="J1603"/>
  <c r="J1065"/>
  <c r="J1066"/>
  <c r="J1403"/>
  <c r="J676"/>
  <c r="J1732"/>
  <c r="J761"/>
  <c r="J1404"/>
  <c r="J505"/>
  <c r="J677"/>
  <c r="J762"/>
  <c r="J1067"/>
  <c r="J866"/>
  <c r="J1405"/>
  <c r="J475"/>
  <c r="J476"/>
  <c r="J763"/>
  <c r="J477"/>
  <c r="J478"/>
  <c r="J1406"/>
  <c r="J1068"/>
  <c r="J1407"/>
  <c r="J1408"/>
  <c r="J1409"/>
  <c r="J678"/>
  <c r="J1707"/>
  <c r="J1410"/>
  <c r="J1411"/>
  <c r="J1604"/>
  <c r="J1412"/>
  <c r="J867"/>
  <c r="J868"/>
  <c r="J869"/>
  <c r="J870"/>
  <c r="J1069"/>
  <c r="J1070"/>
  <c r="J871"/>
  <c r="J1413"/>
  <c r="J1071"/>
  <c r="J1072"/>
  <c r="J1073"/>
  <c r="J1074"/>
  <c r="J1708"/>
  <c r="J479"/>
  <c r="J679"/>
  <c r="J680"/>
  <c r="J1414"/>
  <c r="J1075"/>
  <c r="J1733"/>
  <c r="J1415"/>
  <c r="J872"/>
  <c r="J1416"/>
  <c r="J1417"/>
  <c r="J1418"/>
  <c r="J681"/>
  <c r="J1419"/>
  <c r="J873"/>
  <c r="J764"/>
  <c r="J1420"/>
  <c r="J1655"/>
  <c r="J908"/>
  <c r="J1656"/>
  <c r="J108"/>
  <c r="J109"/>
  <c r="J110"/>
  <c r="J111"/>
  <c r="J112"/>
  <c r="J113"/>
  <c r="J13"/>
  <c r="J168"/>
  <c r="J169"/>
  <c r="J170"/>
  <c r="J171"/>
  <c r="J172"/>
  <c r="J114"/>
  <c r="J115"/>
  <c r="J116"/>
  <c r="J117"/>
  <c r="J118"/>
  <c r="J119"/>
  <c r="J314"/>
  <c r="J315"/>
  <c r="J316"/>
  <c r="J317"/>
  <c r="J318"/>
  <c r="J319"/>
  <c r="J320"/>
  <c r="J321"/>
  <c r="J322"/>
  <c r="J323"/>
  <c r="J324"/>
  <c r="J325"/>
  <c r="J326"/>
  <c r="J765"/>
  <c r="J766"/>
  <c r="J405"/>
  <c r="J791"/>
  <c r="J406"/>
  <c r="J682"/>
  <c r="J683"/>
  <c r="J684"/>
  <c r="J376"/>
  <c r="J1421"/>
  <c r="J685"/>
  <c r="J1422"/>
  <c r="J1423"/>
  <c r="J1424"/>
  <c r="J1425"/>
  <c r="J1762"/>
  <c r="J1426"/>
  <c r="J1427"/>
  <c r="J1428"/>
  <c r="J1429"/>
  <c r="J1430"/>
  <c r="J1431"/>
  <c r="J1432"/>
  <c r="J1433"/>
  <c r="J1434"/>
  <c r="J1657"/>
  <c r="J1658"/>
  <c r="J1659"/>
  <c r="J1660"/>
  <c r="J686"/>
  <c r="J1734"/>
  <c r="J687"/>
  <c r="J688"/>
  <c r="J1531"/>
  <c r="J1076"/>
  <c r="J1435"/>
  <c r="J1436"/>
  <c r="J689"/>
  <c r="J690"/>
  <c r="J691"/>
  <c r="J1437"/>
  <c r="J1438"/>
  <c r="J1439"/>
  <c r="J480"/>
  <c r="J481"/>
  <c r="J482"/>
  <c r="J1605"/>
  <c r="J874"/>
  <c r="J1753"/>
  <c r="J692"/>
  <c r="J875"/>
  <c r="J1606"/>
  <c r="J767"/>
  <c r="J1607"/>
  <c r="J1608"/>
  <c r="J1440"/>
  <c r="J1441"/>
  <c r="J1442"/>
  <c r="J506"/>
  <c r="J1077"/>
  <c r="J768"/>
  <c r="J876"/>
  <c r="J1443"/>
  <c r="J693"/>
  <c r="J769"/>
  <c r="J483"/>
  <c r="J484"/>
  <c r="J485"/>
  <c r="J486"/>
  <c r="J1444"/>
  <c r="J1445"/>
  <c r="J1709"/>
  <c r="J1710"/>
  <c r="J1446"/>
  <c r="J1688"/>
  <c r="J1447"/>
  <c r="J877"/>
  <c r="J878"/>
  <c r="J879"/>
  <c r="J1448"/>
  <c r="J1776"/>
  <c r="J1777"/>
  <c r="J1449"/>
  <c r="J1450"/>
  <c r="J880"/>
  <c r="J694"/>
  <c r="J695"/>
  <c r="J909"/>
  <c r="J1763"/>
  <c r="J1451"/>
  <c r="J1452"/>
  <c r="J1735"/>
  <c r="J1453"/>
  <c r="J120"/>
  <c r="J121"/>
  <c r="J122"/>
  <c r="J123"/>
  <c r="J14"/>
  <c r="J173"/>
  <c r="J174"/>
  <c r="J175"/>
  <c r="J176"/>
  <c r="J124"/>
  <c r="J125"/>
  <c r="J126"/>
  <c r="J127"/>
  <c r="J327"/>
  <c r="J328"/>
  <c r="J329"/>
  <c r="J330"/>
  <c r="J331"/>
  <c r="J332"/>
  <c r="J333"/>
  <c r="J334"/>
  <c r="J335"/>
  <c r="J336"/>
  <c r="J337"/>
  <c r="J338"/>
  <c r="J339"/>
  <c r="J770"/>
  <c r="J771"/>
  <c r="J881"/>
  <c r="J1661"/>
  <c r="J1662"/>
  <c r="J772"/>
  <c r="J792"/>
  <c r="J1454"/>
  <c r="J1455"/>
  <c r="J1456"/>
  <c r="J1457"/>
  <c r="J1458"/>
  <c r="J1078"/>
  <c r="J1459"/>
  <c r="J1460"/>
  <c r="J1461"/>
  <c r="J1462"/>
  <c r="J1463"/>
  <c r="J1464"/>
  <c r="J1465"/>
  <c r="J1466"/>
  <c r="J1467"/>
  <c r="J377"/>
  <c r="J1468"/>
  <c r="J1079"/>
  <c r="J1080"/>
  <c r="J1469"/>
  <c r="J1470"/>
  <c r="J1471"/>
  <c r="J1472"/>
  <c r="J1473"/>
  <c r="J1474"/>
  <c r="J1475"/>
  <c r="J1476"/>
  <c r="J1477"/>
  <c r="J1478"/>
  <c r="J1479"/>
  <c r="J1480"/>
  <c r="J1481"/>
  <c r="J1482"/>
  <c r="J1483"/>
  <c r="J1484"/>
  <c r="J1485"/>
  <c r="J1486"/>
  <c r="J1487"/>
  <c r="J1689"/>
  <c r="J1690"/>
  <c r="J1691"/>
  <c r="J1488"/>
  <c r="J1489"/>
  <c r="J1490"/>
  <c r="J1491"/>
  <c r="J1692"/>
  <c r="J1492"/>
  <c r="J696"/>
  <c r="J1493"/>
  <c r="J1494"/>
  <c r="J1495"/>
  <c r="J882"/>
  <c r="J1778"/>
  <c r="J1693"/>
  <c r="J1663"/>
  <c r="J697"/>
  <c r="J1496"/>
  <c r="J1497"/>
  <c r="J1498"/>
  <c r="J698"/>
  <c r="J1081"/>
  <c r="J699"/>
  <c r="J1499"/>
  <c r="J700"/>
  <c r="J701"/>
  <c r="J1082"/>
  <c r="J883"/>
  <c r="J884"/>
  <c r="J487"/>
  <c r="J1500"/>
  <c r="J488"/>
  <c r="J1501"/>
  <c r="J1502"/>
  <c r="J489"/>
  <c r="J490"/>
  <c r="J885"/>
  <c r="J702"/>
  <c r="J703"/>
  <c r="J886"/>
  <c r="J1609"/>
  <c r="J1610"/>
  <c r="J773"/>
  <c r="J774"/>
  <c r="J1503"/>
  <c r="J507"/>
  <c r="J1504"/>
  <c r="J887"/>
  <c r="J1505"/>
  <c r="J775"/>
  <c r="J1083"/>
  <c r="J1084"/>
  <c r="J776"/>
  <c r="J378"/>
  <c r="J491"/>
  <c r="J492"/>
  <c r="J1506"/>
  <c r="J1711"/>
  <c r="J379"/>
  <c r="J1507"/>
  <c r="J777"/>
  <c r="J1085"/>
  <c r="J1086"/>
  <c r="J888"/>
  <c r="J778"/>
  <c r="J889"/>
  <c r="J890"/>
  <c r="J1508"/>
  <c r="J1087"/>
  <c r="J380"/>
  <c r="J1712"/>
  <c r="J1736"/>
  <c r="J493"/>
  <c r="J1713"/>
  <c r="J494"/>
  <c r="J1509"/>
  <c r="J910"/>
  <c r="J1764"/>
  <c r="J891"/>
  <c r="J892"/>
  <c r="J779"/>
  <c r="J893"/>
  <c r="J1737"/>
  <c r="J1738"/>
  <c r="J1088"/>
  <c r="J1510"/>
  <c r="J1694"/>
  <c r="J1611"/>
  <c r="J495"/>
  <c r="J381"/>
  <c r="J780"/>
  <c r="E3"/>
  <c r="E1562"/>
  <c r="E4"/>
  <c r="E5"/>
  <c r="E6"/>
  <c r="E7"/>
  <c r="E8"/>
  <c r="E9"/>
  <c r="E10"/>
  <c r="E11"/>
  <c r="E12"/>
  <c r="E13"/>
  <c r="E14"/>
  <c r="E15"/>
  <c r="E16"/>
  <c r="E17"/>
  <c r="E18"/>
  <c r="E1325"/>
  <c r="E1326"/>
  <c r="E1327"/>
  <c r="E1328"/>
  <c r="E1329"/>
  <c r="E1330"/>
  <c r="E1331"/>
  <c r="E1332"/>
  <c r="E1333"/>
  <c r="E1334"/>
  <c r="E1335"/>
  <c r="E1336"/>
  <c r="E1337"/>
  <c r="E1338"/>
  <c r="E19"/>
  <c r="E20"/>
  <c r="E21"/>
  <c r="E22"/>
  <c r="E23"/>
  <c r="E24"/>
  <c r="E25"/>
  <c r="E26"/>
  <c r="E27"/>
  <c r="E28"/>
  <c r="E29"/>
  <c r="E30"/>
  <c r="E31"/>
  <c r="E1299"/>
  <c r="E1479"/>
  <c r="E1480"/>
  <c r="E32"/>
  <c r="E33"/>
  <c r="E1339"/>
  <c r="E34"/>
  <c r="E1340"/>
  <c r="E35"/>
  <c r="E36"/>
  <c r="E37"/>
  <c r="E38"/>
  <c r="E39"/>
  <c r="E40"/>
  <c r="E41"/>
  <c r="E42"/>
  <c r="E43"/>
  <c r="E44"/>
  <c r="E45"/>
  <c r="E46"/>
  <c r="E47"/>
  <c r="E48"/>
  <c r="E49"/>
  <c r="E50"/>
  <c r="E51"/>
  <c r="E1300"/>
  <c r="E1563"/>
  <c r="E1301"/>
  <c r="E1341"/>
  <c r="E1564"/>
  <c r="E52"/>
  <c r="E53"/>
  <c r="E54"/>
  <c r="E55"/>
  <c r="E56"/>
  <c r="E57"/>
  <c r="E58"/>
  <c r="E59"/>
  <c r="E60"/>
  <c r="E61"/>
  <c r="E62"/>
  <c r="E63"/>
  <c r="E1342"/>
  <c r="E1343"/>
  <c r="E1344"/>
  <c r="E1345"/>
  <c r="E1346"/>
  <c r="E1347"/>
  <c r="E1348"/>
  <c r="E64"/>
  <c r="E65"/>
  <c r="E66"/>
  <c r="E67"/>
  <c r="E68"/>
  <c r="E69"/>
  <c r="E70"/>
  <c r="E71"/>
  <c r="E1349"/>
  <c r="E1350"/>
  <c r="E1507"/>
  <c r="E72"/>
  <c r="E73"/>
  <c r="E74"/>
  <c r="E75"/>
  <c r="E76"/>
  <c r="E77"/>
  <c r="E78"/>
  <c r="E79"/>
  <c r="E80"/>
  <c r="E81"/>
  <c r="E82"/>
  <c r="E83"/>
  <c r="E1510"/>
  <c r="E1302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351"/>
  <c r="E114"/>
  <c r="E115"/>
  <c r="E116"/>
  <c r="E1352"/>
  <c r="E117"/>
  <c r="E118"/>
  <c r="E119"/>
  <c r="E1353"/>
  <c r="E120"/>
  <c r="E121"/>
  <c r="E122"/>
  <c r="E123"/>
  <c r="E124"/>
  <c r="E125"/>
  <c r="E126"/>
  <c r="E127"/>
  <c r="E128"/>
  <c r="E129"/>
  <c r="E130"/>
  <c r="E131"/>
  <c r="E132"/>
  <c r="E133"/>
  <c r="E134"/>
  <c r="E135"/>
  <c r="E1354"/>
  <c r="E1355"/>
  <c r="E1356"/>
  <c r="E1357"/>
  <c r="E1358"/>
  <c r="E1359"/>
  <c r="E1360"/>
  <c r="E1361"/>
  <c r="E1362"/>
  <c r="E1363"/>
  <c r="E136"/>
  <c r="E137"/>
  <c r="E138"/>
  <c r="E139"/>
  <c r="E140"/>
  <c r="E141"/>
  <c r="E142"/>
  <c r="E143"/>
  <c r="E144"/>
  <c r="E1481"/>
  <c r="E145"/>
  <c r="E146"/>
  <c r="E147"/>
  <c r="E148"/>
  <c r="E149"/>
  <c r="E150"/>
  <c r="E1511"/>
  <c r="E1303"/>
  <c r="E151"/>
  <c r="E152"/>
  <c r="E153"/>
  <c r="E154"/>
  <c r="E155"/>
  <c r="E1364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365"/>
  <c r="E1366"/>
  <c r="E1367"/>
  <c r="E1368"/>
  <c r="E1369"/>
  <c r="E1370"/>
  <c r="E1371"/>
  <c r="E1372"/>
  <c r="E1373"/>
  <c r="E1374"/>
  <c r="E194"/>
  <c r="E195"/>
  <c r="E196"/>
  <c r="E197"/>
  <c r="E198"/>
  <c r="E199"/>
  <c r="E200"/>
  <c r="E201"/>
  <c r="E202"/>
  <c r="E1482"/>
  <c r="E1483"/>
  <c r="E203"/>
  <c r="E204"/>
  <c r="E205"/>
  <c r="E206"/>
  <c r="E1304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1375"/>
  <c r="E228"/>
  <c r="E229"/>
  <c r="E230"/>
  <c r="E231"/>
  <c r="E1376"/>
  <c r="E232"/>
  <c r="E1508"/>
  <c r="E233"/>
  <c r="E234"/>
  <c r="E1377"/>
  <c r="E235"/>
  <c r="E236"/>
  <c r="E237"/>
  <c r="E238"/>
  <c r="E239"/>
  <c r="E240"/>
  <c r="E241"/>
  <c r="E242"/>
  <c r="E243"/>
  <c r="E244"/>
  <c r="E245"/>
  <c r="E246"/>
  <c r="E247"/>
  <c r="E248"/>
  <c r="E249"/>
  <c r="E1305"/>
  <c r="E1378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1379"/>
  <c r="E290"/>
  <c r="E291"/>
  <c r="E292"/>
  <c r="E293"/>
  <c r="E1512"/>
  <c r="E1513"/>
  <c r="E294"/>
  <c r="E1380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1381"/>
  <c r="E1382"/>
  <c r="E323"/>
  <c r="E324"/>
  <c r="E325"/>
  <c r="E326"/>
  <c r="E327"/>
  <c r="E328"/>
  <c r="E329"/>
  <c r="E330"/>
  <c r="E1484"/>
  <c r="E331"/>
  <c r="E332"/>
  <c r="E333"/>
  <c r="E334"/>
  <c r="E335"/>
  <c r="E1383"/>
  <c r="E336"/>
  <c r="E337"/>
  <c r="E338"/>
  <c r="E339"/>
  <c r="E340"/>
  <c r="E341"/>
  <c r="E1384"/>
  <c r="E1385"/>
  <c r="E342"/>
  <c r="E1386"/>
  <c r="E343"/>
  <c r="E344"/>
  <c r="E345"/>
  <c r="E346"/>
  <c r="E347"/>
  <c r="E1485"/>
  <c r="E348"/>
  <c r="E349"/>
  <c r="E1387"/>
  <c r="E350"/>
  <c r="E351"/>
  <c r="E352"/>
  <c r="E353"/>
  <c r="E354"/>
  <c r="E355"/>
  <c r="E356"/>
  <c r="E357"/>
  <c r="E358"/>
  <c r="E359"/>
  <c r="E1388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1389"/>
  <c r="E1390"/>
  <c r="E1391"/>
  <c r="E1521"/>
  <c r="E1514"/>
  <c r="E1392"/>
  <c r="E394"/>
  <c r="E395"/>
  <c r="E396"/>
  <c r="E397"/>
  <c r="E398"/>
  <c r="E399"/>
  <c r="E400"/>
  <c r="E401"/>
  <c r="E402"/>
  <c r="E403"/>
  <c r="E1522"/>
  <c r="E1523"/>
  <c r="E404"/>
  <c r="E1393"/>
  <c r="E405"/>
  <c r="E406"/>
  <c r="E407"/>
  <c r="E408"/>
  <c r="E409"/>
  <c r="E410"/>
  <c r="E411"/>
  <c r="E412"/>
  <c r="E413"/>
  <c r="E414"/>
  <c r="E415"/>
  <c r="E1486"/>
  <c r="E1487"/>
  <c r="E1488"/>
  <c r="E1489"/>
  <c r="E1490"/>
  <c r="E416"/>
  <c r="E417"/>
  <c r="E418"/>
  <c r="E419"/>
  <c r="E420"/>
  <c r="E1306"/>
  <c r="E421"/>
  <c r="E422"/>
  <c r="E423"/>
  <c r="E1394"/>
  <c r="E1395"/>
  <c r="E424"/>
  <c r="E1396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1397"/>
  <c r="E1398"/>
  <c r="E442"/>
  <c r="E443"/>
  <c r="E1399"/>
  <c r="E1400"/>
  <c r="E1401"/>
  <c r="E444"/>
  <c r="E445"/>
  <c r="E446"/>
  <c r="E447"/>
  <c r="E448"/>
  <c r="E449"/>
  <c r="E450"/>
  <c r="E451"/>
  <c r="E452"/>
  <c r="E453"/>
  <c r="E454"/>
  <c r="E455"/>
  <c r="E1402"/>
  <c r="E456"/>
  <c r="E457"/>
  <c r="E458"/>
  <c r="E459"/>
  <c r="E460"/>
  <c r="E461"/>
  <c r="E462"/>
  <c r="E463"/>
  <c r="E464"/>
  <c r="E465"/>
  <c r="E466"/>
  <c r="E467"/>
  <c r="E468"/>
  <c r="E469"/>
  <c r="E1491"/>
  <c r="E1492"/>
  <c r="E1493"/>
  <c r="E1494"/>
  <c r="E1495"/>
  <c r="E1496"/>
  <c r="E470"/>
  <c r="E471"/>
  <c r="E472"/>
  <c r="E473"/>
  <c r="E474"/>
  <c r="E475"/>
  <c r="E1621"/>
  <c r="E476"/>
  <c r="E477"/>
  <c r="E478"/>
  <c r="E479"/>
  <c r="E1403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1404"/>
  <c r="E1405"/>
  <c r="E1406"/>
  <c r="E502"/>
  <c r="E503"/>
  <c r="E1407"/>
  <c r="E1408"/>
  <c r="E504"/>
  <c r="E505"/>
  <c r="E506"/>
  <c r="E507"/>
  <c r="E508"/>
  <c r="E509"/>
  <c r="E510"/>
  <c r="E511"/>
  <c r="E512"/>
  <c r="E513"/>
  <c r="E514"/>
  <c r="E515"/>
  <c r="E1524"/>
  <c r="E1307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1409"/>
  <c r="E1538"/>
  <c r="E535"/>
  <c r="E1525"/>
  <c r="E1539"/>
  <c r="E536"/>
  <c r="E537"/>
  <c r="E538"/>
  <c r="E539"/>
  <c r="E1410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1411"/>
  <c r="E567"/>
  <c r="E1412"/>
  <c r="E568"/>
  <c r="E569"/>
  <c r="E570"/>
  <c r="E571"/>
  <c r="E572"/>
  <c r="E1497"/>
  <c r="E573"/>
  <c r="E574"/>
  <c r="E575"/>
  <c r="E576"/>
  <c r="E577"/>
  <c r="E578"/>
  <c r="E579"/>
  <c r="E580"/>
  <c r="E581"/>
  <c r="E582"/>
  <c r="E583"/>
  <c r="E584"/>
  <c r="E585"/>
  <c r="E586"/>
  <c r="E587"/>
  <c r="E1413"/>
  <c r="E588"/>
  <c r="E589"/>
  <c r="E590"/>
  <c r="E591"/>
  <c r="E592"/>
  <c r="E593"/>
  <c r="E594"/>
  <c r="E595"/>
  <c r="E1526"/>
  <c r="E1565"/>
  <c r="E596"/>
  <c r="E1414"/>
  <c r="E597"/>
  <c r="E598"/>
  <c r="E599"/>
  <c r="E600"/>
  <c r="E601"/>
  <c r="E602"/>
  <c r="E603"/>
  <c r="E604"/>
  <c r="E605"/>
  <c r="E606"/>
  <c r="E607"/>
  <c r="E608"/>
  <c r="E609"/>
  <c r="E610"/>
  <c r="E1308"/>
  <c r="E611"/>
  <c r="E612"/>
  <c r="E613"/>
  <c r="E614"/>
  <c r="E615"/>
  <c r="E616"/>
  <c r="E1415"/>
  <c r="E1416"/>
  <c r="E1417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1498"/>
  <c r="E1499"/>
  <c r="E1500"/>
  <c r="E639"/>
  <c r="E640"/>
  <c r="E641"/>
  <c r="E1309"/>
  <c r="E1418"/>
  <c r="E1310"/>
  <c r="E642"/>
  <c r="E1527"/>
  <c r="E643"/>
  <c r="E1515"/>
  <c r="E644"/>
  <c r="E645"/>
  <c r="E1419"/>
  <c r="E1420"/>
  <c r="E646"/>
  <c r="E647"/>
  <c r="E648"/>
  <c r="E649"/>
  <c r="E650"/>
  <c r="E651"/>
  <c r="E652"/>
  <c r="E653"/>
  <c r="E654"/>
  <c r="E655"/>
  <c r="E656"/>
  <c r="E657"/>
  <c r="E1311"/>
  <c r="E658"/>
  <c r="E659"/>
  <c r="E1421"/>
  <c r="E660"/>
  <c r="E661"/>
  <c r="E662"/>
  <c r="E663"/>
  <c r="E664"/>
  <c r="E665"/>
  <c r="E666"/>
  <c r="E667"/>
  <c r="E1422"/>
  <c r="E1501"/>
  <c r="E1502"/>
  <c r="E1503"/>
  <c r="E668"/>
  <c r="E669"/>
  <c r="E670"/>
  <c r="E671"/>
  <c r="E1423"/>
  <c r="E672"/>
  <c r="E1424"/>
  <c r="E673"/>
  <c r="E674"/>
  <c r="E675"/>
  <c r="E1528"/>
  <c r="E676"/>
  <c r="E677"/>
  <c r="E1566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701"/>
  <c r="E702"/>
  <c r="E703"/>
  <c r="E704"/>
  <c r="E705"/>
  <c r="E706"/>
  <c r="E707"/>
  <c r="E708"/>
  <c r="E709"/>
  <c r="E710"/>
  <c r="E711"/>
  <c r="E712"/>
  <c r="E713"/>
  <c r="E714"/>
  <c r="E715"/>
  <c r="E1540"/>
  <c r="E716"/>
  <c r="E1504"/>
  <c r="E717"/>
  <c r="E718"/>
  <c r="E719"/>
  <c r="E720"/>
  <c r="E721"/>
  <c r="E722"/>
  <c r="E1312"/>
  <c r="E723"/>
  <c r="E724"/>
  <c r="E1425"/>
  <c r="E1426"/>
  <c r="E725"/>
  <c r="E726"/>
  <c r="E727"/>
  <c r="E728"/>
  <c r="E729"/>
  <c r="E730"/>
  <c r="E731"/>
  <c r="E732"/>
  <c r="E733"/>
  <c r="E734"/>
  <c r="E735"/>
  <c r="E736"/>
  <c r="E737"/>
  <c r="E738"/>
  <c r="E739"/>
  <c r="E740"/>
  <c r="E741"/>
  <c r="E1529"/>
  <c r="E1313"/>
  <c r="E742"/>
  <c r="E1567"/>
  <c r="E743"/>
  <c r="E744"/>
  <c r="E745"/>
  <c r="E746"/>
  <c r="E747"/>
  <c r="E748"/>
  <c r="E749"/>
  <c r="E750"/>
  <c r="E751"/>
  <c r="E752"/>
  <c r="E753"/>
  <c r="E754"/>
  <c r="E755"/>
  <c r="E756"/>
  <c r="E757"/>
  <c r="E758"/>
  <c r="E759"/>
  <c r="E760"/>
  <c r="E761"/>
  <c r="E762"/>
  <c r="E763"/>
  <c r="E764"/>
  <c r="E765"/>
  <c r="E1314"/>
  <c r="E766"/>
  <c r="E767"/>
  <c r="E768"/>
  <c r="E769"/>
  <c r="E770"/>
  <c r="E771"/>
  <c r="E772"/>
  <c r="E773"/>
  <c r="E774"/>
  <c r="E775"/>
  <c r="E776"/>
  <c r="E777"/>
  <c r="E778"/>
  <c r="E779"/>
  <c r="E1315"/>
  <c r="E1427"/>
  <c r="E780"/>
  <c r="E781"/>
  <c r="E1428"/>
  <c r="E1429"/>
  <c r="E782"/>
  <c r="E783"/>
  <c r="E784"/>
  <c r="E785"/>
  <c r="E786"/>
  <c r="E787"/>
  <c r="E788"/>
  <c r="E789"/>
  <c r="E1568"/>
  <c r="E790"/>
  <c r="E791"/>
  <c r="E792"/>
  <c r="E793"/>
  <c r="E794"/>
  <c r="E1430"/>
  <c r="E1431"/>
  <c r="E795"/>
  <c r="E796"/>
  <c r="E797"/>
  <c r="E798"/>
  <c r="E799"/>
  <c r="E800"/>
  <c r="E801"/>
  <c r="E802"/>
  <c r="E803"/>
  <c r="E804"/>
  <c r="E805"/>
  <c r="E806"/>
  <c r="E807"/>
  <c r="E808"/>
  <c r="E809"/>
  <c r="E810"/>
  <c r="E811"/>
  <c r="E1432"/>
  <c r="E812"/>
  <c r="E813"/>
  <c r="E814"/>
  <c r="E815"/>
  <c r="E816"/>
  <c r="E1433"/>
  <c r="E1530"/>
  <c r="E1541"/>
  <c r="E817"/>
  <c r="E818"/>
  <c r="E819"/>
  <c r="E820"/>
  <c r="E821"/>
  <c r="E822"/>
  <c r="E823"/>
  <c r="E824"/>
  <c r="E825"/>
  <c r="E826"/>
  <c r="E827"/>
  <c r="E828"/>
  <c r="E829"/>
  <c r="E830"/>
  <c r="E831"/>
  <c r="E832"/>
  <c r="E833"/>
  <c r="E834"/>
  <c r="E835"/>
  <c r="E836"/>
  <c r="E837"/>
  <c r="E838"/>
  <c r="E839"/>
  <c r="E840"/>
  <c r="E1531"/>
  <c r="E1434"/>
  <c r="E841"/>
  <c r="E1435"/>
  <c r="E842"/>
  <c r="E843"/>
  <c r="E844"/>
  <c r="E845"/>
  <c r="E846"/>
  <c r="E847"/>
  <c r="E848"/>
  <c r="E849"/>
  <c r="E850"/>
  <c r="E851"/>
  <c r="E852"/>
  <c r="E853"/>
  <c r="E1436"/>
  <c r="E854"/>
  <c r="E855"/>
  <c r="E856"/>
  <c r="E857"/>
  <c r="E858"/>
  <c r="E1437"/>
  <c r="E859"/>
  <c r="E860"/>
  <c r="E861"/>
  <c r="E862"/>
  <c r="E863"/>
  <c r="E864"/>
  <c r="E865"/>
  <c r="E866"/>
  <c r="E867"/>
  <c r="E868"/>
  <c r="E869"/>
  <c r="E870"/>
  <c r="E871"/>
  <c r="E872"/>
  <c r="E873"/>
  <c r="E874"/>
  <c r="E875"/>
  <c r="E876"/>
  <c r="E877"/>
  <c r="E878"/>
  <c r="E879"/>
  <c r="E880"/>
  <c r="E881"/>
  <c r="E882"/>
  <c r="E883"/>
  <c r="E1438"/>
  <c r="E1439"/>
  <c r="E884"/>
  <c r="E885"/>
  <c r="E886"/>
  <c r="E887"/>
  <c r="E888"/>
  <c r="E889"/>
  <c r="E890"/>
  <c r="E891"/>
  <c r="E892"/>
  <c r="E893"/>
  <c r="E894"/>
  <c r="E895"/>
  <c r="E1440"/>
  <c r="E1316"/>
  <c r="E1569"/>
  <c r="E1570"/>
  <c r="E1571"/>
  <c r="E1572"/>
  <c r="E896"/>
  <c r="E897"/>
  <c r="E1441"/>
  <c r="E898"/>
  <c r="E899"/>
  <c r="E1532"/>
  <c r="E900"/>
  <c r="E901"/>
  <c r="E902"/>
  <c r="E903"/>
  <c r="E904"/>
  <c r="E905"/>
  <c r="E906"/>
  <c r="E907"/>
  <c r="E908"/>
  <c r="E909"/>
  <c r="E910"/>
  <c r="E911"/>
  <c r="E912"/>
  <c r="E913"/>
  <c r="E914"/>
  <c r="E1442"/>
  <c r="E915"/>
  <c r="E916"/>
  <c r="E917"/>
  <c r="E918"/>
  <c r="E919"/>
  <c r="E920"/>
  <c r="E921"/>
  <c r="E922"/>
  <c r="E923"/>
  <c r="E924"/>
  <c r="E1443"/>
  <c r="E925"/>
  <c r="E926"/>
  <c r="E927"/>
  <c r="E928"/>
  <c r="E929"/>
  <c r="E930"/>
  <c r="E931"/>
  <c r="E1444"/>
  <c r="E932"/>
  <c r="E933"/>
  <c r="E934"/>
  <c r="E935"/>
  <c r="E936"/>
  <c r="E937"/>
  <c r="E938"/>
  <c r="E939"/>
  <c r="E940"/>
  <c r="E941"/>
  <c r="E942"/>
  <c r="E943"/>
  <c r="E944"/>
  <c r="E945"/>
  <c r="E946"/>
  <c r="E947"/>
  <c r="E948"/>
  <c r="E1445"/>
  <c r="E949"/>
  <c r="E950"/>
  <c r="E951"/>
  <c r="E952"/>
  <c r="E953"/>
  <c r="E954"/>
  <c r="E955"/>
  <c r="E956"/>
  <c r="E957"/>
  <c r="E958"/>
  <c r="E959"/>
  <c r="E960"/>
  <c r="E1573"/>
  <c r="E961"/>
  <c r="E962"/>
  <c r="E963"/>
  <c r="E964"/>
  <c r="E965"/>
  <c r="E966"/>
  <c r="E967"/>
  <c r="E968"/>
  <c r="E969"/>
  <c r="E970"/>
  <c r="E971"/>
  <c r="E972"/>
  <c r="E973"/>
  <c r="E974"/>
  <c r="E975"/>
  <c r="E976"/>
  <c r="E977"/>
  <c r="E978"/>
  <c r="E979"/>
  <c r="E980"/>
  <c r="E981"/>
  <c r="E982"/>
  <c r="E983"/>
  <c r="E984"/>
  <c r="E985"/>
  <c r="E986"/>
  <c r="E1446"/>
  <c r="E987"/>
  <c r="E988"/>
  <c r="E989"/>
  <c r="E990"/>
  <c r="E991"/>
  <c r="E992"/>
  <c r="E993"/>
  <c r="E1574"/>
  <c r="E1622"/>
  <c r="E994"/>
  <c r="E1447"/>
  <c r="E995"/>
  <c r="E996"/>
  <c r="E997"/>
  <c r="E998"/>
  <c r="E999"/>
  <c r="E1000"/>
  <c r="E1001"/>
  <c r="E1002"/>
  <c r="E1003"/>
  <c r="E1004"/>
  <c r="E1317"/>
  <c r="E1005"/>
  <c r="E1006"/>
  <c r="E1007"/>
  <c r="E1008"/>
  <c r="E1009"/>
  <c r="E1010"/>
  <c r="E1011"/>
  <c r="E1012"/>
  <c r="E1013"/>
  <c r="E1014"/>
  <c r="E1015"/>
  <c r="E1016"/>
  <c r="E1017"/>
  <c r="E1018"/>
  <c r="E1019"/>
  <c r="E1020"/>
  <c r="E1505"/>
  <c r="E1448"/>
  <c r="E1021"/>
  <c r="E1022"/>
  <c r="E1023"/>
  <c r="E1024"/>
  <c r="E1025"/>
  <c r="E1026"/>
  <c r="E1027"/>
  <c r="E1028"/>
  <c r="E1029"/>
  <c r="E1030"/>
  <c r="E1031"/>
  <c r="E1032"/>
  <c r="E1033"/>
  <c r="E1034"/>
  <c r="E1449"/>
  <c r="E1450"/>
  <c r="E1451"/>
  <c r="E1452"/>
  <c r="E1575"/>
  <c r="E1576"/>
  <c r="E1577"/>
  <c r="E1578"/>
  <c r="E1579"/>
  <c r="E1580"/>
  <c r="E1035"/>
  <c r="E1318"/>
  <c r="E1581"/>
  <c r="E1036"/>
  <c r="E1037"/>
  <c r="E1038"/>
  <c r="E1039"/>
  <c r="E1040"/>
  <c r="E1582"/>
  <c r="E1583"/>
  <c r="E1584"/>
  <c r="E1585"/>
  <c r="E1041"/>
  <c r="E1586"/>
  <c r="E1587"/>
  <c r="E1588"/>
  <c r="E1589"/>
  <c r="E1590"/>
  <c r="E1591"/>
  <c r="E1592"/>
  <c r="E1593"/>
  <c r="E1594"/>
  <c r="E1595"/>
  <c r="E1596"/>
  <c r="E1597"/>
  <c r="E1319"/>
  <c r="E1598"/>
  <c r="E1599"/>
  <c r="E1600"/>
  <c r="E1601"/>
  <c r="E1602"/>
  <c r="E1603"/>
  <c r="E1604"/>
  <c r="E1042"/>
  <c r="E1605"/>
  <c r="E1606"/>
  <c r="E1607"/>
  <c r="E1608"/>
  <c r="E1043"/>
  <c r="E1044"/>
  <c r="E1609"/>
  <c r="E1045"/>
  <c r="E1046"/>
  <c r="E1047"/>
  <c r="E1048"/>
  <c r="E1049"/>
  <c r="E1050"/>
  <c r="E1051"/>
  <c r="E1052"/>
  <c r="E1053"/>
  <c r="E1453"/>
  <c r="E1454"/>
  <c r="E1610"/>
  <c r="E1611"/>
  <c r="E1612"/>
  <c r="E1613"/>
  <c r="E1614"/>
  <c r="E1615"/>
  <c r="E1054"/>
  <c r="E1616"/>
  <c r="E1617"/>
  <c r="E1618"/>
  <c r="E1055"/>
  <c r="E1056"/>
  <c r="E1057"/>
  <c r="E1058"/>
  <c r="E1059"/>
  <c r="E1455"/>
  <c r="E1456"/>
  <c r="E1060"/>
  <c r="E1061"/>
  <c r="E1062"/>
  <c r="E1063"/>
  <c r="E1064"/>
  <c r="E1065"/>
  <c r="E1066"/>
  <c r="E1067"/>
  <c r="E1068"/>
  <c r="E1069"/>
  <c r="E1070"/>
  <c r="E1071"/>
  <c r="E1072"/>
  <c r="E1073"/>
  <c r="E1074"/>
  <c r="E1320"/>
  <c r="E1075"/>
  <c r="E1076"/>
  <c r="E1077"/>
  <c r="E1078"/>
  <c r="E1079"/>
  <c r="E1080"/>
  <c r="E1457"/>
  <c r="E1081"/>
  <c r="E1082"/>
  <c r="E1083"/>
  <c r="E1084"/>
  <c r="E1085"/>
  <c r="E1086"/>
  <c r="E1087"/>
  <c r="E1088"/>
  <c r="E1089"/>
  <c r="E1090"/>
  <c r="E1091"/>
  <c r="E1092"/>
  <c r="E1458"/>
  <c r="E1093"/>
  <c r="E1094"/>
  <c r="E1095"/>
  <c r="E1096"/>
  <c r="E1097"/>
  <c r="E1098"/>
  <c r="E1099"/>
  <c r="E1100"/>
  <c r="E1459"/>
  <c r="E1101"/>
  <c r="E1102"/>
  <c r="E1103"/>
  <c r="E1104"/>
  <c r="E1105"/>
  <c r="E1106"/>
  <c r="E1516"/>
  <c r="E1517"/>
  <c r="E1542"/>
  <c r="E1518"/>
  <c r="E1107"/>
  <c r="E1108"/>
  <c r="E1109"/>
  <c r="E1110"/>
  <c r="E1111"/>
  <c r="E1112"/>
  <c r="E1113"/>
  <c r="E1543"/>
  <c r="E1114"/>
  <c r="E1115"/>
  <c r="E1116"/>
  <c r="E1117"/>
  <c r="E1118"/>
  <c r="E1119"/>
  <c r="E1120"/>
  <c r="E1121"/>
  <c r="E1460"/>
  <c r="E1461"/>
  <c r="E1462"/>
  <c r="E1463"/>
  <c r="E1533"/>
  <c r="E1534"/>
  <c r="E1619"/>
  <c r="E1122"/>
  <c r="E1123"/>
  <c r="E1124"/>
  <c r="E1464"/>
  <c r="E1544"/>
  <c r="E1535"/>
  <c r="E1536"/>
  <c r="E1537"/>
  <c r="E1125"/>
  <c r="E1126"/>
  <c r="E1127"/>
  <c r="E1128"/>
  <c r="E1129"/>
  <c r="E1130"/>
  <c r="E1465"/>
  <c r="E1131"/>
  <c r="E1132"/>
  <c r="E1506"/>
  <c r="E1133"/>
  <c r="E1134"/>
  <c r="E1135"/>
  <c r="E1136"/>
  <c r="E1466"/>
  <c r="E1467"/>
  <c r="E1321"/>
  <c r="E1322"/>
  <c r="E1468"/>
  <c r="E1469"/>
  <c r="E1470"/>
  <c r="E1471"/>
  <c r="E1137"/>
  <c r="E1620"/>
  <c r="E1138"/>
  <c r="E1139"/>
  <c r="E1140"/>
  <c r="E1141"/>
  <c r="E1472"/>
  <c r="E1545"/>
  <c r="E1546"/>
  <c r="E1142"/>
  <c r="E1143"/>
  <c r="E1323"/>
  <c r="E1473"/>
  <c r="E1547"/>
  <c r="E1548"/>
  <c r="E1144"/>
  <c r="E1145"/>
  <c r="E1146"/>
  <c r="E1147"/>
  <c r="E1148"/>
  <c r="E1149"/>
  <c r="E1150"/>
  <c r="E1151"/>
  <c r="E1152"/>
  <c r="E1153"/>
  <c r="E1154"/>
  <c r="E1155"/>
  <c r="E1156"/>
  <c r="E1157"/>
  <c r="E1158"/>
  <c r="E1159"/>
  <c r="E1474"/>
  <c r="E1549"/>
  <c r="E1550"/>
  <c r="E1551"/>
  <c r="E1160"/>
  <c r="E1161"/>
  <c r="E1324"/>
  <c r="E1162"/>
  <c r="E1163"/>
  <c r="E1164"/>
  <c r="E1165"/>
  <c r="E1166"/>
  <c r="E1167"/>
  <c r="E1168"/>
  <c r="E1169"/>
  <c r="E1170"/>
  <c r="E1171"/>
  <c r="E1172"/>
  <c r="E1173"/>
  <c r="E1475"/>
  <c r="E1552"/>
  <c r="E1174"/>
  <c r="E1175"/>
  <c r="E1176"/>
  <c r="E1177"/>
  <c r="E1178"/>
  <c r="E1179"/>
  <c r="E1180"/>
  <c r="E1181"/>
  <c r="E1182"/>
  <c r="E1183"/>
  <c r="E1184"/>
  <c r="E1185"/>
  <c r="E1186"/>
  <c r="E1187"/>
  <c r="E1188"/>
  <c r="E1189"/>
  <c r="E1190"/>
  <c r="E1191"/>
  <c r="E1192"/>
  <c r="E1193"/>
  <c r="E1194"/>
  <c r="E1195"/>
  <c r="E1196"/>
  <c r="E1197"/>
  <c r="E1198"/>
  <c r="E1199"/>
  <c r="E1200"/>
  <c r="E1201"/>
  <c r="E1202"/>
  <c r="E1203"/>
  <c r="E1204"/>
  <c r="E1205"/>
  <c r="E1206"/>
  <c r="E1207"/>
  <c r="E1208"/>
  <c r="E1209"/>
  <c r="E1210"/>
  <c r="E1211"/>
  <c r="E1212"/>
  <c r="E1213"/>
  <c r="E1214"/>
  <c r="E1215"/>
  <c r="E1216"/>
  <c r="E1217"/>
  <c r="E1218"/>
  <c r="E1219"/>
  <c r="E1220"/>
  <c r="E1221"/>
  <c r="E1222"/>
  <c r="E1223"/>
  <c r="E1224"/>
  <c r="E1225"/>
  <c r="E1226"/>
  <c r="E1227"/>
  <c r="E1228"/>
  <c r="E1229"/>
  <c r="E1230"/>
  <c r="E1231"/>
  <c r="E1232"/>
  <c r="E1233"/>
  <c r="E1234"/>
  <c r="E1476"/>
  <c r="E1509"/>
  <c r="E1553"/>
  <c r="E1235"/>
  <c r="E1236"/>
  <c r="E1237"/>
  <c r="E1238"/>
  <c r="E1239"/>
  <c r="E1240"/>
  <c r="E1241"/>
  <c r="E1242"/>
  <c r="E1243"/>
  <c r="E1244"/>
  <c r="E1245"/>
  <c r="E1246"/>
  <c r="E1247"/>
  <c r="E1248"/>
  <c r="E1249"/>
  <c r="E1250"/>
  <c r="E1251"/>
  <c r="E1252"/>
  <c r="E1253"/>
  <c r="E1254"/>
  <c r="E1255"/>
  <c r="E1256"/>
  <c r="E1257"/>
  <c r="E1258"/>
  <c r="E1259"/>
  <c r="E1260"/>
  <c r="E1261"/>
  <c r="E1262"/>
  <c r="E1263"/>
  <c r="E1264"/>
  <c r="E1265"/>
  <c r="E1266"/>
  <c r="E1267"/>
  <c r="E1268"/>
  <c r="E1269"/>
  <c r="E1270"/>
  <c r="E1271"/>
  <c r="E1272"/>
  <c r="E1273"/>
  <c r="E1274"/>
  <c r="E1275"/>
  <c r="E1276"/>
  <c r="E1277"/>
  <c r="E1278"/>
  <c r="E1477"/>
  <c r="E1554"/>
  <c r="E1478"/>
  <c r="E1555"/>
  <c r="E1556"/>
  <c r="E1279"/>
  <c r="E1280"/>
  <c r="E1281"/>
  <c r="E1282"/>
  <c r="E1283"/>
  <c r="E1284"/>
  <c r="E1285"/>
  <c r="E1286"/>
  <c r="E1287"/>
  <c r="E1288"/>
  <c r="E1289"/>
  <c r="E1519"/>
  <c r="E1557"/>
  <c r="E1290"/>
  <c r="E1291"/>
  <c r="E1292"/>
  <c r="E1293"/>
  <c r="E1294"/>
  <c r="E1295"/>
  <c r="E1296"/>
  <c r="E1558"/>
  <c r="E1297"/>
  <c r="E1298"/>
  <c r="E1520"/>
  <c r="E1559"/>
  <c r="E1560"/>
  <c r="E1561"/>
  <c r="E1623"/>
  <c r="D3"/>
  <c r="D1562"/>
  <c r="D4"/>
  <c r="D5"/>
  <c r="D6"/>
  <c r="D7"/>
  <c r="D8"/>
  <c r="D9"/>
  <c r="D10"/>
  <c r="D11"/>
  <c r="D12"/>
  <c r="D13"/>
  <c r="D14"/>
  <c r="D15"/>
  <c r="D16"/>
  <c r="D17"/>
  <c r="D18"/>
  <c r="D1325"/>
  <c r="D1326"/>
  <c r="D1327"/>
  <c r="D1328"/>
  <c r="D1329"/>
  <c r="D1330"/>
  <c r="D1331"/>
  <c r="D1332"/>
  <c r="D1333"/>
  <c r="D1334"/>
  <c r="D1335"/>
  <c r="D1336"/>
  <c r="D1337"/>
  <c r="D1338"/>
  <c r="D19"/>
  <c r="D20"/>
  <c r="D21"/>
  <c r="D22"/>
  <c r="D23"/>
  <c r="D24"/>
  <c r="D25"/>
  <c r="D26"/>
  <c r="D27"/>
  <c r="D28"/>
  <c r="D29"/>
  <c r="D30"/>
  <c r="D31"/>
  <c r="D1299"/>
  <c r="D1479"/>
  <c r="D1480"/>
  <c r="D32"/>
  <c r="D33"/>
  <c r="D1339"/>
  <c r="D34"/>
  <c r="D1340"/>
  <c r="D35"/>
  <c r="D36"/>
  <c r="D37"/>
  <c r="D38"/>
  <c r="D39"/>
  <c r="D40"/>
  <c r="D41"/>
  <c r="D42"/>
  <c r="D43"/>
  <c r="D44"/>
  <c r="D45"/>
  <c r="D46"/>
  <c r="D47"/>
  <c r="D48"/>
  <c r="D49"/>
  <c r="D50"/>
  <c r="D51"/>
  <c r="D1300"/>
  <c r="D1563"/>
  <c r="D1301"/>
  <c r="D1341"/>
  <c r="D1564"/>
  <c r="D52"/>
  <c r="D53"/>
  <c r="D54"/>
  <c r="D55"/>
  <c r="D56"/>
  <c r="D57"/>
  <c r="D58"/>
  <c r="D59"/>
  <c r="D60"/>
  <c r="D61"/>
  <c r="D62"/>
  <c r="D63"/>
  <c r="D1342"/>
  <c r="D1343"/>
  <c r="D1344"/>
  <c r="D1345"/>
  <c r="D1346"/>
  <c r="D1347"/>
  <c r="D1348"/>
  <c r="D64"/>
  <c r="D65"/>
  <c r="D66"/>
  <c r="D67"/>
  <c r="D68"/>
  <c r="D69"/>
  <c r="D70"/>
  <c r="D71"/>
  <c r="D1349"/>
  <c r="D1350"/>
  <c r="D1507"/>
  <c r="D72"/>
  <c r="D73"/>
  <c r="D74"/>
  <c r="D75"/>
  <c r="D76"/>
  <c r="D77"/>
  <c r="D78"/>
  <c r="D79"/>
  <c r="D80"/>
  <c r="D81"/>
  <c r="D82"/>
  <c r="D83"/>
  <c r="D1510"/>
  <c r="D1302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351"/>
  <c r="D114"/>
  <c r="D115"/>
  <c r="D116"/>
  <c r="D1352"/>
  <c r="D117"/>
  <c r="D118"/>
  <c r="D119"/>
  <c r="D1353"/>
  <c r="D120"/>
  <c r="D121"/>
  <c r="D122"/>
  <c r="D123"/>
  <c r="D124"/>
  <c r="D125"/>
  <c r="D126"/>
  <c r="D127"/>
  <c r="D128"/>
  <c r="D129"/>
  <c r="D130"/>
  <c r="D131"/>
  <c r="D132"/>
  <c r="D133"/>
  <c r="D134"/>
  <c r="D135"/>
  <c r="D1354"/>
  <c r="D1355"/>
  <c r="D1356"/>
  <c r="D1357"/>
  <c r="D1358"/>
  <c r="D1359"/>
  <c r="D1360"/>
  <c r="D1361"/>
  <c r="D1362"/>
  <c r="D1363"/>
  <c r="D136"/>
  <c r="D137"/>
  <c r="D138"/>
  <c r="D139"/>
  <c r="D140"/>
  <c r="D141"/>
  <c r="D142"/>
  <c r="D143"/>
  <c r="D144"/>
  <c r="D1481"/>
  <c r="D145"/>
  <c r="D146"/>
  <c r="D147"/>
  <c r="D148"/>
  <c r="D149"/>
  <c r="D150"/>
  <c r="D1511"/>
  <c r="D1303"/>
  <c r="D151"/>
  <c r="D152"/>
  <c r="D153"/>
  <c r="D154"/>
  <c r="D155"/>
  <c r="D1364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365"/>
  <c r="D1366"/>
  <c r="D1367"/>
  <c r="D1368"/>
  <c r="D1369"/>
  <c r="D1370"/>
  <c r="D1371"/>
  <c r="D1372"/>
  <c r="D1373"/>
  <c r="D1374"/>
  <c r="D194"/>
  <c r="D195"/>
  <c r="D196"/>
  <c r="D197"/>
  <c r="D198"/>
  <c r="D199"/>
  <c r="D200"/>
  <c r="D201"/>
  <c r="D202"/>
  <c r="D1482"/>
  <c r="D1483"/>
  <c r="D203"/>
  <c r="D204"/>
  <c r="D205"/>
  <c r="D206"/>
  <c r="D1304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1375"/>
  <c r="D228"/>
  <c r="D229"/>
  <c r="D230"/>
  <c r="D231"/>
  <c r="D1376"/>
  <c r="D232"/>
  <c r="D1508"/>
  <c r="D233"/>
  <c r="D234"/>
  <c r="D1377"/>
  <c r="D235"/>
  <c r="D236"/>
  <c r="D237"/>
  <c r="D238"/>
  <c r="D239"/>
  <c r="D240"/>
  <c r="D241"/>
  <c r="D242"/>
  <c r="D243"/>
  <c r="D244"/>
  <c r="D245"/>
  <c r="D246"/>
  <c r="D247"/>
  <c r="D248"/>
  <c r="D249"/>
  <c r="D1305"/>
  <c r="D1378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1379"/>
  <c r="D290"/>
  <c r="D291"/>
  <c r="D292"/>
  <c r="D293"/>
  <c r="D1512"/>
  <c r="D1513"/>
  <c r="D294"/>
  <c r="D1380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1381"/>
  <c r="D1382"/>
  <c r="D323"/>
  <c r="D324"/>
  <c r="D325"/>
  <c r="D326"/>
  <c r="D327"/>
  <c r="D328"/>
  <c r="D329"/>
  <c r="D330"/>
  <c r="D1484"/>
  <c r="D331"/>
  <c r="D332"/>
  <c r="D333"/>
  <c r="D334"/>
  <c r="D335"/>
  <c r="D1383"/>
  <c r="D336"/>
  <c r="D337"/>
  <c r="D338"/>
  <c r="D339"/>
  <c r="D340"/>
  <c r="D341"/>
  <c r="D1384"/>
  <c r="D1385"/>
  <c r="D342"/>
  <c r="D1386"/>
  <c r="D343"/>
  <c r="D344"/>
  <c r="D345"/>
  <c r="D346"/>
  <c r="D347"/>
  <c r="D1485"/>
  <c r="D348"/>
  <c r="D349"/>
  <c r="D1387"/>
  <c r="D350"/>
  <c r="D351"/>
  <c r="D352"/>
  <c r="D353"/>
  <c r="D354"/>
  <c r="D355"/>
  <c r="D356"/>
  <c r="D357"/>
  <c r="D358"/>
  <c r="D359"/>
  <c r="D1388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1389"/>
  <c r="D1390"/>
  <c r="D1391"/>
  <c r="D1521"/>
  <c r="D1514"/>
  <c r="D1392"/>
  <c r="D394"/>
  <c r="D395"/>
  <c r="D396"/>
  <c r="D397"/>
  <c r="D398"/>
  <c r="D399"/>
  <c r="D400"/>
  <c r="D401"/>
  <c r="D402"/>
  <c r="D403"/>
  <c r="D1522"/>
  <c r="D1523"/>
  <c r="D404"/>
  <c r="D1393"/>
  <c r="D405"/>
  <c r="D406"/>
  <c r="D407"/>
  <c r="D408"/>
  <c r="D409"/>
  <c r="D410"/>
  <c r="D411"/>
  <c r="D412"/>
  <c r="D413"/>
  <c r="D414"/>
  <c r="D415"/>
  <c r="D1486"/>
  <c r="D1487"/>
  <c r="D1488"/>
  <c r="D1489"/>
  <c r="D1490"/>
  <c r="D416"/>
  <c r="D417"/>
  <c r="D418"/>
  <c r="D419"/>
  <c r="D420"/>
  <c r="D1306"/>
  <c r="D421"/>
  <c r="D422"/>
  <c r="D423"/>
  <c r="D1394"/>
  <c r="D1395"/>
  <c r="D424"/>
  <c r="D1396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1397"/>
  <c r="D1398"/>
  <c r="D442"/>
  <c r="D443"/>
  <c r="D1399"/>
  <c r="D1400"/>
  <c r="D1401"/>
  <c r="D444"/>
  <c r="D445"/>
  <c r="D446"/>
  <c r="D447"/>
  <c r="D448"/>
  <c r="D449"/>
  <c r="D450"/>
  <c r="D451"/>
  <c r="D452"/>
  <c r="D453"/>
  <c r="D454"/>
  <c r="D455"/>
  <c r="D1402"/>
  <c r="D456"/>
  <c r="D457"/>
  <c r="D458"/>
  <c r="D459"/>
  <c r="D460"/>
  <c r="D461"/>
  <c r="D462"/>
  <c r="D463"/>
  <c r="D464"/>
  <c r="D465"/>
  <c r="D466"/>
  <c r="D467"/>
  <c r="D468"/>
  <c r="D469"/>
  <c r="D1491"/>
  <c r="D1492"/>
  <c r="D1493"/>
  <c r="D1494"/>
  <c r="D1495"/>
  <c r="D1496"/>
  <c r="D470"/>
  <c r="D471"/>
  <c r="D472"/>
  <c r="D473"/>
  <c r="D474"/>
  <c r="D475"/>
  <c r="D1621"/>
  <c r="D476"/>
  <c r="D477"/>
  <c r="D478"/>
  <c r="D479"/>
  <c r="D1403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1404"/>
  <c r="D1405"/>
  <c r="D1406"/>
  <c r="D502"/>
  <c r="D503"/>
  <c r="D1407"/>
  <c r="D1408"/>
  <c r="D504"/>
  <c r="D505"/>
  <c r="D506"/>
  <c r="D507"/>
  <c r="D508"/>
  <c r="D509"/>
  <c r="D510"/>
  <c r="D511"/>
  <c r="D512"/>
  <c r="D513"/>
  <c r="D514"/>
  <c r="D515"/>
  <c r="D1524"/>
  <c r="D1307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1409"/>
  <c r="D1538"/>
  <c r="D535"/>
  <c r="D1525"/>
  <c r="D1539"/>
  <c r="D536"/>
  <c r="D537"/>
  <c r="D538"/>
  <c r="D539"/>
  <c r="D1410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1411"/>
  <c r="D567"/>
  <c r="D1412"/>
  <c r="D568"/>
  <c r="D569"/>
  <c r="D570"/>
  <c r="D571"/>
  <c r="D572"/>
  <c r="D1497"/>
  <c r="D573"/>
  <c r="D574"/>
  <c r="D575"/>
  <c r="D576"/>
  <c r="D577"/>
  <c r="D578"/>
  <c r="D579"/>
  <c r="D580"/>
  <c r="D581"/>
  <c r="D582"/>
  <c r="D583"/>
  <c r="D584"/>
  <c r="D585"/>
  <c r="D586"/>
  <c r="D587"/>
  <c r="D1413"/>
  <c r="D588"/>
  <c r="D589"/>
  <c r="D590"/>
  <c r="D591"/>
  <c r="D592"/>
  <c r="D593"/>
  <c r="D594"/>
  <c r="D595"/>
  <c r="D1526"/>
  <c r="D1565"/>
  <c r="D596"/>
  <c r="D1414"/>
  <c r="D597"/>
  <c r="D598"/>
  <c r="D599"/>
  <c r="D600"/>
  <c r="D601"/>
  <c r="D602"/>
  <c r="D603"/>
  <c r="D604"/>
  <c r="D605"/>
  <c r="D606"/>
  <c r="D607"/>
  <c r="D608"/>
  <c r="D609"/>
  <c r="D610"/>
  <c r="D1308"/>
  <c r="D611"/>
  <c r="D612"/>
  <c r="D613"/>
  <c r="D614"/>
  <c r="D615"/>
  <c r="D616"/>
  <c r="D1415"/>
  <c r="D1416"/>
  <c r="D1417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1498"/>
  <c r="D1499"/>
  <c r="D1500"/>
  <c r="D639"/>
  <c r="D640"/>
  <c r="D641"/>
  <c r="D1309"/>
  <c r="D1418"/>
  <c r="D1310"/>
  <c r="D642"/>
  <c r="D1527"/>
  <c r="D643"/>
  <c r="D1515"/>
  <c r="D644"/>
  <c r="D645"/>
  <c r="D1419"/>
  <c r="D1420"/>
  <c r="D646"/>
  <c r="D647"/>
  <c r="D648"/>
  <c r="D649"/>
  <c r="D650"/>
  <c r="D651"/>
  <c r="D652"/>
  <c r="D653"/>
  <c r="D654"/>
  <c r="D655"/>
  <c r="D656"/>
  <c r="D657"/>
  <c r="D1311"/>
  <c r="D658"/>
  <c r="D659"/>
  <c r="D1421"/>
  <c r="D660"/>
  <c r="D661"/>
  <c r="D662"/>
  <c r="D663"/>
  <c r="D664"/>
  <c r="D665"/>
  <c r="D666"/>
  <c r="D667"/>
  <c r="D1422"/>
  <c r="D1501"/>
  <c r="D1502"/>
  <c r="D1503"/>
  <c r="D668"/>
  <c r="D669"/>
  <c r="D670"/>
  <c r="D671"/>
  <c r="D1423"/>
  <c r="D672"/>
  <c r="D1424"/>
  <c r="D673"/>
  <c r="D674"/>
  <c r="D675"/>
  <c r="D1528"/>
  <c r="D676"/>
  <c r="D677"/>
  <c r="D1566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1540"/>
  <c r="D716"/>
  <c r="D1504"/>
  <c r="D717"/>
  <c r="D718"/>
  <c r="D719"/>
  <c r="D720"/>
  <c r="D721"/>
  <c r="D722"/>
  <c r="D1312"/>
  <c r="D723"/>
  <c r="D724"/>
  <c r="D1425"/>
  <c r="D1426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1529"/>
  <c r="D1313"/>
  <c r="D742"/>
  <c r="D1567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1314"/>
  <c r="D766"/>
  <c r="D767"/>
  <c r="D768"/>
  <c r="D769"/>
  <c r="D770"/>
  <c r="D771"/>
  <c r="D772"/>
  <c r="D773"/>
  <c r="D774"/>
  <c r="D775"/>
  <c r="D776"/>
  <c r="D777"/>
  <c r="D778"/>
  <c r="D779"/>
  <c r="D1315"/>
  <c r="D1427"/>
  <c r="D780"/>
  <c r="D781"/>
  <c r="D1428"/>
  <c r="D1429"/>
  <c r="D782"/>
  <c r="D783"/>
  <c r="D784"/>
  <c r="D785"/>
  <c r="D786"/>
  <c r="D787"/>
  <c r="D788"/>
  <c r="D789"/>
  <c r="D1568"/>
  <c r="D790"/>
  <c r="D791"/>
  <c r="D792"/>
  <c r="D793"/>
  <c r="D794"/>
  <c r="D1430"/>
  <c r="D1431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1432"/>
  <c r="D812"/>
  <c r="D813"/>
  <c r="D814"/>
  <c r="D815"/>
  <c r="D816"/>
  <c r="D1433"/>
  <c r="D1530"/>
  <c r="D1541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1531"/>
  <c r="D1434"/>
  <c r="D841"/>
  <c r="D1435"/>
  <c r="D842"/>
  <c r="D843"/>
  <c r="D844"/>
  <c r="D845"/>
  <c r="D846"/>
  <c r="D847"/>
  <c r="D848"/>
  <c r="D849"/>
  <c r="D850"/>
  <c r="D851"/>
  <c r="D852"/>
  <c r="D853"/>
  <c r="D1436"/>
  <c r="D854"/>
  <c r="D855"/>
  <c r="D856"/>
  <c r="D857"/>
  <c r="D858"/>
  <c r="D1437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1438"/>
  <c r="D1439"/>
  <c r="D884"/>
  <c r="D885"/>
  <c r="D886"/>
  <c r="D887"/>
  <c r="D888"/>
  <c r="D889"/>
  <c r="D890"/>
  <c r="D891"/>
  <c r="D892"/>
  <c r="D893"/>
  <c r="D894"/>
  <c r="D895"/>
  <c r="D1440"/>
  <c r="D1316"/>
  <c r="D1569"/>
  <c r="D1570"/>
  <c r="D1571"/>
  <c r="D1572"/>
  <c r="D896"/>
  <c r="D897"/>
  <c r="D1441"/>
  <c r="D898"/>
  <c r="D899"/>
  <c r="D1532"/>
  <c r="D900"/>
  <c r="D901"/>
  <c r="D902"/>
  <c r="D903"/>
  <c r="D904"/>
  <c r="D905"/>
  <c r="D906"/>
  <c r="D907"/>
  <c r="D908"/>
  <c r="D909"/>
  <c r="D910"/>
  <c r="D911"/>
  <c r="D912"/>
  <c r="D913"/>
  <c r="D914"/>
  <c r="D1442"/>
  <c r="D915"/>
  <c r="D916"/>
  <c r="D917"/>
  <c r="D918"/>
  <c r="D919"/>
  <c r="D920"/>
  <c r="D921"/>
  <c r="D922"/>
  <c r="D923"/>
  <c r="D924"/>
  <c r="D1443"/>
  <c r="D925"/>
  <c r="D926"/>
  <c r="D927"/>
  <c r="D928"/>
  <c r="D929"/>
  <c r="D930"/>
  <c r="D931"/>
  <c r="D1444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1445"/>
  <c r="D949"/>
  <c r="D950"/>
  <c r="D951"/>
  <c r="D952"/>
  <c r="D953"/>
  <c r="D954"/>
  <c r="D955"/>
  <c r="D956"/>
  <c r="D957"/>
  <c r="D958"/>
  <c r="D959"/>
  <c r="D960"/>
  <c r="D1573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1446"/>
  <c r="D987"/>
  <c r="D988"/>
  <c r="D989"/>
  <c r="D990"/>
  <c r="D991"/>
  <c r="D992"/>
  <c r="D993"/>
  <c r="D1574"/>
  <c r="D1622"/>
  <c r="D994"/>
  <c r="D1447"/>
  <c r="D995"/>
  <c r="D996"/>
  <c r="D997"/>
  <c r="D998"/>
  <c r="D999"/>
  <c r="D1000"/>
  <c r="D1001"/>
  <c r="D1002"/>
  <c r="D1003"/>
  <c r="D1004"/>
  <c r="D1317"/>
  <c r="D1005"/>
  <c r="D1006"/>
  <c r="D1007"/>
  <c r="D1008"/>
  <c r="D1009"/>
  <c r="D1010"/>
  <c r="D1011"/>
  <c r="D1012"/>
  <c r="D1013"/>
  <c r="D1014"/>
  <c r="D1015"/>
  <c r="D1016"/>
  <c r="D1017"/>
  <c r="D1018"/>
  <c r="D1019"/>
  <c r="D1020"/>
  <c r="D1505"/>
  <c r="D1448"/>
  <c r="D1021"/>
  <c r="D1022"/>
  <c r="D1023"/>
  <c r="D1024"/>
  <c r="D1025"/>
  <c r="D1026"/>
  <c r="D1027"/>
  <c r="D1028"/>
  <c r="D1029"/>
  <c r="D1030"/>
  <c r="D1031"/>
  <c r="D1032"/>
  <c r="D1033"/>
  <c r="D1034"/>
  <c r="D1449"/>
  <c r="D1450"/>
  <c r="D1451"/>
  <c r="D1452"/>
  <c r="D1575"/>
  <c r="D1576"/>
  <c r="D1577"/>
  <c r="D1578"/>
  <c r="D1579"/>
  <c r="D1580"/>
  <c r="D1035"/>
  <c r="D1318"/>
  <c r="D1581"/>
  <c r="D1036"/>
  <c r="D1037"/>
  <c r="D1038"/>
  <c r="D1039"/>
  <c r="D1040"/>
  <c r="D1582"/>
  <c r="D1583"/>
  <c r="D1584"/>
  <c r="D1585"/>
  <c r="D1041"/>
  <c r="D1586"/>
  <c r="D1587"/>
  <c r="D1588"/>
  <c r="D1589"/>
  <c r="D1590"/>
  <c r="D1591"/>
  <c r="D1592"/>
  <c r="D1593"/>
  <c r="D1594"/>
  <c r="D1595"/>
  <c r="D1596"/>
  <c r="D1597"/>
  <c r="D1319"/>
  <c r="D1598"/>
  <c r="D1599"/>
  <c r="D1600"/>
  <c r="D1601"/>
  <c r="D1602"/>
  <c r="D1603"/>
  <c r="D1604"/>
  <c r="D1042"/>
  <c r="D1605"/>
  <c r="D1606"/>
  <c r="D1607"/>
  <c r="D1608"/>
  <c r="D1043"/>
  <c r="D1044"/>
  <c r="D1609"/>
  <c r="D1045"/>
  <c r="D1046"/>
  <c r="D1047"/>
  <c r="D1048"/>
  <c r="D1049"/>
  <c r="D1050"/>
  <c r="D1051"/>
  <c r="D1052"/>
  <c r="D1053"/>
  <c r="D1453"/>
  <c r="D1454"/>
  <c r="D1610"/>
  <c r="D1611"/>
  <c r="D1612"/>
  <c r="D1613"/>
  <c r="D1614"/>
  <c r="D1615"/>
  <c r="D1054"/>
  <c r="D1616"/>
  <c r="D1617"/>
  <c r="D1618"/>
  <c r="D1055"/>
  <c r="D1056"/>
  <c r="D1057"/>
  <c r="D1058"/>
  <c r="D1059"/>
  <c r="D1455"/>
  <c r="D1456"/>
  <c r="D1060"/>
  <c r="D1061"/>
  <c r="D1062"/>
  <c r="D1063"/>
  <c r="D1064"/>
  <c r="D1065"/>
  <c r="D1066"/>
  <c r="D1067"/>
  <c r="D1068"/>
  <c r="D1069"/>
  <c r="D1070"/>
  <c r="D1071"/>
  <c r="D1072"/>
  <c r="D1073"/>
  <c r="D1074"/>
  <c r="D1320"/>
  <c r="D1075"/>
  <c r="D1076"/>
  <c r="D1077"/>
  <c r="D1078"/>
  <c r="D1079"/>
  <c r="D1080"/>
  <c r="D1457"/>
  <c r="D1081"/>
  <c r="D1082"/>
  <c r="D1083"/>
  <c r="D1084"/>
  <c r="D1085"/>
  <c r="D1086"/>
  <c r="D1087"/>
  <c r="D1088"/>
  <c r="D1089"/>
  <c r="D1090"/>
  <c r="D1091"/>
  <c r="D1092"/>
  <c r="D1458"/>
  <c r="D1093"/>
  <c r="D1094"/>
  <c r="D1095"/>
  <c r="D1096"/>
  <c r="D1097"/>
  <c r="D1098"/>
  <c r="D1099"/>
  <c r="D1100"/>
  <c r="D1459"/>
  <c r="D1101"/>
  <c r="D1102"/>
  <c r="D1103"/>
  <c r="D1104"/>
  <c r="D1105"/>
  <c r="D1106"/>
  <c r="D1516"/>
  <c r="D1517"/>
  <c r="D1542"/>
  <c r="D1518"/>
  <c r="D1107"/>
  <c r="D1108"/>
  <c r="D1109"/>
  <c r="D1110"/>
  <c r="D1111"/>
  <c r="D1112"/>
  <c r="D1113"/>
  <c r="D1543"/>
  <c r="D1114"/>
  <c r="D1115"/>
  <c r="D1116"/>
  <c r="D1117"/>
  <c r="D1118"/>
  <c r="D1119"/>
  <c r="D1120"/>
  <c r="D1121"/>
  <c r="D1460"/>
  <c r="D1461"/>
  <c r="D1462"/>
  <c r="D1463"/>
  <c r="D1533"/>
  <c r="D1534"/>
  <c r="D1619"/>
  <c r="D1122"/>
  <c r="D1123"/>
  <c r="D1124"/>
  <c r="D1464"/>
  <c r="D1544"/>
  <c r="D1535"/>
  <c r="D1536"/>
  <c r="D1537"/>
  <c r="D1125"/>
  <c r="D1126"/>
  <c r="D1127"/>
  <c r="D1128"/>
  <c r="D1129"/>
  <c r="D1130"/>
  <c r="D1465"/>
  <c r="D1131"/>
  <c r="D1132"/>
  <c r="D1506"/>
  <c r="D1133"/>
  <c r="D1134"/>
  <c r="D1135"/>
  <c r="D1136"/>
  <c r="D1466"/>
  <c r="D1467"/>
  <c r="D1321"/>
  <c r="D1322"/>
  <c r="D1468"/>
  <c r="D1469"/>
  <c r="D1470"/>
  <c r="D1471"/>
  <c r="D1137"/>
  <c r="D1620"/>
  <c r="D1138"/>
  <c r="D1139"/>
  <c r="D1140"/>
  <c r="D1141"/>
  <c r="D1472"/>
  <c r="D1545"/>
  <c r="D1546"/>
  <c r="D1142"/>
  <c r="D1143"/>
  <c r="D1323"/>
  <c r="D1473"/>
  <c r="D1547"/>
  <c r="D1548"/>
  <c r="D1144"/>
  <c r="D1145"/>
  <c r="D1146"/>
  <c r="D1147"/>
  <c r="D1148"/>
  <c r="D1149"/>
  <c r="D1150"/>
  <c r="D1151"/>
  <c r="D1152"/>
  <c r="D1153"/>
  <c r="D1154"/>
  <c r="D1155"/>
  <c r="D1156"/>
  <c r="D1157"/>
  <c r="D1158"/>
  <c r="D1159"/>
  <c r="D1474"/>
  <c r="D1549"/>
  <c r="D1550"/>
  <c r="D1551"/>
  <c r="D1160"/>
  <c r="D1161"/>
  <c r="D1324"/>
  <c r="D1162"/>
  <c r="D1163"/>
  <c r="D1164"/>
  <c r="D1165"/>
  <c r="D1166"/>
  <c r="D1167"/>
  <c r="D1168"/>
  <c r="D1169"/>
  <c r="D1170"/>
  <c r="D1171"/>
  <c r="D1172"/>
  <c r="D1173"/>
  <c r="D1475"/>
  <c r="D1552"/>
  <c r="D1174"/>
  <c r="D1175"/>
  <c r="D1176"/>
  <c r="D1177"/>
  <c r="D1178"/>
  <c r="D1179"/>
  <c r="D1180"/>
  <c r="D1181"/>
  <c r="D1182"/>
  <c r="D1183"/>
  <c r="D1184"/>
  <c r="D1185"/>
  <c r="D1186"/>
  <c r="D1187"/>
  <c r="D1188"/>
  <c r="D1189"/>
  <c r="D1190"/>
  <c r="D1191"/>
  <c r="D1192"/>
  <c r="D1193"/>
  <c r="D1194"/>
  <c r="D1195"/>
  <c r="D1196"/>
  <c r="D1197"/>
  <c r="D1198"/>
  <c r="D1199"/>
  <c r="D1200"/>
  <c r="D1201"/>
  <c r="D1202"/>
  <c r="D1203"/>
  <c r="D1204"/>
  <c r="D1205"/>
  <c r="D1206"/>
  <c r="D1207"/>
  <c r="D1208"/>
  <c r="D1209"/>
  <c r="D1210"/>
  <c r="D1211"/>
  <c r="D1212"/>
  <c r="D1213"/>
  <c r="D1214"/>
  <c r="D1215"/>
  <c r="D1216"/>
  <c r="D1217"/>
  <c r="D1218"/>
  <c r="D1219"/>
  <c r="D1220"/>
  <c r="D1221"/>
  <c r="D1222"/>
  <c r="D1223"/>
  <c r="D1224"/>
  <c r="D1225"/>
  <c r="D1226"/>
  <c r="D1227"/>
  <c r="D1228"/>
  <c r="D1229"/>
  <c r="D1230"/>
  <c r="D1231"/>
  <c r="D1232"/>
  <c r="D1233"/>
  <c r="D1234"/>
  <c r="D1476"/>
  <c r="D1509"/>
  <c r="D1553"/>
  <c r="D1235"/>
  <c r="D1236"/>
  <c r="D1237"/>
  <c r="D1238"/>
  <c r="D1239"/>
  <c r="D1240"/>
  <c r="D1241"/>
  <c r="D1242"/>
  <c r="D1243"/>
  <c r="D1244"/>
  <c r="D1245"/>
  <c r="D1246"/>
  <c r="D1247"/>
  <c r="D1248"/>
  <c r="D1249"/>
  <c r="D1250"/>
  <c r="D1251"/>
  <c r="D1252"/>
  <c r="D1253"/>
  <c r="D1254"/>
  <c r="D1255"/>
  <c r="D1256"/>
  <c r="D1257"/>
  <c r="D1258"/>
  <c r="D1259"/>
  <c r="D1260"/>
  <c r="D1261"/>
  <c r="D1262"/>
  <c r="D1263"/>
  <c r="D1264"/>
  <c r="D1265"/>
  <c r="D1266"/>
  <c r="D1267"/>
  <c r="D1268"/>
  <c r="D1269"/>
  <c r="D1270"/>
  <c r="D1271"/>
  <c r="D1272"/>
  <c r="D1273"/>
  <c r="D1274"/>
  <c r="D1275"/>
  <c r="D1276"/>
  <c r="D1277"/>
  <c r="D1278"/>
  <c r="D1477"/>
  <c r="D1554"/>
  <c r="D1478"/>
  <c r="D1555"/>
  <c r="D1556"/>
  <c r="D1279"/>
  <c r="D1280"/>
  <c r="D1281"/>
  <c r="D1282"/>
  <c r="D1283"/>
  <c r="D1284"/>
  <c r="D1285"/>
  <c r="D1286"/>
  <c r="D1287"/>
  <c r="D1288"/>
  <c r="D1289"/>
  <c r="D1519"/>
  <c r="D1557"/>
  <c r="D1290"/>
  <c r="D1291"/>
  <c r="D1292"/>
  <c r="D1293"/>
  <c r="D1294"/>
  <c r="D1295"/>
  <c r="D1296"/>
  <c r="D1558"/>
  <c r="D1297"/>
  <c r="D1298"/>
  <c r="D1520"/>
  <c r="D1559"/>
  <c r="D1560"/>
  <c r="D1561"/>
  <c r="D1623"/>
  <c r="K15"/>
  <c r="J15"/>
  <c r="E2"/>
  <c r="D2"/>
  <c r="N6" l="1"/>
  <c r="O6"/>
  <c r="P19"/>
  <c r="N42"/>
  <c r="N40"/>
  <c r="N38"/>
  <c r="N36"/>
  <c r="N34"/>
  <c r="N32"/>
  <c r="N30"/>
  <c r="N28"/>
  <c r="N26"/>
  <c r="N24"/>
  <c r="N22"/>
  <c r="N20"/>
  <c r="X42"/>
  <c r="V42"/>
  <c r="T42"/>
  <c r="R42"/>
  <c r="P42"/>
  <c r="Y41"/>
  <c r="W41"/>
  <c r="U41"/>
  <c r="S41"/>
  <c r="Q41"/>
  <c r="O41"/>
  <c r="X40"/>
  <c r="V40"/>
  <c r="T40"/>
  <c r="R40"/>
  <c r="P40"/>
  <c r="Y39"/>
  <c r="W39"/>
  <c r="U39"/>
  <c r="S39"/>
  <c r="Q39"/>
  <c r="O39"/>
  <c r="X38"/>
  <c r="V38"/>
  <c r="T38"/>
  <c r="R38"/>
  <c r="P38"/>
  <c r="Y37"/>
  <c r="W37"/>
  <c r="U37"/>
  <c r="S37"/>
  <c r="Q37"/>
  <c r="O37"/>
  <c r="X36"/>
  <c r="V36"/>
  <c r="T36"/>
  <c r="R36"/>
  <c r="P36"/>
  <c r="Y35"/>
  <c r="W35"/>
  <c r="U35"/>
  <c r="S35"/>
  <c r="Q35"/>
  <c r="O35"/>
  <c r="X34"/>
  <c r="V34"/>
  <c r="T34"/>
  <c r="R34"/>
  <c r="P34"/>
  <c r="Y33"/>
  <c r="W33"/>
  <c r="U33"/>
  <c r="S33"/>
  <c r="Q33"/>
  <c r="O33"/>
  <c r="X32"/>
  <c r="V32"/>
  <c r="T32"/>
  <c r="R32"/>
  <c r="P32"/>
  <c r="Y31"/>
  <c r="W31"/>
  <c r="U31"/>
  <c r="S31"/>
  <c r="Q31"/>
  <c r="O31"/>
  <c r="X30"/>
  <c r="V30"/>
  <c r="T30"/>
  <c r="R30"/>
  <c r="P30"/>
  <c r="Y29"/>
  <c r="W29"/>
  <c r="U29"/>
  <c r="S29"/>
  <c r="Q29"/>
  <c r="O29"/>
  <c r="X28"/>
  <c r="V28"/>
  <c r="T28"/>
  <c r="R28"/>
  <c r="P28"/>
  <c r="Y27"/>
  <c r="W27"/>
  <c r="U27"/>
  <c r="S27"/>
  <c r="Q27"/>
  <c r="O27"/>
  <c r="X26"/>
  <c r="V26"/>
  <c r="T26"/>
  <c r="R26"/>
  <c r="P26"/>
  <c r="Y25"/>
  <c r="W25"/>
  <c r="U25"/>
  <c r="S25"/>
  <c r="Q25"/>
  <c r="O25"/>
  <c r="X24"/>
  <c r="V24"/>
  <c r="T24"/>
  <c r="R24"/>
  <c r="P24"/>
  <c r="Y23"/>
  <c r="W23"/>
  <c r="U23"/>
  <c r="S23"/>
  <c r="Q23"/>
  <c r="O23"/>
  <c r="X22"/>
  <c r="V22"/>
  <c r="T22"/>
  <c r="R22"/>
  <c r="P22"/>
  <c r="Y21"/>
  <c r="W21"/>
  <c r="U21"/>
  <c r="S21"/>
  <c r="Q21"/>
  <c r="O21"/>
  <c r="X20"/>
  <c r="V20"/>
  <c r="T20"/>
  <c r="R20"/>
  <c r="P20"/>
  <c r="Y19"/>
  <c r="W19"/>
  <c r="U19"/>
  <c r="S19"/>
  <c r="Q19"/>
  <c r="O19"/>
  <c r="N19"/>
  <c r="N41"/>
  <c r="N39"/>
  <c r="N37"/>
  <c r="N35"/>
  <c r="N33"/>
  <c r="N31"/>
  <c r="N29"/>
  <c r="N27"/>
  <c r="N25"/>
  <c r="N23"/>
  <c r="N21"/>
  <c r="Y42"/>
  <c r="W42"/>
  <c r="U42"/>
  <c r="S42"/>
  <c r="Q42"/>
  <c r="O42"/>
  <c r="X41"/>
  <c r="V41"/>
  <c r="T41"/>
  <c r="R41"/>
  <c r="P41"/>
  <c r="Y40"/>
  <c r="W40"/>
  <c r="U40"/>
  <c r="S40"/>
  <c r="Q40"/>
  <c r="O40"/>
  <c r="X39"/>
  <c r="V39"/>
  <c r="T39"/>
  <c r="R39"/>
  <c r="P39"/>
  <c r="Y38"/>
  <c r="W38"/>
  <c r="U38"/>
  <c r="S38"/>
  <c r="Q38"/>
  <c r="O38"/>
  <c r="X37"/>
  <c r="V37"/>
  <c r="T37"/>
  <c r="R37"/>
  <c r="P37"/>
  <c r="Y36"/>
  <c r="W36"/>
  <c r="U36"/>
  <c r="S36"/>
  <c r="Q36"/>
  <c r="O36"/>
  <c r="X35"/>
  <c r="V35"/>
  <c r="T35"/>
  <c r="R35"/>
  <c r="P35"/>
  <c r="Y34"/>
  <c r="W34"/>
  <c r="U34"/>
  <c r="S34"/>
  <c r="Q34"/>
  <c r="O34"/>
  <c r="X33"/>
  <c r="V33"/>
  <c r="T33"/>
  <c r="R33"/>
  <c r="P33"/>
  <c r="Y32"/>
  <c r="W32"/>
  <c r="U32"/>
  <c r="S32"/>
  <c r="Q32"/>
  <c r="O32"/>
  <c r="X31"/>
  <c r="V31"/>
  <c r="T31"/>
  <c r="R31"/>
  <c r="P31"/>
  <c r="Y30"/>
  <c r="W30"/>
  <c r="U30"/>
  <c r="S30"/>
  <c r="Q30"/>
  <c r="O30"/>
  <c r="X29"/>
  <c r="V29"/>
  <c r="T29"/>
  <c r="R29"/>
  <c r="P29"/>
  <c r="Y28"/>
  <c r="W28"/>
  <c r="U28"/>
  <c r="S28"/>
  <c r="Q28"/>
  <c r="O28"/>
  <c r="X27"/>
  <c r="V27"/>
  <c r="T27"/>
  <c r="R27"/>
  <c r="Z27" s="1"/>
  <c r="P27"/>
  <c r="Y26"/>
  <c r="W26"/>
  <c r="U26"/>
  <c r="S26"/>
  <c r="Q26"/>
  <c r="O26"/>
  <c r="X25"/>
  <c r="V25"/>
  <c r="T25"/>
  <c r="R25"/>
  <c r="P25"/>
  <c r="Y24"/>
  <c r="W24"/>
  <c r="U24"/>
  <c r="S24"/>
  <c r="Q24"/>
  <c r="O24"/>
  <c r="X23"/>
  <c r="V23"/>
  <c r="T23"/>
  <c r="R23"/>
  <c r="P23"/>
  <c r="Y22"/>
  <c r="W22"/>
  <c r="U22"/>
  <c r="S22"/>
  <c r="Q22"/>
  <c r="O22"/>
  <c r="X21"/>
  <c r="V21"/>
  <c r="T21"/>
  <c r="R21"/>
  <c r="P21"/>
  <c r="Y20"/>
  <c r="W20"/>
  <c r="U20"/>
  <c r="S20"/>
  <c r="Q20"/>
  <c r="O20"/>
  <c r="X19"/>
  <c r="V19"/>
  <c r="T19"/>
  <c r="R19"/>
  <c r="N13"/>
  <c r="N11"/>
  <c r="N9"/>
  <c r="N7"/>
  <c r="X14"/>
  <c r="V14"/>
  <c r="T14"/>
  <c r="R14"/>
  <c r="P14"/>
  <c r="Y13"/>
  <c r="W13"/>
  <c r="U13"/>
  <c r="S13"/>
  <c r="Q13"/>
  <c r="O13"/>
  <c r="X12"/>
  <c r="V12"/>
  <c r="T12"/>
  <c r="R12"/>
  <c r="P12"/>
  <c r="Y11"/>
  <c r="W11"/>
  <c r="U11"/>
  <c r="S11"/>
  <c r="Q11"/>
  <c r="O11"/>
  <c r="X10"/>
  <c r="V10"/>
  <c r="T10"/>
  <c r="R10"/>
  <c r="P10"/>
  <c r="Y9"/>
  <c r="W9"/>
  <c r="U9"/>
  <c r="S9"/>
  <c r="Q9"/>
  <c r="O9"/>
  <c r="X8"/>
  <c r="V8"/>
  <c r="T8"/>
  <c r="R8"/>
  <c r="P8"/>
  <c r="Y7"/>
  <c r="W7"/>
  <c r="U7"/>
  <c r="S7"/>
  <c r="Q7"/>
  <c r="O7"/>
  <c r="X6"/>
  <c r="V6"/>
  <c r="T6"/>
  <c r="R6"/>
  <c r="P6"/>
  <c r="N14"/>
  <c r="N12"/>
  <c r="N10"/>
  <c r="N8"/>
  <c r="Y14"/>
  <c r="W14"/>
  <c r="U14"/>
  <c r="S14"/>
  <c r="Q14"/>
  <c r="O14"/>
  <c r="Z14" s="1"/>
  <c r="X13"/>
  <c r="V13"/>
  <c r="T13"/>
  <c r="R13"/>
  <c r="P13"/>
  <c r="Y12"/>
  <c r="W12"/>
  <c r="U12"/>
  <c r="S12"/>
  <c r="Q12"/>
  <c r="O12"/>
  <c r="X11"/>
  <c r="V11"/>
  <c r="T11"/>
  <c r="R11"/>
  <c r="P11"/>
  <c r="Y10"/>
  <c r="W10"/>
  <c r="U10"/>
  <c r="S10"/>
  <c r="Q10"/>
  <c r="O10"/>
  <c r="X9"/>
  <c r="V9"/>
  <c r="T9"/>
  <c r="R9"/>
  <c r="P9"/>
  <c r="Y8"/>
  <c r="W8"/>
  <c r="U8"/>
  <c r="S8"/>
  <c r="Q8"/>
  <c r="O8"/>
  <c r="X7"/>
  <c r="V7"/>
  <c r="T7"/>
  <c r="R7"/>
  <c r="P7"/>
  <c r="Y6"/>
  <c r="W6"/>
  <c r="U6"/>
  <c r="S6"/>
  <c r="Q6"/>
  <c r="Z37"/>
  <c r="Z36"/>
  <c r="Z33"/>
  <c r="Z30"/>
  <c r="Z12"/>
  <c r="N15"/>
  <c r="V15" l="1"/>
  <c r="Z13"/>
  <c r="Y15"/>
  <c r="Z38"/>
  <c r="N43"/>
  <c r="P15"/>
  <c r="X15"/>
  <c r="Z11"/>
  <c r="S15"/>
  <c r="W15"/>
  <c r="T15"/>
  <c r="Z35"/>
  <c r="Z25"/>
  <c r="P43"/>
  <c r="Z28"/>
  <c r="W43"/>
  <c r="Z24"/>
  <c r="Z26"/>
  <c r="Z29"/>
  <c r="Z32"/>
  <c r="Z34"/>
  <c r="Z40"/>
  <c r="Z41"/>
  <c r="Z42"/>
  <c r="Z31"/>
  <c r="Z39"/>
  <c r="U43"/>
  <c r="Y43"/>
  <c r="T43"/>
  <c r="X43"/>
  <c r="Q43"/>
  <c r="Z8"/>
  <c r="Z23"/>
  <c r="Z9"/>
  <c r="O15"/>
  <c r="R15"/>
  <c r="Z10"/>
  <c r="Q15"/>
  <c r="U15"/>
  <c r="U46" s="1"/>
  <c r="Z21"/>
  <c r="O43"/>
  <c r="O46" s="1"/>
  <c r="S43"/>
  <c r="Z22"/>
  <c r="Z19"/>
  <c r="V43"/>
  <c r="V46" s="1"/>
  <c r="Z20"/>
  <c r="T46"/>
  <c r="Z43"/>
  <c r="N46"/>
  <c r="R43"/>
  <c r="Z7"/>
  <c r="Z6"/>
  <c r="Z15"/>
  <c r="P46"/>
  <c r="Y46" l="1"/>
  <c r="W46"/>
  <c r="X46"/>
  <c r="S46"/>
  <c r="Q46"/>
  <c r="R46"/>
</calcChain>
</file>

<file path=xl/connections.xml><?xml version="1.0" encoding="utf-8"?>
<connections xmlns="http://schemas.openxmlformats.org/spreadsheetml/2006/main">
  <connection id="1" sourceFile="C:\Users\Moï\Desktop\Uni\FCA\PR\PR 4\pagaments_cobraments.accdb" keepAlive="1" name="Conexión" type="5" refreshedVersion="3" background="1" saveData="1">
    <dbPr connection="Provider=Microsoft.ACE.OLEDB.12.0;User ID=Admin;Data Source=C:\Users\Moï\Desktop\Uni\FCA\PR\PR 4\pagaments_cobrament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Cobraments" commandType="3"/>
  </connection>
  <connection id="2" sourceFile="C:\Users\Moï\Desktop\Uni\FCA\PR\PR 4\pagaments_cobraments.accdb" keepAlive="1" name="Conexión1" type="5" refreshedVersion="3" background="1" saveData="1">
    <dbPr connection="Provider=Microsoft.ACE.OLEDB.12.0;User ID=Admin;Data Source=C:\Users\Moï\Desktop\Uni\FCA\PR\PR 4\pagaments_cobrament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Pagaments" commandType="3"/>
  </connection>
</connections>
</file>

<file path=xl/sharedStrings.xml><?xml version="1.0" encoding="utf-8"?>
<sst xmlns="http://schemas.openxmlformats.org/spreadsheetml/2006/main" count="17350" uniqueCount="275">
  <si>
    <t>Data</t>
  </si>
  <si>
    <t>Import cobrament</t>
  </si>
  <si>
    <t>Concepte</t>
  </si>
  <si>
    <t>003 003 31130 01</t>
  </si>
  <si>
    <t>003 003 54100 01</t>
  </si>
  <si>
    <t>004 004 31104 01</t>
  </si>
  <si>
    <t>004 004 31105 01</t>
  </si>
  <si>
    <t>002 002 31108 01</t>
  </si>
  <si>
    <t>002 002 31109 01</t>
  </si>
  <si>
    <t>002 002 31110 01</t>
  </si>
  <si>
    <t>002 002 31901 01</t>
  </si>
  <si>
    <t>002 002 31910 01</t>
  </si>
  <si>
    <t>003 003 31102 01</t>
  </si>
  <si>
    <t>003 003 31103 01</t>
  </si>
  <si>
    <t>003 003 31300 01</t>
  </si>
  <si>
    <t>003 003 32000 01</t>
  </si>
  <si>
    <t>001 001 31902 01</t>
  </si>
  <si>
    <t>004 004 31112 01</t>
  </si>
  <si>
    <t>004 004 31126 01</t>
  </si>
  <si>
    <t>004 004 31144 01</t>
  </si>
  <si>
    <t>004 004 31147 01</t>
  </si>
  <si>
    <t>004 004 31133 01</t>
  </si>
  <si>
    <t>004 004 31134 01</t>
  </si>
  <si>
    <t>001 001 54110 01</t>
  </si>
  <si>
    <t>004 004 31904 01</t>
  </si>
  <si>
    <t>001 001 32300 01</t>
  </si>
  <si>
    <t>001 001 40000 01</t>
  </si>
  <si>
    <t>004 004 31128 01</t>
  </si>
  <si>
    <t>004 004 31106 01</t>
  </si>
  <si>
    <t>004 004 31107 01</t>
  </si>
  <si>
    <t>004 004 31127 01</t>
  </si>
  <si>
    <t>004 004 31136 01</t>
  </si>
  <si>
    <t>004 004 31901 01</t>
  </si>
  <si>
    <t>003 003 31111 01</t>
  </si>
  <si>
    <t>002 002 31118 01</t>
  </si>
  <si>
    <t>004 004 31138 01</t>
  </si>
  <si>
    <t>001 001 35000 01</t>
  </si>
  <si>
    <t>004 004 31300 01</t>
  </si>
  <si>
    <t>004 004 31906 01</t>
  </si>
  <si>
    <t>004 004 31121 01</t>
  </si>
  <si>
    <t>004 004 31124 01</t>
  </si>
  <si>
    <t>004 004 31135 01</t>
  </si>
  <si>
    <t>001 001 31101 01</t>
  </si>
  <si>
    <t>004 004 44000 01</t>
  </si>
  <si>
    <t>003 003 31901 01</t>
  </si>
  <si>
    <t>001 001 61520 01</t>
  </si>
  <si>
    <t>001 001 44000 01</t>
  </si>
  <si>
    <t>004 004 31902 01</t>
  </si>
  <si>
    <t>001 001 52000 01</t>
  </si>
  <si>
    <t>003 003 44000 01</t>
  </si>
  <si>
    <t>002 002 31902 01</t>
  </si>
  <si>
    <t>004 004 31142 01</t>
  </si>
  <si>
    <t>002 002 54100 01</t>
  </si>
  <si>
    <t>004 004 31143 01</t>
  </si>
  <si>
    <t>002 002 44000 01</t>
  </si>
  <si>
    <t>002 002 31300 01</t>
  </si>
  <si>
    <t>001 001 54100 01</t>
  </si>
  <si>
    <t>004 004 54100 01</t>
  </si>
  <si>
    <t>004 004 31141 01</t>
  </si>
  <si>
    <t>001 001 70200 01</t>
  </si>
  <si>
    <t>004 004 31137 01</t>
  </si>
  <si>
    <t>Import</t>
  </si>
  <si>
    <t>Data operació</t>
  </si>
  <si>
    <t>11000</t>
  </si>
  <si>
    <t>20090125</t>
  </si>
  <si>
    <t>10000</t>
  </si>
  <si>
    <t>13000</t>
  </si>
  <si>
    <t>11010</t>
  </si>
  <si>
    <t>16010</t>
  </si>
  <si>
    <t>16000</t>
  </si>
  <si>
    <t>16050</t>
  </si>
  <si>
    <t>16001</t>
  </si>
  <si>
    <t>16300</t>
  </si>
  <si>
    <t>20090129</t>
  </si>
  <si>
    <t>48220</t>
  </si>
  <si>
    <t>22020</t>
  </si>
  <si>
    <t>22766</t>
  </si>
  <si>
    <t>21300</t>
  </si>
  <si>
    <t>22740</t>
  </si>
  <si>
    <t>34910</t>
  </si>
  <si>
    <t>22660</t>
  </si>
  <si>
    <t>22040</t>
  </si>
  <si>
    <t>22030</t>
  </si>
  <si>
    <t>22050</t>
  </si>
  <si>
    <t>22001</t>
  </si>
  <si>
    <t>22460</t>
  </si>
  <si>
    <t>22310</t>
  </si>
  <si>
    <t>20090130</t>
  </si>
  <si>
    <t>23100</t>
  </si>
  <si>
    <t>22010</t>
  </si>
  <si>
    <t>20200</t>
  </si>
  <si>
    <t>20090202</t>
  </si>
  <si>
    <t>22100</t>
  </si>
  <si>
    <t>20090203</t>
  </si>
  <si>
    <t>22200</t>
  </si>
  <si>
    <t>20090204</t>
  </si>
  <si>
    <t>20090218</t>
  </si>
  <si>
    <t>20090224</t>
  </si>
  <si>
    <t>22760</t>
  </si>
  <si>
    <t>22400</t>
  </si>
  <si>
    <t>22610</t>
  </si>
  <si>
    <t>22700</t>
  </si>
  <si>
    <t>22670</t>
  </si>
  <si>
    <t>22710</t>
  </si>
  <si>
    <t>22300</t>
  </si>
  <si>
    <t>60610</t>
  </si>
  <si>
    <t>22000</t>
  </si>
  <si>
    <t>22160</t>
  </si>
  <si>
    <t>21500</t>
  </si>
  <si>
    <t>22190</t>
  </si>
  <si>
    <t>22765</t>
  </si>
  <si>
    <t>22770</t>
  </si>
  <si>
    <t>20090226</t>
  </si>
  <si>
    <t>20090227</t>
  </si>
  <si>
    <t>20090225</t>
  </si>
  <si>
    <t>20090302</t>
  </si>
  <si>
    <t>22110</t>
  </si>
  <si>
    <t>20090303</t>
  </si>
  <si>
    <t>20090304</t>
  </si>
  <si>
    <t>20090305</t>
  </si>
  <si>
    <t>20090326</t>
  </si>
  <si>
    <t>60810</t>
  </si>
  <si>
    <t>48235</t>
  </si>
  <si>
    <t>64050</t>
  </si>
  <si>
    <t>60520</t>
  </si>
  <si>
    <t>22130</t>
  </si>
  <si>
    <t>60500</t>
  </si>
  <si>
    <t>60340</t>
  </si>
  <si>
    <t>60890</t>
  </si>
  <si>
    <t>20090330</t>
  </si>
  <si>
    <t>20090331</t>
  </si>
  <si>
    <t>20090325</t>
  </si>
  <si>
    <t>22180</t>
  </si>
  <si>
    <t>20090331 20</t>
  </si>
  <si>
    <t>20090401 20</t>
  </si>
  <si>
    <t>20090401</t>
  </si>
  <si>
    <t>20090402</t>
  </si>
  <si>
    <t>20090403</t>
  </si>
  <si>
    <t>20090416</t>
  </si>
  <si>
    <t>20090423</t>
  </si>
  <si>
    <t>20090423 20</t>
  </si>
  <si>
    <t>060500</t>
  </si>
  <si>
    <t>20090630 20</t>
  </si>
  <si>
    <t>48230</t>
  </si>
  <si>
    <t>20090427</t>
  </si>
  <si>
    <t>20090430</t>
  </si>
  <si>
    <t>20090430 20</t>
  </si>
  <si>
    <t>522766</t>
  </si>
  <si>
    <t>20090505</t>
  </si>
  <si>
    <t>20090425</t>
  </si>
  <si>
    <t>20090507</t>
  </si>
  <si>
    <t>20090515</t>
  </si>
  <si>
    <t>20090526</t>
  </si>
  <si>
    <t>20090526 20</t>
  </si>
  <si>
    <t>760500</t>
  </si>
  <si>
    <t>22681</t>
  </si>
  <si>
    <t>21600</t>
  </si>
  <si>
    <t>22320</t>
  </si>
  <si>
    <t>64000</t>
  </si>
  <si>
    <t>22410</t>
  </si>
  <si>
    <t>20090527</t>
  </si>
  <si>
    <t>20090529</t>
  </si>
  <si>
    <t>20090602</t>
  </si>
  <si>
    <t>20090525</t>
  </si>
  <si>
    <t>20090603</t>
  </si>
  <si>
    <t>20090604</t>
  </si>
  <si>
    <t>20090608</t>
  </si>
  <si>
    <t>20090625</t>
  </si>
  <si>
    <t>23010</t>
  </si>
  <si>
    <t>11060</t>
  </si>
  <si>
    <t>20090630</t>
  </si>
  <si>
    <t>534910</t>
  </si>
  <si>
    <t>20090806 20</t>
  </si>
  <si>
    <t>20090702</t>
  </si>
  <si>
    <t>20090706</t>
  </si>
  <si>
    <t>20090723</t>
  </si>
  <si>
    <t>16310</t>
  </si>
  <si>
    <t>20090729</t>
  </si>
  <si>
    <t>20090730</t>
  </si>
  <si>
    <t>20090803</t>
  </si>
  <si>
    <t>20090725</t>
  </si>
  <si>
    <t>20090806</t>
  </si>
  <si>
    <t>20090812</t>
  </si>
  <si>
    <t>20090818</t>
  </si>
  <si>
    <t>20090825 20</t>
  </si>
  <si>
    <t>20090831 20</t>
  </si>
  <si>
    <t>20090825</t>
  </si>
  <si>
    <t>20090901</t>
  </si>
  <si>
    <t>20090902</t>
  </si>
  <si>
    <t>20090903</t>
  </si>
  <si>
    <t>20090916</t>
  </si>
  <si>
    <t>20090922</t>
  </si>
  <si>
    <t>20090929</t>
  </si>
  <si>
    <t>20090930</t>
  </si>
  <si>
    <t>20090930 20</t>
  </si>
  <si>
    <t>623010</t>
  </si>
  <si>
    <t>723100</t>
  </si>
  <si>
    <t>20091001</t>
  </si>
  <si>
    <t>20090925</t>
  </si>
  <si>
    <t>20091002</t>
  </si>
  <si>
    <t>20091005</t>
  </si>
  <si>
    <t>20091009</t>
  </si>
  <si>
    <t>20091023</t>
  </si>
  <si>
    <t>20091028</t>
  </si>
  <si>
    <t>20091030</t>
  </si>
  <si>
    <t>20091025</t>
  </si>
  <si>
    <t>20091103</t>
  </si>
  <si>
    <t>20091105</t>
  </si>
  <si>
    <t>20091109</t>
  </si>
  <si>
    <t>20091113</t>
  </si>
  <si>
    <t>20091126</t>
  </si>
  <si>
    <t>20091127</t>
  </si>
  <si>
    <t>20091130</t>
  </si>
  <si>
    <t>20091125</t>
  </si>
  <si>
    <t>20091201</t>
  </si>
  <si>
    <t>20091202</t>
  </si>
  <si>
    <t>20091203</t>
  </si>
  <si>
    <t>20091209</t>
  </si>
  <si>
    <t>20091210</t>
  </si>
  <si>
    <t>20091222</t>
  </si>
  <si>
    <t>20091220</t>
  </si>
  <si>
    <t>20091223</t>
  </si>
  <si>
    <t>20091230</t>
  </si>
  <si>
    <t>20091231</t>
  </si>
  <si>
    <t>20100104</t>
  </si>
  <si>
    <t>20100105</t>
  </si>
  <si>
    <t>20100126</t>
  </si>
  <si>
    <t>20100127</t>
  </si>
  <si>
    <t>20100128</t>
  </si>
  <si>
    <t>Num cobrament</t>
  </si>
  <si>
    <t>Forma Cobr</t>
  </si>
  <si>
    <t>Banc</t>
  </si>
  <si>
    <t>Moneda</t>
  </si>
  <si>
    <t>Num client</t>
  </si>
  <si>
    <t>TF</t>
  </si>
  <si>
    <t>TJ</t>
  </si>
  <si>
    <t>RI</t>
  </si>
  <si>
    <t>CP</t>
  </si>
  <si>
    <t>DM</t>
  </si>
  <si>
    <t>EF</t>
  </si>
  <si>
    <t>Nom del banc</t>
  </si>
  <si>
    <t>Md_Pag_</t>
  </si>
  <si>
    <t>99</t>
  </si>
  <si>
    <t>Caixa Central</t>
  </si>
  <si>
    <t>56</t>
  </si>
  <si>
    <t>04</t>
  </si>
  <si>
    <t>CREDIT ANDORRA</t>
  </si>
  <si>
    <t>49</t>
  </si>
  <si>
    <t>01</t>
  </si>
  <si>
    <t>ANDBANC</t>
  </si>
  <si>
    <t>52</t>
  </si>
  <si>
    <t>54</t>
  </si>
  <si>
    <t>58</t>
  </si>
  <si>
    <t>53</t>
  </si>
  <si>
    <t>48</t>
  </si>
  <si>
    <t>55</t>
  </si>
  <si>
    <t>03</t>
  </si>
  <si>
    <t>BANC INTERNACIONAL - BANCA MORA</t>
  </si>
  <si>
    <t>05</t>
  </si>
  <si>
    <t>BANCA MORA</t>
  </si>
  <si>
    <t>20</t>
  </si>
  <si>
    <t>95</t>
  </si>
  <si>
    <t>08</t>
  </si>
  <si>
    <t>BANCSABADELL D'ANDORRA</t>
  </si>
  <si>
    <t>02</t>
  </si>
  <si>
    <t>BANCA PRIVADA</t>
  </si>
  <si>
    <t>57</t>
  </si>
  <si>
    <t>Concepte Mod</t>
  </si>
  <si>
    <t>Mes</t>
  </si>
  <si>
    <t>TOTAL</t>
  </si>
  <si>
    <t>Balanç Cobraments</t>
  </si>
  <si>
    <t>Balanç Pagaments</t>
  </si>
  <si>
    <t>Concepte/Mes</t>
  </si>
  <si>
    <t>Saldo</t>
  </si>
  <si>
    <t>Al inserir dades, aquestes afecten a les taules seguents, pero al fer neteja dades, les esborra totes. Podem decidir de inserir ordenadament o al final des d'un sol formulari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</si>
</sst>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2" borderId="0" xfId="0" applyFill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NumberFormat="1" applyFill="1"/>
    <xf numFmtId="0" fontId="0" fillId="2" borderId="0" xfId="0" applyNumberFormat="1" applyFill="1" applyBorder="1"/>
    <xf numFmtId="14" fontId="0" fillId="2" borderId="0" xfId="0" applyNumberFormat="1" applyFill="1"/>
    <xf numFmtId="14" fontId="0" fillId="2" borderId="0" xfId="0" applyNumberFormat="1" applyFill="1" applyBorder="1"/>
    <xf numFmtId="0" fontId="0" fillId="3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3" fillId="2" borderId="0" xfId="0" applyFont="1" applyFill="1" applyAlignment="1">
      <alignment horizontal="center" wrapText="1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2" borderId="2" xfId="0" applyFill="1" applyBorder="1" applyAlignment="1">
      <alignment horizontal="center"/>
    </xf>
  </cellXfs>
  <cellStyles count="1">
    <cellStyle name="Normal" xfId="0" builtinId="0"/>
  </cellStyles>
  <dxfs count="18">
    <dxf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rgb="FFFFC000"/>
        </patternFill>
      </fill>
    </dxf>
    <dxf>
      <numFmt numFmtId="0" formatCode="General"/>
      <fill>
        <patternFill patternType="solid">
          <fgColor indexed="64"/>
          <bgColor rgb="FFFFC000"/>
        </patternFill>
      </fill>
    </dxf>
    <dxf>
      <numFmt numFmtId="0" formatCode="General"/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rgb="FFFFC000"/>
        </patternFill>
      </fill>
    </dxf>
    <dxf>
      <numFmt numFmtId="19" formatCode="dd/mm/yyyy"/>
      <fill>
        <patternFill patternType="solid">
          <fgColor indexed="64"/>
          <bgColor rgb="FFFFC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view3D>
      <c:rAngAx val="1"/>
    </c:view3D>
    <c:plotArea>
      <c:layout/>
      <c:bar3DChart>
        <c:barDir val="col"/>
        <c:grouping val="clustered"/>
        <c:ser>
          <c:idx val="0"/>
          <c:order val="0"/>
          <c:tx>
            <c:v>Cobraments</c:v>
          </c:tx>
          <c:val>
            <c:numRef>
              <c:f>EXERCICI_1!$N$15:$Y$15</c:f>
              <c:numCache>
                <c:formatCode>General</c:formatCode>
                <c:ptCount val="12"/>
                <c:pt idx="0">
                  <c:v>31571.769999999993</c:v>
                </c:pt>
                <c:pt idx="1">
                  <c:v>338406.7</c:v>
                </c:pt>
                <c:pt idx="2">
                  <c:v>127024.36</c:v>
                </c:pt>
                <c:pt idx="3">
                  <c:v>38904.6</c:v>
                </c:pt>
                <c:pt idx="4">
                  <c:v>29807.03</c:v>
                </c:pt>
                <c:pt idx="5">
                  <c:v>690141.91000000015</c:v>
                </c:pt>
                <c:pt idx="6">
                  <c:v>327337.25000000012</c:v>
                </c:pt>
                <c:pt idx="7">
                  <c:v>7477.7199999999993</c:v>
                </c:pt>
                <c:pt idx="8">
                  <c:v>192818.14000000004</c:v>
                </c:pt>
                <c:pt idx="9">
                  <c:v>394608.72000000003</c:v>
                </c:pt>
                <c:pt idx="10">
                  <c:v>245033.81000000003</c:v>
                </c:pt>
                <c:pt idx="11">
                  <c:v>8678.57</c:v>
                </c:pt>
              </c:numCache>
            </c:numRef>
          </c:val>
        </c:ser>
        <c:ser>
          <c:idx val="1"/>
          <c:order val="1"/>
          <c:tx>
            <c:v>Pagaments</c:v>
          </c:tx>
          <c:val>
            <c:numRef>
              <c:f>EXERCICI_1!$N$43:$Y$43</c:f>
              <c:numCache>
                <c:formatCode>General</c:formatCode>
                <c:ptCount val="12"/>
                <c:pt idx="0">
                  <c:v>355430.29</c:v>
                </c:pt>
                <c:pt idx="1">
                  <c:v>205390.68999999994</c:v>
                </c:pt>
                <c:pt idx="2">
                  <c:v>226328.37999999998</c:v>
                </c:pt>
                <c:pt idx="3">
                  <c:v>193929.7</c:v>
                </c:pt>
                <c:pt idx="4">
                  <c:v>212996.12</c:v>
                </c:pt>
                <c:pt idx="5">
                  <c:v>213873.87</c:v>
                </c:pt>
                <c:pt idx="6">
                  <c:v>168370.54</c:v>
                </c:pt>
                <c:pt idx="7">
                  <c:v>112291.80999999998</c:v>
                </c:pt>
                <c:pt idx="8">
                  <c:v>400359.94999999995</c:v>
                </c:pt>
                <c:pt idx="9">
                  <c:v>213345.46</c:v>
                </c:pt>
                <c:pt idx="10">
                  <c:v>228481.47000000003</c:v>
                </c:pt>
                <c:pt idx="11">
                  <c:v>364035.18999999994</c:v>
                </c:pt>
              </c:numCache>
            </c:numRef>
          </c:val>
        </c:ser>
        <c:shape val="box"/>
        <c:axId val="122423936"/>
        <c:axId val="122438784"/>
        <c:axId val="0"/>
      </c:bar3DChart>
      <c:catAx>
        <c:axId val="1224239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Mesos</a:t>
                </a:r>
              </a:p>
            </c:rich>
          </c:tx>
          <c:layout/>
        </c:title>
        <c:tickLblPos val="nextTo"/>
        <c:crossAx val="122438784"/>
        <c:crosses val="autoZero"/>
        <c:auto val="1"/>
        <c:lblAlgn val="ctr"/>
        <c:lblOffset val="100"/>
      </c:catAx>
      <c:valAx>
        <c:axId val="12243878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Quantitat (€)</a:t>
                </a:r>
              </a:p>
            </c:rich>
          </c:tx>
          <c:layout/>
        </c:title>
        <c:numFmt formatCode="General" sourceLinked="1"/>
        <c:tickLblPos val="nextTo"/>
        <c:crossAx val="1224239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plotArea>
      <c:layout/>
      <c:barChart>
        <c:barDir val="col"/>
        <c:grouping val="clustered"/>
        <c:ser>
          <c:idx val="0"/>
          <c:order val="0"/>
          <c:val>
            <c:numRef>
              <c:f>EXERCICI_1!$N$46:$Y$46</c:f>
              <c:numCache>
                <c:formatCode>General</c:formatCode>
                <c:ptCount val="12"/>
                <c:pt idx="0">
                  <c:v>-323858.51999999996</c:v>
                </c:pt>
                <c:pt idx="1">
                  <c:v>133016.01000000007</c:v>
                </c:pt>
                <c:pt idx="2">
                  <c:v>-99304.019999999975</c:v>
                </c:pt>
                <c:pt idx="3">
                  <c:v>-155025.1</c:v>
                </c:pt>
                <c:pt idx="4">
                  <c:v>-183189.09</c:v>
                </c:pt>
                <c:pt idx="5">
                  <c:v>476268.04000000015</c:v>
                </c:pt>
                <c:pt idx="6">
                  <c:v>158966.71000000011</c:v>
                </c:pt>
                <c:pt idx="7">
                  <c:v>-104814.08999999998</c:v>
                </c:pt>
                <c:pt idx="8">
                  <c:v>-207541.80999999991</c:v>
                </c:pt>
                <c:pt idx="9">
                  <c:v>181263.26000000004</c:v>
                </c:pt>
                <c:pt idx="10">
                  <c:v>16552.339999999997</c:v>
                </c:pt>
                <c:pt idx="11">
                  <c:v>-355356.61999999994</c:v>
                </c:pt>
              </c:numCache>
            </c:numRef>
          </c:val>
        </c:ser>
        <c:axId val="122450688"/>
        <c:axId val="122452608"/>
      </c:barChart>
      <c:catAx>
        <c:axId val="1224506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Mesos</a:t>
                </a:r>
              </a:p>
            </c:rich>
          </c:tx>
          <c:layout/>
        </c:title>
        <c:numFmt formatCode="General" sourceLinked="1"/>
        <c:tickLblPos val="nextTo"/>
        <c:crossAx val="122452608"/>
        <c:crosses val="autoZero"/>
        <c:auto val="1"/>
        <c:lblAlgn val="ctr"/>
        <c:lblOffset val="100"/>
      </c:catAx>
      <c:valAx>
        <c:axId val="12245260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Quantitat(€)</a:t>
                </a:r>
              </a:p>
            </c:rich>
          </c:tx>
          <c:layout/>
        </c:title>
        <c:numFmt formatCode="General" sourceLinked="1"/>
        <c:tickLblPos val="nextTo"/>
        <c:crossAx val="122450688"/>
        <c:crosses val="autoZero"/>
        <c:crossBetween val="between"/>
      </c:valAx>
    </c:plotArea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685503</xdr:colOff>
      <xdr:row>47</xdr:row>
      <xdr:rowOff>21431</xdr:rowOff>
    </xdr:from>
    <xdr:to>
      <xdr:col>29</xdr:col>
      <xdr:colOff>147637</xdr:colOff>
      <xdr:row>66</xdr:row>
      <xdr:rowOff>150019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19050</xdr:colOff>
      <xdr:row>47</xdr:row>
      <xdr:rowOff>9525</xdr:rowOff>
    </xdr:from>
    <xdr:to>
      <xdr:col>19</xdr:col>
      <xdr:colOff>195262</xdr:colOff>
      <xdr:row>66</xdr:row>
      <xdr:rowOff>138112</xdr:rowOff>
    </xdr:to>
    <xdr:graphicFrame macro="">
      <xdr:nvGraphicFramePr>
        <xdr:cNvPr id="4" name="3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DatosExternos_1" connectionId="1" autoFormatId="16" applyNumberFormats="0" applyBorderFormats="0" applyFontFormats="1" applyPatternFormats="1" applyAlignmentFormats="0" applyWidthHeightFormats="0">
  <queryTableRefresh nextId="9">
    <queryTableFields count="8">
      <queryTableField id="1" name="Data" tableColumnId="9"/>
      <queryTableField id="2" name="Num cobrament" tableColumnId="10"/>
      <queryTableField id="3" name="Forma Cobr" tableColumnId="11"/>
      <queryTableField id="4" name="Banc" tableColumnId="12"/>
      <queryTableField id="5" name="Import cobrament" tableColumnId="13"/>
      <queryTableField id="6" name="Moneda" tableColumnId="14"/>
      <queryTableField id="7" name="Concepte" tableColumnId="15"/>
      <queryTableField id="8" name="Num client" tableColumnId="16"/>
    </queryTableFields>
  </queryTableRefresh>
</queryTable>
</file>

<file path=xl/queryTables/queryTable2.xml><?xml version="1.0" encoding="utf-8"?>
<queryTable xmlns="http://schemas.openxmlformats.org/spreadsheetml/2006/main" name="DatosExternos_2" connectionId="2" autoFormatId="16" applyNumberFormats="0" applyBorderFormats="0" applyFontFormats="1" applyPatternFormats="1" applyAlignmentFormats="0" applyWidthHeightFormats="0">
  <queryTableRefresh nextId="7">
    <queryTableFields count="6">
      <queryTableField id="1" name="Concepte" tableColumnId="7"/>
      <queryTableField id="2" name="Banc" tableColumnId="8"/>
      <queryTableField id="3" name="Nom del banc" tableColumnId="9"/>
      <queryTableField id="4" name="Md_Pag_" tableColumnId="10"/>
      <queryTableField id="5" name="Import" tableColumnId="11"/>
      <queryTableField id="6" name="Data operació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9" name="Tabla_pagaments_cobraments.accdb" displayName="Tabla_pagaments_cobraments.accdb" ref="A1:H1623" tableType="queryTable" totalsRowShown="0" headerRowDxfId="9" dataDxfId="8">
  <autoFilter ref="A1:H1623"/>
  <tableColumns count="8">
    <tableColumn id="9" uniqueName="9" name="Data" queryTableFieldId="1" dataDxfId="17"/>
    <tableColumn id="10" uniqueName="10" name="Num cobrament" queryTableFieldId="2" dataDxfId="16"/>
    <tableColumn id="11" uniqueName="11" name="Forma Cobr" queryTableFieldId="3" dataDxfId="15"/>
    <tableColumn id="12" uniqueName="12" name="Banc" queryTableFieldId="4" dataDxfId="14"/>
    <tableColumn id="13" uniqueName="13" name="Import cobrament" queryTableFieldId="5" dataDxfId="13"/>
    <tableColumn id="14" uniqueName="14" name="Moneda" queryTableFieldId="6" dataDxfId="12"/>
    <tableColumn id="15" uniqueName="15" name="Concepte" queryTableFieldId="7" dataDxfId="11"/>
    <tableColumn id="16" uniqueName="16" name="Num client" queryTableFieldId="8" dataDxfId="1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0" name="Tabla_pagaments_cobraments.accdb_1" displayName="Tabla_pagaments_cobraments.accdb_1" ref="K1:P1781" tableType="queryTable" totalsRowShown="0" headerRowDxfId="1" dataDxfId="0">
  <autoFilter ref="K1:P1781"/>
  <tableColumns count="6">
    <tableColumn id="7" uniqueName="7" name="Concepte" queryTableFieldId="1" dataDxfId="7"/>
    <tableColumn id="8" uniqueName="8" name="Banc" queryTableFieldId="2" dataDxfId="6"/>
    <tableColumn id="9" uniqueName="9" name="Nom del banc" queryTableFieldId="3" dataDxfId="5"/>
    <tableColumn id="10" uniqueName="10" name="Md_Pag_" queryTableFieldId="4" dataDxfId="4"/>
    <tableColumn id="11" uniqueName="11" name="Import" queryTableFieldId="5" dataDxfId="3"/>
    <tableColumn id="12" uniqueName="12" name="Data operació" queryTableFieldId="6" dataDxfId="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P1780"/>
  <sheetViews>
    <sheetView topLeftCell="B1" workbookViewId="0">
      <selection activeCell="I1" sqref="I1"/>
    </sheetView>
  </sheetViews>
  <sheetFormatPr baseColWidth="10" defaultRowHeight="15"/>
  <cols>
    <col min="1" max="1" width="10.7109375" style="7" bestFit="1" customWidth="1"/>
    <col min="2" max="2" width="15.28515625" style="1" bestFit="1" customWidth="1"/>
    <col min="3" max="3" width="11.140625" style="1" bestFit="1" customWidth="1"/>
    <col min="4" max="4" width="5.140625" style="1" bestFit="1" customWidth="1"/>
    <col min="5" max="5" width="17.140625" style="1" bestFit="1" customWidth="1"/>
    <col min="6" max="6" width="8.42578125" style="1" bestFit="1" customWidth="1"/>
    <col min="7" max="7" width="15.28515625" style="1" bestFit="1" customWidth="1"/>
    <col min="8" max="8" width="10.7109375" style="1" bestFit="1" customWidth="1"/>
    <col min="9" max="10" width="11.42578125" style="1"/>
    <col min="11" max="11" width="9.42578125" style="1" customWidth="1"/>
    <col min="12" max="12" width="5.140625" style="1" customWidth="1"/>
    <col min="13" max="13" width="35.42578125" style="1" bestFit="1" customWidth="1"/>
    <col min="14" max="14" width="9.140625" style="1" customWidth="1"/>
    <col min="15" max="15" width="10" style="1" customWidth="1"/>
    <col min="16" max="16" width="13.140625" style="1" bestFit="1" customWidth="1"/>
    <col min="17" max="16384" width="11.42578125" style="1"/>
  </cols>
  <sheetData>
    <row r="1" spans="1:16">
      <c r="A1" s="7" t="s">
        <v>0</v>
      </c>
      <c r="B1" s="5" t="s">
        <v>229</v>
      </c>
      <c r="C1" s="5" t="s">
        <v>230</v>
      </c>
      <c r="D1" s="5" t="s">
        <v>231</v>
      </c>
      <c r="E1" s="5" t="s">
        <v>1</v>
      </c>
      <c r="F1" s="5" t="s">
        <v>232</v>
      </c>
      <c r="G1" s="5" t="s">
        <v>2</v>
      </c>
      <c r="H1" s="5" t="s">
        <v>233</v>
      </c>
      <c r="K1" s="1" t="s">
        <v>2</v>
      </c>
      <c r="L1" s="1" t="s">
        <v>231</v>
      </c>
      <c r="M1" s="1" t="s">
        <v>240</v>
      </c>
      <c r="N1" s="1" t="s">
        <v>241</v>
      </c>
      <c r="O1" s="1" t="s">
        <v>61</v>
      </c>
      <c r="P1" s="1" t="s">
        <v>62</v>
      </c>
    </row>
    <row r="2" spans="1:16">
      <c r="A2" s="8">
        <v>39904</v>
      </c>
      <c r="B2" s="6">
        <v>474</v>
      </c>
      <c r="C2" s="6" t="s">
        <v>234</v>
      </c>
      <c r="D2" s="6">
        <v>4</v>
      </c>
      <c r="E2" s="6">
        <v>-9.15</v>
      </c>
      <c r="F2" s="6">
        <v>23</v>
      </c>
      <c r="G2" s="6" t="s">
        <v>3</v>
      </c>
      <c r="H2" s="6">
        <v>1820</v>
      </c>
      <c r="K2" s="2" t="s">
        <v>63</v>
      </c>
      <c r="L2" s="2" t="s">
        <v>242</v>
      </c>
      <c r="M2" s="2" t="s">
        <v>243</v>
      </c>
      <c r="N2" s="2" t="s">
        <v>244</v>
      </c>
      <c r="O2" s="2">
        <v>31368.93</v>
      </c>
      <c r="P2" s="2" t="s">
        <v>64</v>
      </c>
    </row>
    <row r="3" spans="1:16">
      <c r="A3" s="7">
        <v>39904</v>
      </c>
      <c r="B3" s="1">
        <v>474</v>
      </c>
      <c r="C3" s="1" t="s">
        <v>234</v>
      </c>
      <c r="D3" s="1">
        <v>4</v>
      </c>
      <c r="E3" s="1">
        <v>459.15</v>
      </c>
      <c r="F3" s="1">
        <v>23</v>
      </c>
      <c r="G3" s="1" t="s">
        <v>3</v>
      </c>
      <c r="H3" s="1">
        <v>1820</v>
      </c>
      <c r="K3" s="1" t="s">
        <v>63</v>
      </c>
      <c r="L3" s="1" t="s">
        <v>242</v>
      </c>
      <c r="M3" s="1" t="s">
        <v>243</v>
      </c>
      <c r="N3" s="1" t="s">
        <v>244</v>
      </c>
      <c r="O3" s="1">
        <v>9852.24</v>
      </c>
      <c r="P3" s="1" t="s">
        <v>64</v>
      </c>
    </row>
    <row r="4" spans="1:16">
      <c r="A4" s="7">
        <v>39904</v>
      </c>
      <c r="B4" s="1">
        <v>535</v>
      </c>
      <c r="C4" s="1" t="s">
        <v>234</v>
      </c>
      <c r="D4" s="1">
        <v>4</v>
      </c>
      <c r="E4" s="1">
        <v>142.5</v>
      </c>
      <c r="F4" s="1">
        <v>23</v>
      </c>
      <c r="G4" s="1" t="s">
        <v>4</v>
      </c>
      <c r="H4" s="1">
        <v>0</v>
      </c>
      <c r="K4" s="1" t="s">
        <v>65</v>
      </c>
      <c r="L4" s="1" t="s">
        <v>242</v>
      </c>
      <c r="M4" s="1" t="s">
        <v>243</v>
      </c>
      <c r="N4" s="1" t="s">
        <v>244</v>
      </c>
      <c r="O4" s="1">
        <v>9221.1200000000008</v>
      </c>
      <c r="P4" s="1" t="s">
        <v>64</v>
      </c>
    </row>
    <row r="5" spans="1:16">
      <c r="A5" s="7">
        <v>39995</v>
      </c>
      <c r="B5" s="1">
        <v>617</v>
      </c>
      <c r="C5" s="1" t="s">
        <v>235</v>
      </c>
      <c r="D5" s="1">
        <v>1</v>
      </c>
      <c r="E5" s="1">
        <v>358.43</v>
      </c>
      <c r="F5" s="1">
        <v>23</v>
      </c>
      <c r="G5" s="1" t="s">
        <v>5</v>
      </c>
      <c r="H5" s="1">
        <v>2045</v>
      </c>
      <c r="K5" s="1" t="s">
        <v>66</v>
      </c>
      <c r="L5" s="1" t="s">
        <v>242</v>
      </c>
      <c r="M5" s="1" t="s">
        <v>243</v>
      </c>
      <c r="N5" s="1" t="s">
        <v>244</v>
      </c>
      <c r="O5" s="1">
        <v>7328.36</v>
      </c>
      <c r="P5" s="1" t="s">
        <v>64</v>
      </c>
    </row>
    <row r="6" spans="1:16">
      <c r="A6" s="7">
        <v>39995</v>
      </c>
      <c r="B6" s="1">
        <v>621</v>
      </c>
      <c r="C6" s="1" t="s">
        <v>234</v>
      </c>
      <c r="D6" s="1">
        <v>4</v>
      </c>
      <c r="E6" s="1">
        <v>417.25</v>
      </c>
      <c r="F6" s="1">
        <v>23</v>
      </c>
      <c r="G6" s="1" t="s">
        <v>6</v>
      </c>
      <c r="H6" s="1">
        <v>352</v>
      </c>
      <c r="K6" s="1" t="s">
        <v>66</v>
      </c>
      <c r="L6" s="1" t="s">
        <v>242</v>
      </c>
      <c r="M6" s="1" t="s">
        <v>243</v>
      </c>
      <c r="N6" s="1" t="s">
        <v>244</v>
      </c>
      <c r="O6" s="1">
        <v>4548</v>
      </c>
      <c r="P6" s="1" t="s">
        <v>64</v>
      </c>
    </row>
    <row r="7" spans="1:16">
      <c r="A7" s="7">
        <v>39995</v>
      </c>
      <c r="B7" s="1">
        <v>638</v>
      </c>
      <c r="C7" s="1" t="s">
        <v>234</v>
      </c>
      <c r="D7" s="1">
        <v>8</v>
      </c>
      <c r="E7" s="1">
        <v>374.95</v>
      </c>
      <c r="F7" s="1">
        <v>23</v>
      </c>
      <c r="G7" s="1" t="s">
        <v>6</v>
      </c>
      <c r="H7" s="1">
        <v>1973</v>
      </c>
      <c r="K7" s="1" t="s">
        <v>66</v>
      </c>
      <c r="L7" s="1" t="s">
        <v>242</v>
      </c>
      <c r="M7" s="1" t="s">
        <v>243</v>
      </c>
      <c r="N7" s="1" t="s">
        <v>244</v>
      </c>
      <c r="O7" s="1">
        <v>4920.7</v>
      </c>
      <c r="P7" s="1" t="s">
        <v>64</v>
      </c>
    </row>
    <row r="8" spans="1:16">
      <c r="A8" s="7">
        <v>40057</v>
      </c>
      <c r="B8" s="1">
        <v>874</v>
      </c>
      <c r="C8" s="1" t="s">
        <v>234</v>
      </c>
      <c r="D8" s="1">
        <v>4</v>
      </c>
      <c r="E8" s="1">
        <v>901.5</v>
      </c>
      <c r="F8" s="1">
        <v>23</v>
      </c>
      <c r="G8" s="1" t="s">
        <v>7</v>
      </c>
      <c r="H8" s="1">
        <v>2079</v>
      </c>
      <c r="K8" s="1" t="s">
        <v>66</v>
      </c>
      <c r="L8" s="1" t="s">
        <v>242</v>
      </c>
      <c r="M8" s="1" t="s">
        <v>243</v>
      </c>
      <c r="N8" s="1" t="s">
        <v>244</v>
      </c>
      <c r="O8" s="1">
        <v>827.39</v>
      </c>
      <c r="P8" s="1" t="s">
        <v>64</v>
      </c>
    </row>
    <row r="9" spans="1:16">
      <c r="A9" s="7">
        <v>40057</v>
      </c>
      <c r="B9" s="1">
        <v>878</v>
      </c>
      <c r="C9" s="1" t="s">
        <v>234</v>
      </c>
      <c r="D9" s="1">
        <v>2</v>
      </c>
      <c r="E9" s="1">
        <v>851.89</v>
      </c>
      <c r="F9" s="1">
        <v>23</v>
      </c>
      <c r="G9" s="1" t="s">
        <v>7</v>
      </c>
      <c r="H9" s="1">
        <v>0</v>
      </c>
      <c r="K9" s="1" t="s">
        <v>67</v>
      </c>
      <c r="L9" s="1" t="s">
        <v>242</v>
      </c>
      <c r="M9" s="1" t="s">
        <v>243</v>
      </c>
      <c r="N9" s="1" t="s">
        <v>244</v>
      </c>
      <c r="O9" s="1">
        <v>1543.49</v>
      </c>
      <c r="P9" s="1" t="s">
        <v>64</v>
      </c>
    </row>
    <row r="10" spans="1:16">
      <c r="A10" s="7">
        <v>40057</v>
      </c>
      <c r="B10" s="1">
        <v>890</v>
      </c>
      <c r="C10" s="1" t="s">
        <v>234</v>
      </c>
      <c r="D10" s="1">
        <v>8</v>
      </c>
      <c r="E10" s="1">
        <v>901.5</v>
      </c>
      <c r="F10" s="1">
        <v>23</v>
      </c>
      <c r="G10" s="1" t="s">
        <v>7</v>
      </c>
      <c r="H10" s="1">
        <v>0</v>
      </c>
      <c r="K10" s="1" t="s">
        <v>67</v>
      </c>
      <c r="L10" s="1" t="s">
        <v>242</v>
      </c>
      <c r="M10" s="1" t="s">
        <v>243</v>
      </c>
      <c r="N10" s="1" t="s">
        <v>244</v>
      </c>
      <c r="O10" s="1">
        <v>930.46</v>
      </c>
      <c r="P10" s="1" t="s">
        <v>64</v>
      </c>
    </row>
    <row r="11" spans="1:16">
      <c r="A11" s="7">
        <v>40057</v>
      </c>
      <c r="B11" s="1">
        <v>887</v>
      </c>
      <c r="C11" s="1" t="s">
        <v>234</v>
      </c>
      <c r="D11" s="1">
        <v>4</v>
      </c>
      <c r="E11" s="1">
        <v>1881</v>
      </c>
      <c r="F11" s="1">
        <v>23</v>
      </c>
      <c r="G11" s="1" t="s">
        <v>8</v>
      </c>
      <c r="H11" s="1">
        <v>1751</v>
      </c>
      <c r="K11" s="1" t="s">
        <v>67</v>
      </c>
      <c r="L11" s="1" t="s">
        <v>242</v>
      </c>
      <c r="M11" s="1" t="s">
        <v>243</v>
      </c>
      <c r="N11" s="1" t="s">
        <v>244</v>
      </c>
      <c r="O11" s="1">
        <v>4159.26</v>
      </c>
      <c r="P11" s="1" t="s">
        <v>64</v>
      </c>
    </row>
    <row r="12" spans="1:16">
      <c r="A12" s="7">
        <v>40057</v>
      </c>
      <c r="B12" s="1">
        <v>888</v>
      </c>
      <c r="C12" s="1" t="s">
        <v>235</v>
      </c>
      <c r="D12" s="1">
        <v>3</v>
      </c>
      <c r="E12" s="1">
        <v>460.05</v>
      </c>
      <c r="F12" s="1">
        <v>23</v>
      </c>
      <c r="G12" s="1" t="s">
        <v>8</v>
      </c>
      <c r="H12" s="1">
        <v>1771</v>
      </c>
      <c r="K12" s="1" t="s">
        <v>67</v>
      </c>
      <c r="L12" s="1" t="s">
        <v>242</v>
      </c>
      <c r="M12" s="1" t="s">
        <v>243</v>
      </c>
      <c r="N12" s="1" t="s">
        <v>244</v>
      </c>
      <c r="O12" s="1">
        <v>356.05</v>
      </c>
      <c r="P12" s="1" t="s">
        <v>64</v>
      </c>
    </row>
    <row r="13" spans="1:16">
      <c r="A13" s="7">
        <v>40057</v>
      </c>
      <c r="B13" s="1">
        <v>889</v>
      </c>
      <c r="C13" s="1" t="s">
        <v>235</v>
      </c>
      <c r="D13" s="1">
        <v>3</v>
      </c>
      <c r="E13" s="1">
        <v>901.5</v>
      </c>
      <c r="F13" s="1">
        <v>23</v>
      </c>
      <c r="G13" s="1" t="s">
        <v>8</v>
      </c>
      <c r="H13" s="1">
        <v>1749</v>
      </c>
      <c r="K13" s="1" t="s">
        <v>68</v>
      </c>
      <c r="L13" s="1" t="s">
        <v>242</v>
      </c>
      <c r="M13" s="1" t="s">
        <v>243</v>
      </c>
      <c r="N13" s="1" t="s">
        <v>244</v>
      </c>
      <c r="O13" s="1">
        <v>2406.7600000000002</v>
      </c>
      <c r="P13" s="1" t="s">
        <v>64</v>
      </c>
    </row>
    <row r="14" spans="1:16">
      <c r="A14" s="7">
        <v>40057</v>
      </c>
      <c r="B14" s="1">
        <v>906</v>
      </c>
      <c r="C14" s="1" t="s">
        <v>234</v>
      </c>
      <c r="D14" s="1">
        <v>3</v>
      </c>
      <c r="E14" s="1">
        <v>926.51</v>
      </c>
      <c r="F14" s="1">
        <v>23</v>
      </c>
      <c r="G14" s="1" t="s">
        <v>8</v>
      </c>
      <c r="H14" s="1">
        <v>1772</v>
      </c>
      <c r="K14" s="1" t="s">
        <v>68</v>
      </c>
      <c r="L14" s="1" t="s">
        <v>242</v>
      </c>
      <c r="M14" s="1" t="s">
        <v>243</v>
      </c>
      <c r="N14" s="1" t="s">
        <v>244</v>
      </c>
      <c r="O14" s="1">
        <v>1681.83</v>
      </c>
      <c r="P14" s="1" t="s">
        <v>64</v>
      </c>
    </row>
    <row r="15" spans="1:16">
      <c r="A15" s="7">
        <v>40057</v>
      </c>
      <c r="B15" s="1">
        <v>882</v>
      </c>
      <c r="C15" s="1" t="s">
        <v>234</v>
      </c>
      <c r="D15" s="1">
        <v>1</v>
      </c>
      <c r="E15" s="1">
        <v>1912.35</v>
      </c>
      <c r="F15" s="1">
        <v>23</v>
      </c>
      <c r="G15" s="1" t="s">
        <v>9</v>
      </c>
      <c r="H15" s="1">
        <v>1359</v>
      </c>
      <c r="K15" s="1" t="s">
        <v>68</v>
      </c>
      <c r="L15" s="1" t="s">
        <v>242</v>
      </c>
      <c r="M15" s="1" t="s">
        <v>243</v>
      </c>
      <c r="N15" s="1" t="s">
        <v>244</v>
      </c>
      <c r="O15" s="1">
        <v>4618.7700000000004</v>
      </c>
      <c r="P15" s="1" t="s">
        <v>64</v>
      </c>
    </row>
    <row r="16" spans="1:16">
      <c r="A16" s="7">
        <v>40057</v>
      </c>
      <c r="B16" s="1">
        <v>883</v>
      </c>
      <c r="C16" s="1" t="s">
        <v>234</v>
      </c>
      <c r="D16" s="1">
        <v>1</v>
      </c>
      <c r="E16" s="1">
        <v>1881</v>
      </c>
      <c r="F16" s="1">
        <v>23</v>
      </c>
      <c r="G16" s="1" t="s">
        <v>9</v>
      </c>
      <c r="H16" s="1">
        <v>1387</v>
      </c>
      <c r="K16" s="1" t="s">
        <v>68</v>
      </c>
      <c r="L16" s="1" t="s">
        <v>242</v>
      </c>
      <c r="M16" s="1" t="s">
        <v>243</v>
      </c>
      <c r="N16" s="1" t="s">
        <v>244</v>
      </c>
      <c r="O16" s="1">
        <v>1327.12</v>
      </c>
      <c r="P16" s="1" t="s">
        <v>64</v>
      </c>
    </row>
    <row r="17" spans="1:16">
      <c r="A17" s="7">
        <v>40057</v>
      </c>
      <c r="B17" s="1">
        <v>884</v>
      </c>
      <c r="C17" s="1" t="s">
        <v>234</v>
      </c>
      <c r="D17" s="1">
        <v>1</v>
      </c>
      <c r="E17" s="1">
        <v>1943.7</v>
      </c>
      <c r="F17" s="1">
        <v>23</v>
      </c>
      <c r="G17" s="1" t="s">
        <v>9</v>
      </c>
      <c r="H17" s="1">
        <v>1393</v>
      </c>
      <c r="K17" s="1" t="s">
        <v>69</v>
      </c>
      <c r="L17" s="1" t="s">
        <v>242</v>
      </c>
      <c r="M17" s="1" t="s">
        <v>243</v>
      </c>
      <c r="N17" s="1" t="s">
        <v>244</v>
      </c>
      <c r="O17" s="1">
        <v>1198.76</v>
      </c>
      <c r="P17" s="1" t="s">
        <v>64</v>
      </c>
    </row>
    <row r="18" spans="1:16">
      <c r="A18" s="7">
        <v>40057</v>
      </c>
      <c r="B18" s="1">
        <v>885</v>
      </c>
      <c r="C18" s="1" t="s">
        <v>234</v>
      </c>
      <c r="D18" s="1">
        <v>4</v>
      </c>
      <c r="E18" s="1">
        <v>901.5</v>
      </c>
      <c r="F18" s="1">
        <v>23</v>
      </c>
      <c r="G18" s="1" t="s">
        <v>9</v>
      </c>
      <c r="H18" s="1">
        <v>1496</v>
      </c>
      <c r="K18" s="1" t="s">
        <v>70</v>
      </c>
      <c r="L18" s="1" t="s">
        <v>242</v>
      </c>
      <c r="M18" s="1" t="s">
        <v>243</v>
      </c>
      <c r="N18" s="1" t="s">
        <v>244</v>
      </c>
      <c r="O18" s="1">
        <v>952.73</v>
      </c>
      <c r="P18" s="1" t="s">
        <v>64</v>
      </c>
    </row>
    <row r="19" spans="1:16">
      <c r="A19" s="7">
        <v>40057</v>
      </c>
      <c r="B19" s="1">
        <v>886</v>
      </c>
      <c r="C19" s="1" t="s">
        <v>234</v>
      </c>
      <c r="D19" s="1">
        <v>4</v>
      </c>
      <c r="E19" s="1">
        <v>901.5</v>
      </c>
      <c r="F19" s="1">
        <v>23</v>
      </c>
      <c r="G19" s="1" t="s">
        <v>9</v>
      </c>
      <c r="H19" s="1">
        <v>0</v>
      </c>
      <c r="K19" s="1" t="s">
        <v>70</v>
      </c>
      <c r="L19" s="1" t="s">
        <v>242</v>
      </c>
      <c r="M19" s="1" t="s">
        <v>243</v>
      </c>
      <c r="N19" s="1" t="s">
        <v>244</v>
      </c>
      <c r="O19" s="1">
        <v>591.24</v>
      </c>
      <c r="P19" s="1" t="s">
        <v>64</v>
      </c>
    </row>
    <row r="20" spans="1:16">
      <c r="A20" s="7">
        <v>40057</v>
      </c>
      <c r="B20" s="1">
        <v>879</v>
      </c>
      <c r="C20" s="1" t="s">
        <v>234</v>
      </c>
      <c r="D20" s="1">
        <v>2</v>
      </c>
      <c r="E20" s="1">
        <v>34</v>
      </c>
      <c r="F20" s="1">
        <v>23</v>
      </c>
      <c r="G20" s="1" t="s">
        <v>10</v>
      </c>
      <c r="H20" s="1">
        <v>0</v>
      </c>
      <c r="K20" s="1" t="s">
        <v>70</v>
      </c>
      <c r="L20" s="1" t="s">
        <v>242</v>
      </c>
      <c r="M20" s="1" t="s">
        <v>243</v>
      </c>
      <c r="N20" s="1" t="s">
        <v>244</v>
      </c>
      <c r="O20" s="1">
        <v>639.71</v>
      </c>
      <c r="P20" s="1" t="s">
        <v>64</v>
      </c>
    </row>
    <row r="21" spans="1:16">
      <c r="A21" s="7">
        <v>40057</v>
      </c>
      <c r="B21" s="1">
        <v>891</v>
      </c>
      <c r="C21" s="1" t="s">
        <v>234</v>
      </c>
      <c r="D21" s="1">
        <v>8</v>
      </c>
      <c r="E21" s="1">
        <v>34</v>
      </c>
      <c r="F21" s="1">
        <v>23</v>
      </c>
      <c r="G21" s="1" t="s">
        <v>10</v>
      </c>
      <c r="H21" s="1">
        <v>0</v>
      </c>
      <c r="K21" s="1" t="s">
        <v>70</v>
      </c>
      <c r="L21" s="1" t="s">
        <v>242</v>
      </c>
      <c r="M21" s="1" t="s">
        <v>243</v>
      </c>
      <c r="N21" s="1" t="s">
        <v>244</v>
      </c>
      <c r="O21" s="1">
        <v>107.6</v>
      </c>
      <c r="P21" s="1" t="s">
        <v>64</v>
      </c>
    </row>
    <row r="22" spans="1:16">
      <c r="A22" s="7">
        <v>40057</v>
      </c>
      <c r="B22" s="1">
        <v>874</v>
      </c>
      <c r="C22" s="1" t="s">
        <v>234</v>
      </c>
      <c r="D22" s="1">
        <v>4</v>
      </c>
      <c r="E22" s="1">
        <v>78</v>
      </c>
      <c r="F22" s="1">
        <v>23</v>
      </c>
      <c r="G22" s="1" t="s">
        <v>11</v>
      </c>
      <c r="H22" s="1">
        <v>2079</v>
      </c>
      <c r="K22" s="1" t="s">
        <v>71</v>
      </c>
      <c r="L22" s="1" t="s">
        <v>242</v>
      </c>
      <c r="M22" s="1" t="s">
        <v>243</v>
      </c>
      <c r="N22" s="1" t="s">
        <v>244</v>
      </c>
      <c r="O22" s="1">
        <v>277.27999999999997</v>
      </c>
      <c r="P22" s="1" t="s">
        <v>64</v>
      </c>
    </row>
    <row r="23" spans="1:16">
      <c r="A23" s="7">
        <v>40057</v>
      </c>
      <c r="B23" s="1">
        <v>878</v>
      </c>
      <c r="C23" s="1" t="s">
        <v>234</v>
      </c>
      <c r="D23" s="1">
        <v>2</v>
      </c>
      <c r="E23" s="1">
        <v>78</v>
      </c>
      <c r="F23" s="1">
        <v>23</v>
      </c>
      <c r="G23" s="1" t="s">
        <v>11</v>
      </c>
      <c r="H23" s="1">
        <v>0</v>
      </c>
      <c r="K23" s="1" t="s">
        <v>71</v>
      </c>
      <c r="L23" s="1" t="s">
        <v>242</v>
      </c>
      <c r="M23" s="1" t="s">
        <v>243</v>
      </c>
      <c r="N23" s="1" t="s">
        <v>244</v>
      </c>
      <c r="O23" s="1">
        <v>129.34</v>
      </c>
      <c r="P23" s="1" t="s">
        <v>64</v>
      </c>
    </row>
    <row r="24" spans="1:16">
      <c r="A24" s="7">
        <v>40057</v>
      </c>
      <c r="B24" s="1">
        <v>882</v>
      </c>
      <c r="C24" s="1" t="s">
        <v>234</v>
      </c>
      <c r="D24" s="1">
        <v>1</v>
      </c>
      <c r="E24" s="1">
        <v>78</v>
      </c>
      <c r="F24" s="1">
        <v>23</v>
      </c>
      <c r="G24" s="1" t="s">
        <v>11</v>
      </c>
      <c r="H24" s="1">
        <v>1359</v>
      </c>
      <c r="K24" s="1" t="s">
        <v>71</v>
      </c>
      <c r="L24" s="1" t="s">
        <v>242</v>
      </c>
      <c r="M24" s="1" t="s">
        <v>243</v>
      </c>
      <c r="N24" s="1" t="s">
        <v>244</v>
      </c>
      <c r="O24" s="1">
        <v>355.22</v>
      </c>
      <c r="P24" s="1" t="s">
        <v>64</v>
      </c>
    </row>
    <row r="25" spans="1:16">
      <c r="A25" s="7">
        <v>40057</v>
      </c>
      <c r="B25" s="1">
        <v>883</v>
      </c>
      <c r="C25" s="1" t="s">
        <v>234</v>
      </c>
      <c r="D25" s="1">
        <v>1</v>
      </c>
      <c r="E25" s="1">
        <v>78</v>
      </c>
      <c r="F25" s="1">
        <v>23</v>
      </c>
      <c r="G25" s="1" t="s">
        <v>11</v>
      </c>
      <c r="H25" s="1">
        <v>1387</v>
      </c>
      <c r="K25" s="1" t="s">
        <v>71</v>
      </c>
      <c r="L25" s="1" t="s">
        <v>242</v>
      </c>
      <c r="M25" s="1" t="s">
        <v>243</v>
      </c>
      <c r="N25" s="1" t="s">
        <v>244</v>
      </c>
      <c r="O25" s="1">
        <v>102.06</v>
      </c>
      <c r="P25" s="1" t="s">
        <v>64</v>
      </c>
    </row>
    <row r="26" spans="1:16">
      <c r="A26" s="7">
        <v>40057</v>
      </c>
      <c r="B26" s="1">
        <v>884</v>
      </c>
      <c r="C26" s="1" t="s">
        <v>234</v>
      </c>
      <c r="D26" s="1">
        <v>1</v>
      </c>
      <c r="E26" s="1">
        <v>78</v>
      </c>
      <c r="F26" s="1">
        <v>23</v>
      </c>
      <c r="G26" s="1" t="s">
        <v>11</v>
      </c>
      <c r="H26" s="1">
        <v>1393</v>
      </c>
      <c r="K26" s="1" t="s">
        <v>72</v>
      </c>
      <c r="L26" s="1" t="s">
        <v>245</v>
      </c>
      <c r="M26" s="1" t="s">
        <v>246</v>
      </c>
      <c r="N26" s="1" t="s">
        <v>247</v>
      </c>
      <c r="O26" s="1">
        <v>475</v>
      </c>
      <c r="P26" s="1" t="s">
        <v>73</v>
      </c>
    </row>
    <row r="27" spans="1:16">
      <c r="A27" s="7">
        <v>40057</v>
      </c>
      <c r="B27" s="1">
        <v>885</v>
      </c>
      <c r="C27" s="1" t="s">
        <v>234</v>
      </c>
      <c r="D27" s="1">
        <v>4</v>
      </c>
      <c r="E27" s="1">
        <v>78</v>
      </c>
      <c r="F27" s="1">
        <v>23</v>
      </c>
      <c r="G27" s="1" t="s">
        <v>11</v>
      </c>
      <c r="H27" s="1">
        <v>1496</v>
      </c>
      <c r="K27" s="1" t="s">
        <v>74</v>
      </c>
      <c r="L27" s="1" t="s">
        <v>245</v>
      </c>
      <c r="M27" s="1" t="s">
        <v>246</v>
      </c>
      <c r="N27" s="1" t="s">
        <v>247</v>
      </c>
      <c r="O27" s="1">
        <v>1000</v>
      </c>
      <c r="P27" s="1" t="s">
        <v>73</v>
      </c>
    </row>
    <row r="28" spans="1:16">
      <c r="A28" s="7">
        <v>40057</v>
      </c>
      <c r="B28" s="1">
        <v>886</v>
      </c>
      <c r="C28" s="1" t="s">
        <v>234</v>
      </c>
      <c r="D28" s="1">
        <v>4</v>
      </c>
      <c r="E28" s="1">
        <v>78</v>
      </c>
      <c r="F28" s="1">
        <v>23</v>
      </c>
      <c r="G28" s="1" t="s">
        <v>11</v>
      </c>
      <c r="H28" s="1">
        <v>0</v>
      </c>
      <c r="K28" s="1" t="s">
        <v>74</v>
      </c>
      <c r="L28" s="1" t="s">
        <v>245</v>
      </c>
      <c r="M28" s="1" t="s">
        <v>246</v>
      </c>
      <c r="N28" s="1" t="s">
        <v>247</v>
      </c>
      <c r="O28" s="1">
        <v>2284</v>
      </c>
      <c r="P28" s="1" t="s">
        <v>73</v>
      </c>
    </row>
    <row r="29" spans="1:16">
      <c r="A29" s="7">
        <v>40057</v>
      </c>
      <c r="B29" s="1">
        <v>887</v>
      </c>
      <c r="C29" s="1" t="s">
        <v>234</v>
      </c>
      <c r="D29" s="1">
        <v>4</v>
      </c>
      <c r="E29" s="1">
        <v>78</v>
      </c>
      <c r="F29" s="1">
        <v>23</v>
      </c>
      <c r="G29" s="1" t="s">
        <v>11</v>
      </c>
      <c r="H29" s="1">
        <v>1751</v>
      </c>
      <c r="K29" s="1" t="s">
        <v>74</v>
      </c>
      <c r="L29" s="1" t="s">
        <v>245</v>
      </c>
      <c r="M29" s="1" t="s">
        <v>246</v>
      </c>
      <c r="N29" s="1" t="s">
        <v>247</v>
      </c>
      <c r="O29" s="1">
        <v>30</v>
      </c>
      <c r="P29" s="1" t="s">
        <v>73</v>
      </c>
    </row>
    <row r="30" spans="1:16">
      <c r="A30" s="7">
        <v>40057</v>
      </c>
      <c r="B30" s="1">
        <v>888</v>
      </c>
      <c r="C30" s="1" t="s">
        <v>235</v>
      </c>
      <c r="D30" s="1">
        <v>3</v>
      </c>
      <c r="E30" s="1">
        <v>78</v>
      </c>
      <c r="F30" s="1">
        <v>23</v>
      </c>
      <c r="G30" s="1" t="s">
        <v>11</v>
      </c>
      <c r="H30" s="1">
        <v>1771</v>
      </c>
      <c r="K30" s="1" t="s">
        <v>75</v>
      </c>
      <c r="L30" s="1" t="s">
        <v>248</v>
      </c>
      <c r="M30" s="1" t="s">
        <v>249</v>
      </c>
      <c r="N30" s="1" t="s">
        <v>250</v>
      </c>
      <c r="O30" s="1">
        <v>145.5</v>
      </c>
      <c r="P30" s="1" t="s">
        <v>73</v>
      </c>
    </row>
    <row r="31" spans="1:16">
      <c r="A31" s="7">
        <v>40057</v>
      </c>
      <c r="B31" s="1">
        <v>889</v>
      </c>
      <c r="C31" s="1" t="s">
        <v>235</v>
      </c>
      <c r="D31" s="1">
        <v>3</v>
      </c>
      <c r="E31" s="1">
        <v>78</v>
      </c>
      <c r="F31" s="1">
        <v>23</v>
      </c>
      <c r="G31" s="1" t="s">
        <v>11</v>
      </c>
      <c r="H31" s="1">
        <v>1749</v>
      </c>
      <c r="K31" s="1" t="s">
        <v>76</v>
      </c>
      <c r="L31" s="1" t="s">
        <v>248</v>
      </c>
      <c r="M31" s="1" t="s">
        <v>249</v>
      </c>
      <c r="N31" s="1" t="s">
        <v>250</v>
      </c>
      <c r="O31" s="1">
        <v>429.5</v>
      </c>
      <c r="P31" s="1" t="s">
        <v>73</v>
      </c>
    </row>
    <row r="32" spans="1:16">
      <c r="A32" s="7">
        <v>40057</v>
      </c>
      <c r="B32" s="1">
        <v>890</v>
      </c>
      <c r="C32" s="1" t="s">
        <v>234</v>
      </c>
      <c r="D32" s="1">
        <v>8</v>
      </c>
      <c r="E32" s="1">
        <v>78</v>
      </c>
      <c r="F32" s="1">
        <v>23</v>
      </c>
      <c r="G32" s="1" t="s">
        <v>11</v>
      </c>
      <c r="H32" s="1">
        <v>0</v>
      </c>
      <c r="K32" s="1" t="s">
        <v>76</v>
      </c>
      <c r="L32" s="1" t="s">
        <v>248</v>
      </c>
      <c r="M32" s="1" t="s">
        <v>249</v>
      </c>
      <c r="N32" s="1" t="s">
        <v>250</v>
      </c>
      <c r="O32" s="1">
        <v>459</v>
      </c>
      <c r="P32" s="1" t="s">
        <v>73</v>
      </c>
    </row>
    <row r="33" spans="1:16">
      <c r="A33" s="7">
        <v>40057</v>
      </c>
      <c r="B33" s="1">
        <v>906</v>
      </c>
      <c r="C33" s="1" t="s">
        <v>234</v>
      </c>
      <c r="D33" s="1">
        <v>3</v>
      </c>
      <c r="E33" s="1">
        <v>78</v>
      </c>
      <c r="F33" s="1">
        <v>23</v>
      </c>
      <c r="G33" s="1" t="s">
        <v>11</v>
      </c>
      <c r="H33" s="1">
        <v>1772</v>
      </c>
      <c r="K33" s="1" t="s">
        <v>76</v>
      </c>
      <c r="L33" s="1" t="s">
        <v>248</v>
      </c>
      <c r="M33" s="1" t="s">
        <v>249</v>
      </c>
      <c r="N33" s="1" t="s">
        <v>250</v>
      </c>
      <c r="O33" s="1">
        <v>500</v>
      </c>
      <c r="P33" s="1" t="s">
        <v>73</v>
      </c>
    </row>
    <row r="34" spans="1:16">
      <c r="A34" s="7">
        <v>40057</v>
      </c>
      <c r="B34" s="1">
        <v>904</v>
      </c>
      <c r="C34" s="1" t="s">
        <v>235</v>
      </c>
      <c r="D34" s="1">
        <v>4</v>
      </c>
      <c r="E34" s="1">
        <v>555.54999999999995</v>
      </c>
      <c r="F34" s="1">
        <v>23</v>
      </c>
      <c r="G34" s="1" t="s">
        <v>12</v>
      </c>
      <c r="H34" s="1">
        <v>1412</v>
      </c>
      <c r="K34" s="1" t="s">
        <v>75</v>
      </c>
      <c r="L34" s="1" t="s">
        <v>245</v>
      </c>
      <c r="M34" s="1" t="s">
        <v>246</v>
      </c>
      <c r="N34" s="1" t="s">
        <v>250</v>
      </c>
      <c r="O34" s="1">
        <v>50</v>
      </c>
      <c r="P34" s="1" t="s">
        <v>73</v>
      </c>
    </row>
    <row r="35" spans="1:16">
      <c r="A35" s="7">
        <v>40057</v>
      </c>
      <c r="B35" s="1">
        <v>908</v>
      </c>
      <c r="C35" s="1" t="s">
        <v>234</v>
      </c>
      <c r="D35" s="1">
        <v>3</v>
      </c>
      <c r="E35" s="1">
        <v>772.35</v>
      </c>
      <c r="F35" s="1">
        <v>23</v>
      </c>
      <c r="G35" s="1" t="s">
        <v>12</v>
      </c>
      <c r="H35" s="1">
        <v>1806</v>
      </c>
      <c r="K35" s="1" t="s">
        <v>75</v>
      </c>
      <c r="L35" s="1" t="s">
        <v>245</v>
      </c>
      <c r="M35" s="1" t="s">
        <v>246</v>
      </c>
      <c r="N35" s="1" t="s">
        <v>250</v>
      </c>
      <c r="O35" s="1">
        <v>57.21</v>
      </c>
      <c r="P35" s="1" t="s">
        <v>73</v>
      </c>
    </row>
    <row r="36" spans="1:16">
      <c r="A36" s="7">
        <v>40057</v>
      </c>
      <c r="B36" s="1">
        <v>876</v>
      </c>
      <c r="C36" s="1" t="s">
        <v>234</v>
      </c>
      <c r="D36" s="1">
        <v>4</v>
      </c>
      <c r="E36" s="1">
        <v>389.08</v>
      </c>
      <c r="F36" s="1">
        <v>23</v>
      </c>
      <c r="G36" s="1" t="s">
        <v>13</v>
      </c>
      <c r="H36" s="1">
        <v>1457</v>
      </c>
      <c r="K36" s="1" t="s">
        <v>75</v>
      </c>
      <c r="L36" s="1" t="s">
        <v>245</v>
      </c>
      <c r="M36" s="1" t="s">
        <v>246</v>
      </c>
      <c r="N36" s="1" t="s">
        <v>250</v>
      </c>
      <c r="O36" s="1">
        <v>136.13999999999999</v>
      </c>
      <c r="P36" s="1" t="s">
        <v>73</v>
      </c>
    </row>
    <row r="37" spans="1:16">
      <c r="A37" s="7">
        <v>40057</v>
      </c>
      <c r="B37" s="1">
        <v>877</v>
      </c>
      <c r="C37" s="1" t="s">
        <v>234</v>
      </c>
      <c r="D37" s="1">
        <v>4</v>
      </c>
      <c r="E37" s="1">
        <v>389.08</v>
      </c>
      <c r="F37" s="1">
        <v>23</v>
      </c>
      <c r="G37" s="1" t="s">
        <v>13</v>
      </c>
      <c r="H37" s="1">
        <v>1465</v>
      </c>
      <c r="K37" s="1" t="s">
        <v>76</v>
      </c>
      <c r="L37" s="1" t="s">
        <v>245</v>
      </c>
      <c r="M37" s="1" t="s">
        <v>246</v>
      </c>
      <c r="N37" s="1" t="s">
        <v>250</v>
      </c>
      <c r="O37" s="1">
        <v>1334.5</v>
      </c>
      <c r="P37" s="1" t="s">
        <v>73</v>
      </c>
    </row>
    <row r="38" spans="1:16">
      <c r="A38" s="7">
        <v>40057</v>
      </c>
      <c r="B38" s="1">
        <v>899</v>
      </c>
      <c r="C38" s="1" t="s">
        <v>235</v>
      </c>
      <c r="D38" s="1">
        <v>4</v>
      </c>
      <c r="E38" s="1">
        <v>940.5</v>
      </c>
      <c r="F38" s="1">
        <v>23</v>
      </c>
      <c r="G38" s="1" t="s">
        <v>13</v>
      </c>
      <c r="H38" s="1">
        <v>2080</v>
      </c>
      <c r="K38" s="1" t="s">
        <v>77</v>
      </c>
      <c r="L38" s="1" t="s">
        <v>245</v>
      </c>
      <c r="M38" s="1" t="s">
        <v>246</v>
      </c>
      <c r="N38" s="1" t="s">
        <v>250</v>
      </c>
      <c r="O38" s="1">
        <v>663</v>
      </c>
      <c r="P38" s="1" t="s">
        <v>73</v>
      </c>
    </row>
    <row r="39" spans="1:16">
      <c r="A39" s="7">
        <v>40057</v>
      </c>
      <c r="B39" s="1">
        <v>902</v>
      </c>
      <c r="C39" s="1" t="s">
        <v>235</v>
      </c>
      <c r="D39" s="1">
        <v>4</v>
      </c>
      <c r="E39" s="1">
        <v>470.25</v>
      </c>
      <c r="F39" s="1">
        <v>23</v>
      </c>
      <c r="G39" s="1" t="s">
        <v>13</v>
      </c>
      <c r="H39" s="1">
        <v>2081</v>
      </c>
      <c r="K39" s="1" t="s">
        <v>74</v>
      </c>
      <c r="L39" s="1" t="s">
        <v>245</v>
      </c>
      <c r="M39" s="1" t="s">
        <v>246</v>
      </c>
      <c r="N39" s="1" t="s">
        <v>250</v>
      </c>
      <c r="O39" s="1">
        <v>1000</v>
      </c>
      <c r="P39" s="1" t="s">
        <v>73</v>
      </c>
    </row>
    <row r="40" spans="1:16">
      <c r="A40" s="7">
        <v>40057</v>
      </c>
      <c r="B40" s="1">
        <v>903</v>
      </c>
      <c r="C40" s="1" t="s">
        <v>235</v>
      </c>
      <c r="D40" s="1">
        <v>4</v>
      </c>
      <c r="E40" s="1">
        <v>470.25</v>
      </c>
      <c r="F40" s="1">
        <v>23</v>
      </c>
      <c r="G40" s="1" t="s">
        <v>13</v>
      </c>
      <c r="H40" s="1">
        <v>0</v>
      </c>
      <c r="K40" s="1" t="s">
        <v>78</v>
      </c>
      <c r="L40" s="1" t="s">
        <v>245</v>
      </c>
      <c r="M40" s="1" t="s">
        <v>246</v>
      </c>
      <c r="N40" s="1" t="s">
        <v>250</v>
      </c>
      <c r="O40" s="1">
        <v>60</v>
      </c>
      <c r="P40" s="1" t="s">
        <v>73</v>
      </c>
    </row>
    <row r="41" spans="1:16">
      <c r="A41" s="7">
        <v>40057</v>
      </c>
      <c r="B41" s="1">
        <v>907</v>
      </c>
      <c r="C41" s="1" t="s">
        <v>234</v>
      </c>
      <c r="D41" s="1">
        <v>3</v>
      </c>
      <c r="E41" s="1">
        <v>329.82</v>
      </c>
      <c r="F41" s="1">
        <v>23</v>
      </c>
      <c r="G41" s="1" t="s">
        <v>13</v>
      </c>
      <c r="H41" s="1">
        <v>1428</v>
      </c>
      <c r="K41" s="1" t="s">
        <v>79</v>
      </c>
      <c r="L41" s="1" t="s">
        <v>245</v>
      </c>
      <c r="M41" s="1" t="s">
        <v>246</v>
      </c>
      <c r="N41" s="1" t="s">
        <v>251</v>
      </c>
      <c r="O41" s="1">
        <v>6</v>
      </c>
      <c r="P41" s="1" t="s">
        <v>73</v>
      </c>
    </row>
    <row r="42" spans="1:16">
      <c r="A42" s="7">
        <v>40057</v>
      </c>
      <c r="B42" s="1">
        <v>893</v>
      </c>
      <c r="C42" s="1" t="s">
        <v>234</v>
      </c>
      <c r="D42" s="1">
        <v>1</v>
      </c>
      <c r="E42" s="1">
        <v>517.28</v>
      </c>
      <c r="F42" s="1">
        <v>23</v>
      </c>
      <c r="G42" s="1" t="s">
        <v>3</v>
      </c>
      <c r="H42" s="1">
        <v>1824</v>
      </c>
      <c r="K42" s="1" t="s">
        <v>80</v>
      </c>
      <c r="L42" s="1" t="s">
        <v>245</v>
      </c>
      <c r="M42" s="1" t="s">
        <v>246</v>
      </c>
      <c r="N42" s="1" t="s">
        <v>252</v>
      </c>
      <c r="O42" s="1">
        <v>41.6</v>
      </c>
      <c r="P42" s="1" t="s">
        <v>73</v>
      </c>
    </row>
    <row r="43" spans="1:16">
      <c r="A43" s="7">
        <v>40057</v>
      </c>
      <c r="B43" s="1">
        <v>896</v>
      </c>
      <c r="C43" s="1" t="s">
        <v>235</v>
      </c>
      <c r="D43" s="1">
        <v>4</v>
      </c>
      <c r="E43" s="1">
        <v>587.80999999999995</v>
      </c>
      <c r="F43" s="1">
        <v>23</v>
      </c>
      <c r="G43" s="1" t="s">
        <v>3</v>
      </c>
      <c r="H43" s="1">
        <v>1360</v>
      </c>
      <c r="K43" s="1" t="s">
        <v>81</v>
      </c>
      <c r="L43" s="1" t="s">
        <v>245</v>
      </c>
      <c r="M43" s="1" t="s">
        <v>246</v>
      </c>
      <c r="N43" s="1" t="s">
        <v>252</v>
      </c>
      <c r="O43" s="1">
        <v>54.27</v>
      </c>
      <c r="P43" s="1" t="s">
        <v>73</v>
      </c>
    </row>
    <row r="44" spans="1:16">
      <c r="A44" s="7">
        <v>40057</v>
      </c>
      <c r="B44" s="1">
        <v>900</v>
      </c>
      <c r="C44" s="1" t="s">
        <v>235</v>
      </c>
      <c r="D44" s="1">
        <v>4</v>
      </c>
      <c r="E44" s="1">
        <v>1081.58</v>
      </c>
      <c r="F44" s="1">
        <v>23</v>
      </c>
      <c r="G44" s="1" t="s">
        <v>3</v>
      </c>
      <c r="H44" s="1">
        <v>1343</v>
      </c>
      <c r="K44" s="1" t="s">
        <v>82</v>
      </c>
      <c r="L44" s="1" t="s">
        <v>245</v>
      </c>
      <c r="M44" s="1" t="s">
        <v>246</v>
      </c>
      <c r="N44" s="1" t="s">
        <v>252</v>
      </c>
      <c r="O44" s="1">
        <v>22.4</v>
      </c>
      <c r="P44" s="1" t="s">
        <v>73</v>
      </c>
    </row>
    <row r="45" spans="1:16">
      <c r="A45" s="7">
        <v>40057</v>
      </c>
      <c r="B45" s="1">
        <v>901</v>
      </c>
      <c r="C45" s="1" t="s">
        <v>235</v>
      </c>
      <c r="D45" s="1">
        <v>4</v>
      </c>
      <c r="E45" s="1">
        <v>783.75</v>
      </c>
      <c r="F45" s="1">
        <v>23</v>
      </c>
      <c r="G45" s="1" t="s">
        <v>3</v>
      </c>
      <c r="H45" s="1">
        <v>2014</v>
      </c>
      <c r="K45" s="1" t="s">
        <v>83</v>
      </c>
      <c r="L45" s="1" t="s">
        <v>245</v>
      </c>
      <c r="M45" s="1" t="s">
        <v>246</v>
      </c>
      <c r="N45" s="1" t="s">
        <v>252</v>
      </c>
      <c r="O45" s="1">
        <v>477.4</v>
      </c>
      <c r="P45" s="1" t="s">
        <v>73</v>
      </c>
    </row>
    <row r="46" spans="1:16">
      <c r="A46" s="7">
        <v>40057</v>
      </c>
      <c r="B46" s="1">
        <v>909</v>
      </c>
      <c r="C46" s="1" t="s">
        <v>234</v>
      </c>
      <c r="D46" s="1">
        <v>3</v>
      </c>
      <c r="E46" s="1">
        <v>1159.95</v>
      </c>
      <c r="F46" s="1">
        <v>23</v>
      </c>
      <c r="G46" s="1" t="s">
        <v>3</v>
      </c>
      <c r="H46" s="1">
        <v>1816</v>
      </c>
      <c r="K46" s="1" t="s">
        <v>84</v>
      </c>
      <c r="L46" s="1" t="s">
        <v>245</v>
      </c>
      <c r="M46" s="1" t="s">
        <v>246</v>
      </c>
      <c r="N46" s="1" t="s">
        <v>253</v>
      </c>
      <c r="O46" s="1">
        <v>461.57</v>
      </c>
      <c r="P46" s="1" t="s">
        <v>73</v>
      </c>
    </row>
    <row r="47" spans="1:16">
      <c r="A47" s="7">
        <v>40057</v>
      </c>
      <c r="B47" s="1">
        <v>895</v>
      </c>
      <c r="C47" s="1" t="s">
        <v>235</v>
      </c>
      <c r="D47" s="1">
        <v>4</v>
      </c>
      <c r="E47" s="1">
        <v>9</v>
      </c>
      <c r="F47" s="1">
        <v>23</v>
      </c>
      <c r="G47" s="1" t="s">
        <v>14</v>
      </c>
      <c r="H47" s="1">
        <v>423</v>
      </c>
      <c r="K47" s="1" t="s">
        <v>80</v>
      </c>
      <c r="L47" s="1" t="s">
        <v>245</v>
      </c>
      <c r="M47" s="1" t="s">
        <v>246</v>
      </c>
      <c r="N47" s="1" t="s">
        <v>253</v>
      </c>
      <c r="O47" s="1">
        <v>17.25</v>
      </c>
      <c r="P47" s="1" t="s">
        <v>73</v>
      </c>
    </row>
    <row r="48" spans="1:16">
      <c r="A48" s="7">
        <v>40057</v>
      </c>
      <c r="B48" s="1">
        <v>897</v>
      </c>
      <c r="C48" s="1" t="s">
        <v>235</v>
      </c>
      <c r="D48" s="1">
        <v>4</v>
      </c>
      <c r="E48" s="1">
        <v>45</v>
      </c>
      <c r="F48" s="1">
        <v>23</v>
      </c>
      <c r="G48" s="1" t="s">
        <v>15</v>
      </c>
      <c r="H48" s="1">
        <v>1421</v>
      </c>
      <c r="K48" s="1" t="s">
        <v>77</v>
      </c>
      <c r="L48" s="1" t="s">
        <v>245</v>
      </c>
      <c r="M48" s="1" t="s">
        <v>246</v>
      </c>
      <c r="N48" s="1" t="s">
        <v>253</v>
      </c>
      <c r="O48" s="1">
        <v>708.55</v>
      </c>
      <c r="P48" s="1" t="s">
        <v>73</v>
      </c>
    </row>
    <row r="49" spans="1:16">
      <c r="A49" s="7">
        <v>40057</v>
      </c>
      <c r="B49" s="1">
        <v>898</v>
      </c>
      <c r="C49" s="1" t="s">
        <v>235</v>
      </c>
      <c r="D49" s="1">
        <v>4</v>
      </c>
      <c r="E49" s="1">
        <v>45</v>
      </c>
      <c r="F49" s="1">
        <v>23</v>
      </c>
      <c r="G49" s="1" t="s">
        <v>15</v>
      </c>
      <c r="H49" s="1">
        <v>1488</v>
      </c>
      <c r="K49" s="1" t="s">
        <v>78</v>
      </c>
      <c r="L49" s="1" t="s">
        <v>245</v>
      </c>
      <c r="M49" s="1" t="s">
        <v>246</v>
      </c>
      <c r="N49" s="1" t="s">
        <v>253</v>
      </c>
      <c r="O49" s="1">
        <v>475</v>
      </c>
      <c r="P49" s="1" t="s">
        <v>73</v>
      </c>
    </row>
    <row r="50" spans="1:16">
      <c r="A50" s="7">
        <v>40057</v>
      </c>
      <c r="B50" s="1">
        <v>892</v>
      </c>
      <c r="C50" s="1" t="s">
        <v>235</v>
      </c>
      <c r="D50" s="1">
        <v>1</v>
      </c>
      <c r="E50" s="1">
        <v>595.48</v>
      </c>
      <c r="F50" s="1">
        <v>23</v>
      </c>
      <c r="G50" s="1" t="s">
        <v>5</v>
      </c>
      <c r="H50" s="1">
        <v>1916</v>
      </c>
      <c r="K50" s="1" t="s">
        <v>78</v>
      </c>
      <c r="L50" s="1" t="s">
        <v>245</v>
      </c>
      <c r="M50" s="1" t="s">
        <v>246</v>
      </c>
      <c r="N50" s="1" t="s">
        <v>253</v>
      </c>
      <c r="O50" s="1">
        <v>175</v>
      </c>
      <c r="P50" s="1" t="s">
        <v>73</v>
      </c>
    </row>
    <row r="51" spans="1:16">
      <c r="A51" s="7">
        <v>40057</v>
      </c>
      <c r="B51" s="1">
        <v>894</v>
      </c>
      <c r="C51" s="1" t="s">
        <v>234</v>
      </c>
      <c r="D51" s="1">
        <v>1</v>
      </c>
      <c r="E51" s="1">
        <v>414.46</v>
      </c>
      <c r="F51" s="1">
        <v>23</v>
      </c>
      <c r="G51" s="1" t="s">
        <v>6</v>
      </c>
      <c r="H51" s="1">
        <v>619</v>
      </c>
      <c r="K51" s="1" t="s">
        <v>78</v>
      </c>
      <c r="L51" s="1" t="s">
        <v>245</v>
      </c>
      <c r="M51" s="1" t="s">
        <v>246</v>
      </c>
      <c r="N51" s="1" t="s">
        <v>253</v>
      </c>
      <c r="O51" s="1">
        <v>865</v>
      </c>
      <c r="P51" s="1" t="s">
        <v>73</v>
      </c>
    </row>
    <row r="52" spans="1:16">
      <c r="A52" s="7">
        <v>40087</v>
      </c>
      <c r="B52" s="1">
        <v>1391</v>
      </c>
      <c r="C52" s="1" t="s">
        <v>235</v>
      </c>
      <c r="D52" s="1">
        <v>4</v>
      </c>
      <c r="E52" s="1">
        <v>10.5</v>
      </c>
      <c r="F52" s="1">
        <v>23</v>
      </c>
      <c r="G52" s="1" t="s">
        <v>16</v>
      </c>
      <c r="H52" s="1">
        <v>2021</v>
      </c>
      <c r="K52" s="1" t="s">
        <v>76</v>
      </c>
      <c r="L52" s="1" t="s">
        <v>245</v>
      </c>
      <c r="M52" s="1" t="s">
        <v>246</v>
      </c>
      <c r="N52" s="1" t="s">
        <v>253</v>
      </c>
      <c r="O52" s="1">
        <v>104</v>
      </c>
      <c r="P52" s="1" t="s">
        <v>73</v>
      </c>
    </row>
    <row r="53" spans="1:16">
      <c r="A53" s="7">
        <v>40087</v>
      </c>
      <c r="B53" s="1">
        <v>1358</v>
      </c>
      <c r="C53" s="1" t="s">
        <v>234</v>
      </c>
      <c r="D53" s="1">
        <v>4</v>
      </c>
      <c r="E53" s="1">
        <v>489.75</v>
      </c>
      <c r="F53" s="1">
        <v>23</v>
      </c>
      <c r="G53" s="1" t="s">
        <v>9</v>
      </c>
      <c r="H53" s="1">
        <v>0</v>
      </c>
      <c r="K53" s="1" t="s">
        <v>76</v>
      </c>
      <c r="L53" s="1" t="s">
        <v>245</v>
      </c>
      <c r="M53" s="1" t="s">
        <v>246</v>
      </c>
      <c r="N53" s="1" t="s">
        <v>253</v>
      </c>
      <c r="O53" s="1">
        <v>312</v>
      </c>
      <c r="P53" s="1" t="s">
        <v>73</v>
      </c>
    </row>
    <row r="54" spans="1:16">
      <c r="A54" s="7">
        <v>40087</v>
      </c>
      <c r="B54" s="1">
        <v>1395</v>
      </c>
      <c r="C54" s="1" t="s">
        <v>234</v>
      </c>
      <c r="D54" s="1">
        <v>1</v>
      </c>
      <c r="E54" s="1">
        <v>34</v>
      </c>
      <c r="F54" s="1">
        <v>23</v>
      </c>
      <c r="G54" s="1" t="s">
        <v>10</v>
      </c>
      <c r="H54" s="1">
        <v>0</v>
      </c>
      <c r="K54" s="1" t="s">
        <v>72</v>
      </c>
      <c r="L54" s="1" t="s">
        <v>245</v>
      </c>
      <c r="M54" s="1" t="s">
        <v>246</v>
      </c>
      <c r="N54" s="1" t="s">
        <v>253</v>
      </c>
      <c r="O54" s="1">
        <v>205</v>
      </c>
      <c r="P54" s="1" t="s">
        <v>73</v>
      </c>
    </row>
    <row r="55" spans="1:16">
      <c r="A55" s="7">
        <v>40087</v>
      </c>
      <c r="B55" s="1">
        <v>1390</v>
      </c>
      <c r="C55" s="1" t="s">
        <v>235</v>
      </c>
      <c r="D55" s="1">
        <v>1</v>
      </c>
      <c r="E55" s="1">
        <v>575</v>
      </c>
      <c r="F55" s="1">
        <v>23</v>
      </c>
      <c r="G55" s="1" t="s">
        <v>17</v>
      </c>
      <c r="H55" s="1">
        <v>2152</v>
      </c>
      <c r="K55" s="1" t="s">
        <v>85</v>
      </c>
      <c r="L55" s="1" t="s">
        <v>245</v>
      </c>
      <c r="M55" s="1" t="s">
        <v>246</v>
      </c>
      <c r="N55" s="1" t="s">
        <v>253</v>
      </c>
      <c r="O55" s="1">
        <v>223.19</v>
      </c>
      <c r="P55" s="1" t="s">
        <v>73</v>
      </c>
    </row>
    <row r="56" spans="1:16">
      <c r="A56" s="7">
        <v>40087</v>
      </c>
      <c r="B56" s="1">
        <v>1392</v>
      </c>
      <c r="C56" s="1" t="s">
        <v>234</v>
      </c>
      <c r="D56" s="1">
        <v>4</v>
      </c>
      <c r="E56" s="1">
        <v>575</v>
      </c>
      <c r="F56" s="1">
        <v>23</v>
      </c>
      <c r="G56" s="1" t="s">
        <v>17</v>
      </c>
      <c r="H56" s="1">
        <v>2153</v>
      </c>
      <c r="K56" s="1" t="s">
        <v>86</v>
      </c>
      <c r="L56" s="1" t="s">
        <v>242</v>
      </c>
      <c r="M56" s="1" t="s">
        <v>243</v>
      </c>
      <c r="N56" s="1" t="s">
        <v>254</v>
      </c>
      <c r="O56" s="1">
        <v>39.909999999999997</v>
      </c>
      <c r="P56" s="1" t="s">
        <v>87</v>
      </c>
    </row>
    <row r="57" spans="1:16">
      <c r="A57" s="7">
        <v>40087</v>
      </c>
      <c r="B57" s="1">
        <v>1396</v>
      </c>
      <c r="C57" s="1" t="s">
        <v>234</v>
      </c>
      <c r="D57" s="1">
        <v>1</v>
      </c>
      <c r="E57" s="1">
        <v>287.5</v>
      </c>
      <c r="F57" s="1">
        <v>23</v>
      </c>
      <c r="G57" s="1" t="s">
        <v>17</v>
      </c>
      <c r="H57" s="1">
        <v>559</v>
      </c>
      <c r="K57" s="1" t="s">
        <v>88</v>
      </c>
      <c r="L57" s="1" t="s">
        <v>242</v>
      </c>
      <c r="M57" s="1" t="s">
        <v>243</v>
      </c>
      <c r="N57" s="1" t="s">
        <v>254</v>
      </c>
      <c r="O57" s="1">
        <v>4.2</v>
      </c>
      <c r="P57" s="1" t="s">
        <v>87</v>
      </c>
    </row>
    <row r="58" spans="1:16">
      <c r="A58" s="7">
        <v>40087</v>
      </c>
      <c r="B58" s="1">
        <v>1397</v>
      </c>
      <c r="C58" s="1" t="s">
        <v>234</v>
      </c>
      <c r="D58" s="1">
        <v>1</v>
      </c>
      <c r="E58" s="1">
        <v>575</v>
      </c>
      <c r="F58" s="1">
        <v>23</v>
      </c>
      <c r="G58" s="1" t="s">
        <v>17</v>
      </c>
      <c r="H58" s="1">
        <v>2155</v>
      </c>
      <c r="K58" s="1" t="s">
        <v>89</v>
      </c>
      <c r="L58" s="1" t="s">
        <v>242</v>
      </c>
      <c r="M58" s="1" t="s">
        <v>243</v>
      </c>
      <c r="N58" s="1" t="s">
        <v>254</v>
      </c>
      <c r="O58" s="1">
        <v>14.4</v>
      </c>
      <c r="P58" s="1" t="s">
        <v>87</v>
      </c>
    </row>
    <row r="59" spans="1:16">
      <c r="A59" s="7">
        <v>40087</v>
      </c>
      <c r="B59" s="1">
        <v>1401</v>
      </c>
      <c r="C59" s="1" t="s">
        <v>234</v>
      </c>
      <c r="D59" s="1">
        <v>8</v>
      </c>
      <c r="E59" s="1">
        <v>287.5</v>
      </c>
      <c r="F59" s="1">
        <v>23</v>
      </c>
      <c r="G59" s="1" t="s">
        <v>17</v>
      </c>
      <c r="H59" s="1">
        <v>517</v>
      </c>
      <c r="K59" s="1" t="s">
        <v>83</v>
      </c>
      <c r="L59" s="1" t="s">
        <v>242</v>
      </c>
      <c r="M59" s="1" t="s">
        <v>243</v>
      </c>
      <c r="N59" s="1" t="s">
        <v>254</v>
      </c>
      <c r="O59" s="1">
        <v>4.2</v>
      </c>
      <c r="P59" s="1" t="s">
        <v>87</v>
      </c>
    </row>
    <row r="60" spans="1:16">
      <c r="A60" s="7">
        <v>40087</v>
      </c>
      <c r="B60" s="1">
        <v>1393</v>
      </c>
      <c r="C60" s="1" t="s">
        <v>234</v>
      </c>
      <c r="D60" s="1">
        <v>4</v>
      </c>
      <c r="E60" s="1">
        <v>65</v>
      </c>
      <c r="F60" s="1">
        <v>23</v>
      </c>
      <c r="G60" s="1" t="s">
        <v>18</v>
      </c>
      <c r="H60" s="1">
        <v>0</v>
      </c>
      <c r="K60" s="1" t="s">
        <v>79</v>
      </c>
      <c r="L60" s="1" t="s">
        <v>245</v>
      </c>
      <c r="M60" s="1" t="s">
        <v>246</v>
      </c>
      <c r="N60" s="1" t="s">
        <v>251</v>
      </c>
      <c r="O60" s="1">
        <v>6</v>
      </c>
      <c r="P60" s="1" t="s">
        <v>87</v>
      </c>
    </row>
    <row r="61" spans="1:16">
      <c r="A61" s="7">
        <v>40087</v>
      </c>
      <c r="B61" s="1">
        <v>1394</v>
      </c>
      <c r="C61" s="1" t="s">
        <v>234</v>
      </c>
      <c r="D61" s="1">
        <v>4</v>
      </c>
      <c r="E61" s="1">
        <v>50</v>
      </c>
      <c r="F61" s="1">
        <v>23</v>
      </c>
      <c r="G61" s="1" t="s">
        <v>19</v>
      </c>
      <c r="H61" s="1">
        <v>2154</v>
      </c>
      <c r="K61" s="1" t="s">
        <v>90</v>
      </c>
      <c r="L61" s="1" t="s">
        <v>245</v>
      </c>
      <c r="M61" s="1" t="s">
        <v>246</v>
      </c>
      <c r="N61" s="1" t="s">
        <v>255</v>
      </c>
      <c r="O61" s="1">
        <v>442.1</v>
      </c>
      <c r="P61" s="1" t="s">
        <v>91</v>
      </c>
    </row>
    <row r="62" spans="1:16">
      <c r="A62" s="7">
        <v>40087</v>
      </c>
      <c r="B62" s="1">
        <v>1406</v>
      </c>
      <c r="C62" s="1" t="s">
        <v>234</v>
      </c>
      <c r="D62" s="1">
        <v>2</v>
      </c>
      <c r="E62" s="1">
        <v>300</v>
      </c>
      <c r="F62" s="1">
        <v>23</v>
      </c>
      <c r="G62" s="1" t="s">
        <v>20</v>
      </c>
      <c r="H62" s="1">
        <v>791</v>
      </c>
      <c r="K62" s="1" t="s">
        <v>92</v>
      </c>
      <c r="L62" s="1" t="s">
        <v>245</v>
      </c>
      <c r="M62" s="1" t="s">
        <v>246</v>
      </c>
      <c r="N62" s="1" t="s">
        <v>255</v>
      </c>
      <c r="O62" s="1">
        <v>3458.52</v>
      </c>
      <c r="P62" s="1" t="s">
        <v>93</v>
      </c>
    </row>
    <row r="63" spans="1:16">
      <c r="A63" s="7">
        <v>40087</v>
      </c>
      <c r="B63" s="1">
        <v>1439</v>
      </c>
      <c r="C63" s="1" t="s">
        <v>234</v>
      </c>
      <c r="D63" s="1">
        <v>3</v>
      </c>
      <c r="E63" s="1">
        <v>111.9</v>
      </c>
      <c r="F63" s="1">
        <v>23</v>
      </c>
      <c r="G63" s="1" t="s">
        <v>20</v>
      </c>
      <c r="H63" s="1">
        <v>645</v>
      </c>
      <c r="K63" s="1" t="s">
        <v>94</v>
      </c>
      <c r="L63" s="1" t="s">
        <v>245</v>
      </c>
      <c r="M63" s="1" t="s">
        <v>246</v>
      </c>
      <c r="N63" s="1" t="s">
        <v>255</v>
      </c>
      <c r="O63" s="1">
        <v>1146.0899999999999</v>
      </c>
      <c r="P63" s="1" t="s">
        <v>95</v>
      </c>
    </row>
    <row r="64" spans="1:16">
      <c r="A64" s="7">
        <v>40148</v>
      </c>
      <c r="B64" s="1">
        <v>1338</v>
      </c>
      <c r="C64" s="1" t="s">
        <v>234</v>
      </c>
      <c r="D64" s="1">
        <v>1</v>
      </c>
      <c r="E64" s="1">
        <v>489.75</v>
      </c>
      <c r="F64" s="1">
        <v>23</v>
      </c>
      <c r="G64" s="1" t="s">
        <v>8</v>
      </c>
      <c r="H64" s="1">
        <v>0</v>
      </c>
      <c r="K64" s="1" t="s">
        <v>90</v>
      </c>
      <c r="L64" s="1" t="s">
        <v>245</v>
      </c>
      <c r="M64" s="1" t="s">
        <v>246</v>
      </c>
      <c r="N64" s="1" t="s">
        <v>255</v>
      </c>
      <c r="O64" s="1">
        <v>312.13</v>
      </c>
      <c r="P64" s="1" t="s">
        <v>96</v>
      </c>
    </row>
    <row r="65" spans="1:16">
      <c r="A65" s="7">
        <v>39815</v>
      </c>
      <c r="B65" s="1">
        <v>12</v>
      </c>
      <c r="C65" s="1" t="s">
        <v>234</v>
      </c>
      <c r="D65" s="1">
        <v>2</v>
      </c>
      <c r="E65" s="1">
        <v>75</v>
      </c>
      <c r="F65" s="1">
        <v>23</v>
      </c>
      <c r="G65" s="1" t="s">
        <v>21</v>
      </c>
      <c r="H65" s="1">
        <v>1987</v>
      </c>
      <c r="K65" s="1" t="s">
        <v>72</v>
      </c>
      <c r="L65" s="1" t="s">
        <v>245</v>
      </c>
      <c r="M65" s="1" t="s">
        <v>246</v>
      </c>
      <c r="N65" s="1" t="s">
        <v>247</v>
      </c>
      <c r="O65" s="1">
        <v>664</v>
      </c>
      <c r="P65" s="1" t="s">
        <v>97</v>
      </c>
    </row>
    <row r="66" spans="1:16">
      <c r="A66" s="7">
        <v>39815</v>
      </c>
      <c r="B66" s="1">
        <v>13</v>
      </c>
      <c r="C66" s="1" t="s">
        <v>234</v>
      </c>
      <c r="D66" s="1">
        <v>2</v>
      </c>
      <c r="E66" s="1">
        <v>360</v>
      </c>
      <c r="F66" s="1">
        <v>23</v>
      </c>
      <c r="G66" s="1" t="s">
        <v>22</v>
      </c>
      <c r="H66" s="1">
        <v>1988</v>
      </c>
      <c r="K66" s="1" t="s">
        <v>72</v>
      </c>
      <c r="L66" s="1" t="s">
        <v>245</v>
      </c>
      <c r="M66" s="1" t="s">
        <v>246</v>
      </c>
      <c r="N66" s="1" t="s">
        <v>247</v>
      </c>
      <c r="O66" s="1">
        <v>687.03</v>
      </c>
      <c r="P66" s="1" t="s">
        <v>97</v>
      </c>
    </row>
    <row r="67" spans="1:16">
      <c r="A67" s="7">
        <v>39846</v>
      </c>
      <c r="B67" s="1">
        <v>78</v>
      </c>
      <c r="C67" s="1" t="s">
        <v>234</v>
      </c>
      <c r="D67" s="1">
        <v>3</v>
      </c>
      <c r="E67" s="1">
        <v>880.75</v>
      </c>
      <c r="F67" s="1">
        <v>23</v>
      </c>
      <c r="G67" s="1" t="s">
        <v>12</v>
      </c>
      <c r="H67" s="1">
        <v>1431</v>
      </c>
      <c r="K67" s="1" t="s">
        <v>82</v>
      </c>
      <c r="L67" s="1" t="s">
        <v>245</v>
      </c>
      <c r="M67" s="1" t="s">
        <v>246</v>
      </c>
      <c r="N67" s="1" t="s">
        <v>247</v>
      </c>
      <c r="O67" s="1">
        <v>274.27</v>
      </c>
      <c r="P67" s="1" t="s">
        <v>97</v>
      </c>
    </row>
    <row r="68" spans="1:16">
      <c r="A68" s="7">
        <v>39846</v>
      </c>
      <c r="B68" s="1">
        <v>73</v>
      </c>
      <c r="C68" s="1" t="s">
        <v>234</v>
      </c>
      <c r="D68" s="1">
        <v>4</v>
      </c>
      <c r="E68" s="1">
        <v>799.42</v>
      </c>
      <c r="F68" s="1">
        <v>23</v>
      </c>
      <c r="G68" s="1" t="s">
        <v>13</v>
      </c>
      <c r="H68" s="1">
        <v>1404</v>
      </c>
      <c r="K68" s="1" t="s">
        <v>82</v>
      </c>
      <c r="L68" s="1" t="s">
        <v>245</v>
      </c>
      <c r="M68" s="1" t="s">
        <v>246</v>
      </c>
      <c r="N68" s="1" t="s">
        <v>247</v>
      </c>
      <c r="O68" s="1">
        <v>196.8</v>
      </c>
      <c r="P68" s="1" t="s">
        <v>97</v>
      </c>
    </row>
    <row r="69" spans="1:16">
      <c r="A69" s="7">
        <v>39846</v>
      </c>
      <c r="B69" s="1">
        <v>74</v>
      </c>
      <c r="C69" s="1" t="s">
        <v>234</v>
      </c>
      <c r="D69" s="1">
        <v>4</v>
      </c>
      <c r="E69" s="1">
        <v>831.39</v>
      </c>
      <c r="F69" s="1">
        <v>23</v>
      </c>
      <c r="G69" s="1" t="s">
        <v>13</v>
      </c>
      <c r="H69" s="1">
        <v>1786</v>
      </c>
      <c r="K69" s="1" t="s">
        <v>76</v>
      </c>
      <c r="L69" s="1" t="s">
        <v>248</v>
      </c>
      <c r="M69" s="1" t="s">
        <v>249</v>
      </c>
      <c r="N69" s="1" t="s">
        <v>250</v>
      </c>
      <c r="O69" s="1">
        <v>429.5</v>
      </c>
      <c r="P69" s="1" t="s">
        <v>97</v>
      </c>
    </row>
    <row r="70" spans="1:16">
      <c r="A70" s="7">
        <v>39846</v>
      </c>
      <c r="B70" s="1">
        <v>75</v>
      </c>
      <c r="C70" s="1" t="s">
        <v>235</v>
      </c>
      <c r="D70" s="1">
        <v>4</v>
      </c>
      <c r="E70" s="1">
        <v>329.18</v>
      </c>
      <c r="F70" s="1">
        <v>23</v>
      </c>
      <c r="G70" s="1" t="s">
        <v>13</v>
      </c>
      <c r="H70" s="1">
        <v>797</v>
      </c>
      <c r="K70" s="1" t="s">
        <v>75</v>
      </c>
      <c r="L70" s="1" t="s">
        <v>248</v>
      </c>
      <c r="M70" s="1" t="s">
        <v>249</v>
      </c>
      <c r="N70" s="1" t="s">
        <v>250</v>
      </c>
      <c r="O70" s="1">
        <v>435</v>
      </c>
      <c r="P70" s="1" t="s">
        <v>97</v>
      </c>
    </row>
    <row r="71" spans="1:16">
      <c r="A71" s="7">
        <v>39846</v>
      </c>
      <c r="B71" s="1">
        <v>77</v>
      </c>
      <c r="C71" s="1" t="s">
        <v>234</v>
      </c>
      <c r="D71" s="1">
        <v>3</v>
      </c>
      <c r="E71" s="1">
        <v>909.15</v>
      </c>
      <c r="F71" s="1">
        <v>23</v>
      </c>
      <c r="G71" s="1" t="s">
        <v>3</v>
      </c>
      <c r="H71" s="1">
        <v>1338</v>
      </c>
      <c r="K71" s="1" t="s">
        <v>76</v>
      </c>
      <c r="L71" s="1" t="s">
        <v>248</v>
      </c>
      <c r="M71" s="1" t="s">
        <v>249</v>
      </c>
      <c r="N71" s="1" t="s">
        <v>250</v>
      </c>
      <c r="O71" s="1">
        <v>500</v>
      </c>
      <c r="P71" s="1" t="s">
        <v>97</v>
      </c>
    </row>
    <row r="72" spans="1:16">
      <c r="A72" s="7">
        <v>39905</v>
      </c>
      <c r="B72" s="1">
        <v>537</v>
      </c>
      <c r="C72" s="1" t="s">
        <v>235</v>
      </c>
      <c r="D72" s="1">
        <v>4</v>
      </c>
      <c r="E72" s="1">
        <v>4.5</v>
      </c>
      <c r="F72" s="1">
        <v>23</v>
      </c>
      <c r="G72" s="1" t="s">
        <v>14</v>
      </c>
      <c r="H72" s="1">
        <v>1087</v>
      </c>
      <c r="K72" s="1" t="s">
        <v>98</v>
      </c>
      <c r="L72" s="1" t="s">
        <v>245</v>
      </c>
      <c r="M72" s="1" t="s">
        <v>246</v>
      </c>
      <c r="N72" s="1" t="s">
        <v>250</v>
      </c>
      <c r="O72" s="1">
        <v>25049.3</v>
      </c>
      <c r="P72" s="1" t="s">
        <v>97</v>
      </c>
    </row>
    <row r="73" spans="1:16">
      <c r="A73" s="7">
        <v>39966</v>
      </c>
      <c r="B73" s="1">
        <v>530</v>
      </c>
      <c r="C73" s="1" t="s">
        <v>234</v>
      </c>
      <c r="D73" s="1">
        <v>4</v>
      </c>
      <c r="E73" s="1">
        <v>2752.56</v>
      </c>
      <c r="F73" s="1">
        <v>23</v>
      </c>
      <c r="G73" s="1" t="s">
        <v>23</v>
      </c>
      <c r="H73" s="1">
        <v>0</v>
      </c>
      <c r="K73" s="1" t="s">
        <v>75</v>
      </c>
      <c r="L73" s="1" t="s">
        <v>245</v>
      </c>
      <c r="M73" s="1" t="s">
        <v>246</v>
      </c>
      <c r="N73" s="1" t="s">
        <v>250</v>
      </c>
      <c r="O73" s="1">
        <v>175.32</v>
      </c>
      <c r="P73" s="1" t="s">
        <v>97</v>
      </c>
    </row>
    <row r="74" spans="1:16">
      <c r="A74" s="7">
        <v>39966</v>
      </c>
      <c r="B74" s="1">
        <v>586</v>
      </c>
      <c r="C74" s="1" t="s">
        <v>235</v>
      </c>
      <c r="D74" s="1">
        <v>4</v>
      </c>
      <c r="E74" s="1">
        <v>4.5</v>
      </c>
      <c r="F74" s="1">
        <v>23</v>
      </c>
      <c r="G74" s="1" t="s">
        <v>14</v>
      </c>
      <c r="H74" s="1">
        <v>1836</v>
      </c>
      <c r="K74" s="1" t="s">
        <v>75</v>
      </c>
      <c r="L74" s="1" t="s">
        <v>245</v>
      </c>
      <c r="M74" s="1" t="s">
        <v>246</v>
      </c>
      <c r="N74" s="1" t="s">
        <v>250</v>
      </c>
      <c r="O74" s="1">
        <v>298</v>
      </c>
      <c r="P74" s="1" t="s">
        <v>97</v>
      </c>
    </row>
    <row r="75" spans="1:16">
      <c r="A75" s="7">
        <v>39966</v>
      </c>
      <c r="B75" s="1">
        <v>588</v>
      </c>
      <c r="C75" s="1" t="s">
        <v>235</v>
      </c>
      <c r="D75" s="1">
        <v>1</v>
      </c>
      <c r="E75" s="1">
        <v>75</v>
      </c>
      <c r="F75" s="1">
        <v>23</v>
      </c>
      <c r="G75" s="1" t="s">
        <v>24</v>
      </c>
      <c r="H75" s="1">
        <v>1466</v>
      </c>
      <c r="K75" s="1" t="s">
        <v>75</v>
      </c>
      <c r="L75" s="1" t="s">
        <v>245</v>
      </c>
      <c r="M75" s="1" t="s">
        <v>246</v>
      </c>
      <c r="N75" s="1" t="s">
        <v>250</v>
      </c>
      <c r="O75" s="1">
        <v>166.96</v>
      </c>
      <c r="P75" s="1" t="s">
        <v>97</v>
      </c>
    </row>
    <row r="76" spans="1:16">
      <c r="A76" s="7">
        <v>39996</v>
      </c>
      <c r="B76" s="1">
        <v>619</v>
      </c>
      <c r="C76" s="1" t="s">
        <v>234</v>
      </c>
      <c r="D76" s="1">
        <v>4</v>
      </c>
      <c r="E76" s="1">
        <v>165</v>
      </c>
      <c r="F76" s="1">
        <v>23</v>
      </c>
      <c r="G76" s="1" t="s">
        <v>4</v>
      </c>
      <c r="H76" s="1">
        <v>0</v>
      </c>
      <c r="K76" s="1" t="s">
        <v>75</v>
      </c>
      <c r="L76" s="1" t="s">
        <v>245</v>
      </c>
      <c r="M76" s="1" t="s">
        <v>246</v>
      </c>
      <c r="N76" s="1" t="s">
        <v>250</v>
      </c>
      <c r="O76" s="1">
        <v>318.33999999999997</v>
      </c>
      <c r="P76" s="1" t="s">
        <v>97</v>
      </c>
    </row>
    <row r="77" spans="1:16">
      <c r="A77" s="7">
        <v>39996</v>
      </c>
      <c r="B77" s="1">
        <v>626</v>
      </c>
      <c r="C77" s="1" t="s">
        <v>234</v>
      </c>
      <c r="D77" s="1">
        <v>2</v>
      </c>
      <c r="E77" s="1">
        <v>437.44</v>
      </c>
      <c r="F77" s="1">
        <v>23</v>
      </c>
      <c r="G77" s="1" t="s">
        <v>5</v>
      </c>
      <c r="H77" s="1">
        <v>2048</v>
      </c>
      <c r="K77" s="1" t="s">
        <v>76</v>
      </c>
      <c r="L77" s="1" t="s">
        <v>245</v>
      </c>
      <c r="M77" s="1" t="s">
        <v>246</v>
      </c>
      <c r="N77" s="1" t="s">
        <v>250</v>
      </c>
      <c r="O77" s="1">
        <v>208</v>
      </c>
      <c r="P77" s="1" t="s">
        <v>97</v>
      </c>
    </row>
    <row r="78" spans="1:16">
      <c r="A78" s="7">
        <v>39996</v>
      </c>
      <c r="B78" s="1">
        <v>620</v>
      </c>
      <c r="C78" s="1" t="s">
        <v>235</v>
      </c>
      <c r="D78" s="1">
        <v>1</v>
      </c>
      <c r="E78" s="1">
        <v>572.5</v>
      </c>
      <c r="F78" s="1">
        <v>23</v>
      </c>
      <c r="G78" s="1" t="s">
        <v>6</v>
      </c>
      <c r="H78" s="1">
        <v>270</v>
      </c>
      <c r="K78" s="1" t="s">
        <v>76</v>
      </c>
      <c r="L78" s="1" t="s">
        <v>245</v>
      </c>
      <c r="M78" s="1" t="s">
        <v>246</v>
      </c>
      <c r="N78" s="1" t="s">
        <v>250</v>
      </c>
      <c r="O78" s="1">
        <v>249.6</v>
      </c>
      <c r="P78" s="1" t="s">
        <v>97</v>
      </c>
    </row>
    <row r="79" spans="1:16">
      <c r="A79" s="7">
        <v>39996</v>
      </c>
      <c r="B79" s="1">
        <v>629</v>
      </c>
      <c r="C79" s="1" t="s">
        <v>234</v>
      </c>
      <c r="D79" s="1">
        <v>1</v>
      </c>
      <c r="E79" s="1">
        <v>374.95</v>
      </c>
      <c r="F79" s="1">
        <v>23</v>
      </c>
      <c r="G79" s="1" t="s">
        <v>6</v>
      </c>
      <c r="H79" s="1">
        <v>2020</v>
      </c>
      <c r="K79" s="1" t="s">
        <v>79</v>
      </c>
      <c r="L79" s="1" t="s">
        <v>248</v>
      </c>
      <c r="M79" s="1" t="s">
        <v>249</v>
      </c>
      <c r="N79" s="1" t="s">
        <v>251</v>
      </c>
      <c r="O79" s="1">
        <v>18.78</v>
      </c>
      <c r="P79" s="1" t="s">
        <v>97</v>
      </c>
    </row>
    <row r="80" spans="1:16">
      <c r="A80" s="7">
        <v>39996</v>
      </c>
      <c r="B80" s="1">
        <v>630</v>
      </c>
      <c r="C80" s="1" t="s">
        <v>234</v>
      </c>
      <c r="D80" s="1">
        <v>1</v>
      </c>
      <c r="E80" s="1">
        <v>374.95</v>
      </c>
      <c r="F80" s="1">
        <v>23</v>
      </c>
      <c r="G80" s="1" t="s">
        <v>6</v>
      </c>
      <c r="H80" s="1">
        <v>2006</v>
      </c>
      <c r="K80" s="1" t="s">
        <v>79</v>
      </c>
      <c r="L80" s="1" t="s">
        <v>248</v>
      </c>
      <c r="M80" s="1" t="s">
        <v>249</v>
      </c>
      <c r="N80" s="1" t="s">
        <v>251</v>
      </c>
      <c r="O80" s="1">
        <v>4.49</v>
      </c>
      <c r="P80" s="1" t="s">
        <v>97</v>
      </c>
    </row>
    <row r="81" spans="1:16">
      <c r="A81" s="7">
        <v>39996</v>
      </c>
      <c r="B81" s="1">
        <v>627</v>
      </c>
      <c r="C81" s="1" t="s">
        <v>234</v>
      </c>
      <c r="D81" s="1">
        <v>2</v>
      </c>
      <c r="E81" s="1">
        <v>300</v>
      </c>
      <c r="F81" s="1">
        <v>23</v>
      </c>
      <c r="G81" s="1" t="s">
        <v>20</v>
      </c>
      <c r="H81" s="1">
        <v>2049</v>
      </c>
      <c r="K81" s="1" t="s">
        <v>99</v>
      </c>
      <c r="L81" s="1" t="s">
        <v>256</v>
      </c>
      <c r="M81" s="1" t="s">
        <v>257</v>
      </c>
      <c r="N81" s="1" t="s">
        <v>251</v>
      </c>
      <c r="O81" s="1">
        <v>20.38</v>
      </c>
      <c r="P81" s="1" t="s">
        <v>97</v>
      </c>
    </row>
    <row r="82" spans="1:16">
      <c r="A82" s="7">
        <v>40058</v>
      </c>
      <c r="B82" s="1">
        <v>923</v>
      </c>
      <c r="C82" s="1" t="s">
        <v>234</v>
      </c>
      <c r="D82" s="1">
        <v>3</v>
      </c>
      <c r="E82" s="1">
        <v>901.5</v>
      </c>
      <c r="F82" s="1">
        <v>23</v>
      </c>
      <c r="G82" s="1" t="s">
        <v>7</v>
      </c>
      <c r="H82" s="1">
        <v>2082</v>
      </c>
      <c r="K82" s="1" t="s">
        <v>79</v>
      </c>
      <c r="L82" s="1" t="s">
        <v>245</v>
      </c>
      <c r="M82" s="1" t="s">
        <v>246</v>
      </c>
      <c r="N82" s="1" t="s">
        <v>251</v>
      </c>
      <c r="O82" s="1">
        <v>6</v>
      </c>
      <c r="P82" s="1" t="s">
        <v>97</v>
      </c>
    </row>
    <row r="83" spans="1:16">
      <c r="A83" s="7">
        <v>40058</v>
      </c>
      <c r="B83" s="1">
        <v>905</v>
      </c>
      <c r="C83" s="1" t="s">
        <v>234</v>
      </c>
      <c r="D83" s="1">
        <v>4</v>
      </c>
      <c r="E83" s="1">
        <v>1881</v>
      </c>
      <c r="F83" s="1">
        <v>23</v>
      </c>
      <c r="G83" s="1" t="s">
        <v>8</v>
      </c>
      <c r="H83" s="1">
        <v>1791</v>
      </c>
      <c r="K83" s="1" t="s">
        <v>80</v>
      </c>
      <c r="L83" s="1" t="s">
        <v>248</v>
      </c>
      <c r="M83" s="1" t="s">
        <v>249</v>
      </c>
      <c r="N83" s="1" t="s">
        <v>252</v>
      </c>
      <c r="O83" s="1">
        <v>82.82</v>
      </c>
      <c r="P83" s="1" t="s">
        <v>97</v>
      </c>
    </row>
    <row r="84" spans="1:16">
      <c r="A84" s="7">
        <v>40058</v>
      </c>
      <c r="B84" s="1">
        <v>918</v>
      </c>
      <c r="C84" s="1" t="s">
        <v>234</v>
      </c>
      <c r="D84" s="1">
        <v>4</v>
      </c>
      <c r="E84" s="1">
        <v>901.5</v>
      </c>
      <c r="F84" s="1">
        <v>23</v>
      </c>
      <c r="G84" s="1" t="s">
        <v>8</v>
      </c>
      <c r="H84" s="1">
        <v>0</v>
      </c>
      <c r="K84" s="1" t="s">
        <v>100</v>
      </c>
      <c r="L84" s="1" t="s">
        <v>245</v>
      </c>
      <c r="M84" s="1" t="s">
        <v>246</v>
      </c>
      <c r="N84" s="1" t="s">
        <v>252</v>
      </c>
      <c r="O84" s="1">
        <v>44</v>
      </c>
      <c r="P84" s="1" t="s">
        <v>97</v>
      </c>
    </row>
    <row r="85" spans="1:16">
      <c r="A85" s="7">
        <v>40058</v>
      </c>
      <c r="B85" s="1">
        <v>922</v>
      </c>
      <c r="C85" s="1" t="s">
        <v>234</v>
      </c>
      <c r="D85" s="1">
        <v>3</v>
      </c>
      <c r="E85" s="1">
        <v>1457.78</v>
      </c>
      <c r="F85" s="1">
        <v>23</v>
      </c>
      <c r="G85" s="1" t="s">
        <v>8</v>
      </c>
      <c r="H85" s="1">
        <v>1425</v>
      </c>
      <c r="K85" s="1" t="s">
        <v>80</v>
      </c>
      <c r="L85" s="1" t="s">
        <v>245</v>
      </c>
      <c r="M85" s="1" t="s">
        <v>246</v>
      </c>
      <c r="N85" s="1" t="s">
        <v>252</v>
      </c>
      <c r="O85" s="1">
        <v>20</v>
      </c>
      <c r="P85" s="1" t="s">
        <v>97</v>
      </c>
    </row>
    <row r="86" spans="1:16">
      <c r="A86" s="7">
        <v>40058</v>
      </c>
      <c r="B86" s="1">
        <v>914</v>
      </c>
      <c r="C86" s="1" t="s">
        <v>235</v>
      </c>
      <c r="D86" s="1">
        <v>3</v>
      </c>
      <c r="E86" s="1">
        <v>1120.95</v>
      </c>
      <c r="F86" s="1">
        <v>23</v>
      </c>
      <c r="G86" s="1" t="s">
        <v>9</v>
      </c>
      <c r="H86" s="1">
        <v>1388</v>
      </c>
      <c r="K86" s="1" t="s">
        <v>80</v>
      </c>
      <c r="L86" s="1" t="s">
        <v>245</v>
      </c>
      <c r="M86" s="1" t="s">
        <v>246</v>
      </c>
      <c r="N86" s="1" t="s">
        <v>252</v>
      </c>
      <c r="O86" s="1">
        <v>132</v>
      </c>
      <c r="P86" s="1" t="s">
        <v>97</v>
      </c>
    </row>
    <row r="87" spans="1:16">
      <c r="A87" s="7">
        <v>40058</v>
      </c>
      <c r="B87" s="1">
        <v>915</v>
      </c>
      <c r="C87" s="1" t="s">
        <v>234</v>
      </c>
      <c r="D87" s="1">
        <v>1</v>
      </c>
      <c r="E87" s="1">
        <v>881.05</v>
      </c>
      <c r="F87" s="1">
        <v>23</v>
      </c>
      <c r="G87" s="1" t="s">
        <v>9</v>
      </c>
      <c r="H87" s="1">
        <v>1462</v>
      </c>
      <c r="K87" s="1" t="s">
        <v>80</v>
      </c>
      <c r="L87" s="1" t="s">
        <v>245</v>
      </c>
      <c r="M87" s="1" t="s">
        <v>246</v>
      </c>
      <c r="N87" s="1" t="s">
        <v>252</v>
      </c>
      <c r="O87" s="1">
        <v>12.4</v>
      </c>
      <c r="P87" s="1" t="s">
        <v>97</v>
      </c>
    </row>
    <row r="88" spans="1:16">
      <c r="A88" s="7">
        <v>40058</v>
      </c>
      <c r="B88" s="1">
        <v>917</v>
      </c>
      <c r="C88" s="1" t="s">
        <v>234</v>
      </c>
      <c r="D88" s="1">
        <v>4</v>
      </c>
      <c r="E88" s="1">
        <v>722</v>
      </c>
      <c r="F88" s="1">
        <v>23</v>
      </c>
      <c r="G88" s="1" t="s">
        <v>9</v>
      </c>
      <c r="H88" s="1">
        <v>0</v>
      </c>
      <c r="K88" s="1" t="s">
        <v>80</v>
      </c>
      <c r="L88" s="1" t="s">
        <v>245</v>
      </c>
      <c r="M88" s="1" t="s">
        <v>246</v>
      </c>
      <c r="N88" s="1" t="s">
        <v>252</v>
      </c>
      <c r="O88" s="1">
        <v>33</v>
      </c>
      <c r="P88" s="1" t="s">
        <v>97</v>
      </c>
    </row>
    <row r="89" spans="1:16">
      <c r="A89" s="7">
        <v>40058</v>
      </c>
      <c r="B89" s="1">
        <v>905</v>
      </c>
      <c r="C89" s="1" t="s">
        <v>234</v>
      </c>
      <c r="D89" s="1">
        <v>4</v>
      </c>
      <c r="E89" s="1">
        <v>78</v>
      </c>
      <c r="F89" s="1">
        <v>23</v>
      </c>
      <c r="G89" s="1" t="s">
        <v>11</v>
      </c>
      <c r="H89" s="1">
        <v>1791</v>
      </c>
      <c r="K89" s="1" t="s">
        <v>80</v>
      </c>
      <c r="L89" s="1" t="s">
        <v>245</v>
      </c>
      <c r="M89" s="1" t="s">
        <v>246</v>
      </c>
      <c r="N89" s="1" t="s">
        <v>252</v>
      </c>
      <c r="O89" s="1">
        <v>38.21</v>
      </c>
      <c r="P89" s="1" t="s">
        <v>97</v>
      </c>
    </row>
    <row r="90" spans="1:16">
      <c r="A90" s="7">
        <v>40058</v>
      </c>
      <c r="B90" s="1">
        <v>914</v>
      </c>
      <c r="C90" s="1" t="s">
        <v>235</v>
      </c>
      <c r="D90" s="1">
        <v>3</v>
      </c>
      <c r="E90" s="1">
        <v>78</v>
      </c>
      <c r="F90" s="1">
        <v>23</v>
      </c>
      <c r="G90" s="1" t="s">
        <v>11</v>
      </c>
      <c r="H90" s="1">
        <v>1388</v>
      </c>
      <c r="K90" s="1" t="s">
        <v>80</v>
      </c>
      <c r="L90" s="1" t="s">
        <v>245</v>
      </c>
      <c r="M90" s="1" t="s">
        <v>246</v>
      </c>
      <c r="N90" s="1" t="s">
        <v>252</v>
      </c>
      <c r="O90" s="1">
        <v>82.5</v>
      </c>
      <c r="P90" s="1" t="s">
        <v>97</v>
      </c>
    </row>
    <row r="91" spans="1:16">
      <c r="A91" s="7">
        <v>40058</v>
      </c>
      <c r="B91" s="1">
        <v>915</v>
      </c>
      <c r="C91" s="1" t="s">
        <v>234</v>
      </c>
      <c r="D91" s="1">
        <v>1</v>
      </c>
      <c r="E91" s="1">
        <v>78</v>
      </c>
      <c r="F91" s="1">
        <v>23</v>
      </c>
      <c r="G91" s="1" t="s">
        <v>11</v>
      </c>
      <c r="H91" s="1">
        <v>1462</v>
      </c>
      <c r="K91" s="1" t="s">
        <v>83</v>
      </c>
      <c r="L91" s="1" t="s">
        <v>245</v>
      </c>
      <c r="M91" s="1" t="s">
        <v>246</v>
      </c>
      <c r="N91" s="1" t="s">
        <v>252</v>
      </c>
      <c r="O91" s="1">
        <v>2450</v>
      </c>
      <c r="P91" s="1" t="s">
        <v>97</v>
      </c>
    </row>
    <row r="92" spans="1:16">
      <c r="A92" s="7">
        <v>40058</v>
      </c>
      <c r="B92" s="1">
        <v>917</v>
      </c>
      <c r="C92" s="1" t="s">
        <v>234</v>
      </c>
      <c r="D92" s="1">
        <v>4</v>
      </c>
      <c r="E92" s="1">
        <v>78</v>
      </c>
      <c r="F92" s="1">
        <v>23</v>
      </c>
      <c r="G92" s="1" t="s">
        <v>11</v>
      </c>
      <c r="H92" s="1">
        <v>0</v>
      </c>
      <c r="K92" s="1" t="s">
        <v>83</v>
      </c>
      <c r="L92" s="1" t="s">
        <v>245</v>
      </c>
      <c r="M92" s="1" t="s">
        <v>246</v>
      </c>
      <c r="N92" s="1" t="s">
        <v>252</v>
      </c>
      <c r="O92" s="1">
        <v>490</v>
      </c>
      <c r="P92" s="1" t="s">
        <v>97</v>
      </c>
    </row>
    <row r="93" spans="1:16">
      <c r="A93" s="7">
        <v>40058</v>
      </c>
      <c r="B93" s="1">
        <v>918</v>
      </c>
      <c r="C93" s="1" t="s">
        <v>234</v>
      </c>
      <c r="D93" s="1">
        <v>4</v>
      </c>
      <c r="E93" s="1">
        <v>78</v>
      </c>
      <c r="F93" s="1">
        <v>23</v>
      </c>
      <c r="G93" s="1" t="s">
        <v>11</v>
      </c>
      <c r="H93" s="1">
        <v>0</v>
      </c>
      <c r="K93" s="1" t="s">
        <v>83</v>
      </c>
      <c r="L93" s="1" t="s">
        <v>245</v>
      </c>
      <c r="M93" s="1" t="s">
        <v>246</v>
      </c>
      <c r="N93" s="1" t="s">
        <v>252</v>
      </c>
      <c r="O93" s="1">
        <v>449.44</v>
      </c>
      <c r="P93" s="1" t="s">
        <v>97</v>
      </c>
    </row>
    <row r="94" spans="1:16">
      <c r="A94" s="7">
        <v>40058</v>
      </c>
      <c r="B94" s="1">
        <v>922</v>
      </c>
      <c r="C94" s="1" t="s">
        <v>234</v>
      </c>
      <c r="D94" s="1">
        <v>3</v>
      </c>
      <c r="E94" s="1">
        <v>78</v>
      </c>
      <c r="F94" s="1">
        <v>23</v>
      </c>
      <c r="G94" s="1" t="s">
        <v>11</v>
      </c>
      <c r="H94" s="1">
        <v>1425</v>
      </c>
      <c r="K94" s="1" t="s">
        <v>82</v>
      </c>
      <c r="L94" s="1" t="s">
        <v>245</v>
      </c>
      <c r="M94" s="1" t="s">
        <v>246</v>
      </c>
      <c r="N94" s="1" t="s">
        <v>253</v>
      </c>
      <c r="O94" s="1">
        <v>93.76</v>
      </c>
      <c r="P94" s="1" t="s">
        <v>97</v>
      </c>
    </row>
    <row r="95" spans="1:16">
      <c r="A95" s="7">
        <v>40058</v>
      </c>
      <c r="B95" s="1">
        <v>923</v>
      </c>
      <c r="C95" s="1" t="s">
        <v>234</v>
      </c>
      <c r="D95" s="1">
        <v>3</v>
      </c>
      <c r="E95" s="1">
        <v>78</v>
      </c>
      <c r="F95" s="1">
        <v>23</v>
      </c>
      <c r="G95" s="1" t="s">
        <v>11</v>
      </c>
      <c r="H95" s="1">
        <v>2082</v>
      </c>
      <c r="K95" s="1" t="s">
        <v>84</v>
      </c>
      <c r="L95" s="1" t="s">
        <v>245</v>
      </c>
      <c r="M95" s="1" t="s">
        <v>246</v>
      </c>
      <c r="N95" s="1" t="s">
        <v>253</v>
      </c>
      <c r="O95" s="1">
        <v>126.46</v>
      </c>
      <c r="P95" s="1" t="s">
        <v>97</v>
      </c>
    </row>
    <row r="96" spans="1:16">
      <c r="A96" s="7">
        <v>40058</v>
      </c>
      <c r="B96" s="1">
        <v>913</v>
      </c>
      <c r="C96" s="1" t="s">
        <v>235</v>
      </c>
      <c r="D96" s="1">
        <v>4</v>
      </c>
      <c r="E96" s="1">
        <v>731.7</v>
      </c>
      <c r="F96" s="1">
        <v>23</v>
      </c>
      <c r="G96" s="1" t="s">
        <v>12</v>
      </c>
      <c r="H96" s="1">
        <v>1411</v>
      </c>
      <c r="K96" s="1" t="s">
        <v>82</v>
      </c>
      <c r="L96" s="1" t="s">
        <v>245</v>
      </c>
      <c r="M96" s="1" t="s">
        <v>246</v>
      </c>
      <c r="N96" s="1" t="s">
        <v>253</v>
      </c>
      <c r="O96" s="1">
        <v>244.4</v>
      </c>
      <c r="P96" s="1" t="s">
        <v>97</v>
      </c>
    </row>
    <row r="97" spans="1:16">
      <c r="A97" s="7">
        <v>40058</v>
      </c>
      <c r="B97" s="1">
        <v>925</v>
      </c>
      <c r="C97" s="1" t="s">
        <v>234</v>
      </c>
      <c r="D97" s="1">
        <v>3</v>
      </c>
      <c r="E97" s="1">
        <v>803.88</v>
      </c>
      <c r="F97" s="1">
        <v>23</v>
      </c>
      <c r="G97" s="1" t="s">
        <v>12</v>
      </c>
      <c r="H97" s="1">
        <v>1431</v>
      </c>
      <c r="K97" s="1" t="s">
        <v>82</v>
      </c>
      <c r="L97" s="1" t="s">
        <v>245</v>
      </c>
      <c r="M97" s="1" t="s">
        <v>246</v>
      </c>
      <c r="N97" s="1" t="s">
        <v>253</v>
      </c>
      <c r="O97" s="1">
        <v>115.5</v>
      </c>
      <c r="P97" s="1" t="s">
        <v>97</v>
      </c>
    </row>
    <row r="98" spans="1:16">
      <c r="A98" s="7">
        <v>40058</v>
      </c>
      <c r="B98" s="1">
        <v>920</v>
      </c>
      <c r="C98" s="1" t="s">
        <v>234</v>
      </c>
      <c r="D98" s="1">
        <v>4</v>
      </c>
      <c r="E98" s="1">
        <v>957.46</v>
      </c>
      <c r="F98" s="1">
        <v>23</v>
      </c>
      <c r="G98" s="1" t="s">
        <v>13</v>
      </c>
      <c r="H98" s="1">
        <v>1426</v>
      </c>
      <c r="K98" s="1" t="s">
        <v>82</v>
      </c>
      <c r="L98" s="1" t="s">
        <v>245</v>
      </c>
      <c r="M98" s="1" t="s">
        <v>246</v>
      </c>
      <c r="N98" s="1" t="s">
        <v>253</v>
      </c>
      <c r="O98" s="1">
        <v>118</v>
      </c>
      <c r="P98" s="1" t="s">
        <v>97</v>
      </c>
    </row>
    <row r="99" spans="1:16">
      <c r="A99" s="7">
        <v>40058</v>
      </c>
      <c r="B99" s="1">
        <v>910</v>
      </c>
      <c r="C99" s="1" t="s">
        <v>234</v>
      </c>
      <c r="D99" s="1">
        <v>3</v>
      </c>
      <c r="E99" s="1">
        <v>1159.95</v>
      </c>
      <c r="F99" s="1">
        <v>23</v>
      </c>
      <c r="G99" s="1" t="s">
        <v>3</v>
      </c>
      <c r="H99" s="1">
        <v>1821</v>
      </c>
      <c r="K99" s="1" t="s">
        <v>80</v>
      </c>
      <c r="L99" s="1" t="s">
        <v>245</v>
      </c>
      <c r="M99" s="1" t="s">
        <v>246</v>
      </c>
      <c r="N99" s="1" t="s">
        <v>253</v>
      </c>
      <c r="O99" s="1">
        <v>118.79</v>
      </c>
      <c r="P99" s="1" t="s">
        <v>97</v>
      </c>
    </row>
    <row r="100" spans="1:16">
      <c r="A100" s="7">
        <v>40058</v>
      </c>
      <c r="B100" s="1">
        <v>912</v>
      </c>
      <c r="C100" s="1" t="s">
        <v>235</v>
      </c>
      <c r="D100" s="1">
        <v>4</v>
      </c>
      <c r="E100" s="1">
        <v>1159.95</v>
      </c>
      <c r="F100" s="1">
        <v>23</v>
      </c>
      <c r="G100" s="1" t="s">
        <v>3</v>
      </c>
      <c r="H100" s="1">
        <v>1820</v>
      </c>
      <c r="K100" s="1" t="s">
        <v>80</v>
      </c>
      <c r="L100" s="1" t="s">
        <v>245</v>
      </c>
      <c r="M100" s="1" t="s">
        <v>246</v>
      </c>
      <c r="N100" s="1" t="s">
        <v>253</v>
      </c>
      <c r="O100" s="1">
        <v>26.27</v>
      </c>
      <c r="P100" s="1" t="s">
        <v>97</v>
      </c>
    </row>
    <row r="101" spans="1:16">
      <c r="A101" s="7">
        <v>40058</v>
      </c>
      <c r="B101" s="1">
        <v>916</v>
      </c>
      <c r="C101" s="1" t="s">
        <v>234</v>
      </c>
      <c r="D101" s="1">
        <v>4</v>
      </c>
      <c r="E101" s="1">
        <v>721.05</v>
      </c>
      <c r="F101" s="1">
        <v>23</v>
      </c>
      <c r="G101" s="1" t="s">
        <v>3</v>
      </c>
      <c r="H101" s="1">
        <v>1350</v>
      </c>
      <c r="K101" s="1" t="s">
        <v>101</v>
      </c>
      <c r="L101" s="1" t="s">
        <v>245</v>
      </c>
      <c r="M101" s="1" t="s">
        <v>246</v>
      </c>
      <c r="N101" s="1" t="s">
        <v>253</v>
      </c>
      <c r="O101" s="1">
        <v>3055.48</v>
      </c>
      <c r="P101" s="1" t="s">
        <v>97</v>
      </c>
    </row>
    <row r="102" spans="1:16">
      <c r="A102" s="7">
        <v>40058</v>
      </c>
      <c r="B102" s="1">
        <v>919</v>
      </c>
      <c r="C102" s="1" t="s">
        <v>234</v>
      </c>
      <c r="D102" s="1">
        <v>1</v>
      </c>
      <c r="E102" s="1">
        <v>323.92</v>
      </c>
      <c r="F102" s="1">
        <v>23</v>
      </c>
      <c r="G102" s="1" t="s">
        <v>6</v>
      </c>
      <c r="H102" s="1">
        <v>116</v>
      </c>
      <c r="K102" s="1" t="s">
        <v>102</v>
      </c>
      <c r="L102" s="1" t="s">
        <v>245</v>
      </c>
      <c r="M102" s="1" t="s">
        <v>246</v>
      </c>
      <c r="N102" s="1" t="s">
        <v>253</v>
      </c>
      <c r="O102" s="1">
        <v>374.4</v>
      </c>
      <c r="P102" s="1" t="s">
        <v>97</v>
      </c>
    </row>
    <row r="103" spans="1:16">
      <c r="A103" s="7">
        <v>40058</v>
      </c>
      <c r="B103" s="1">
        <v>924</v>
      </c>
      <c r="C103" s="1" t="s">
        <v>234</v>
      </c>
      <c r="D103" s="1">
        <v>3</v>
      </c>
      <c r="E103" s="1">
        <v>414.46</v>
      </c>
      <c r="F103" s="1">
        <v>23</v>
      </c>
      <c r="G103" s="1" t="s">
        <v>6</v>
      </c>
      <c r="H103" s="1">
        <v>55</v>
      </c>
      <c r="K103" s="1" t="s">
        <v>72</v>
      </c>
      <c r="L103" s="1" t="s">
        <v>245</v>
      </c>
      <c r="M103" s="1" t="s">
        <v>246</v>
      </c>
      <c r="N103" s="1" t="s">
        <v>253</v>
      </c>
      <c r="O103" s="1">
        <v>669.04</v>
      </c>
      <c r="P103" s="1" t="s">
        <v>97</v>
      </c>
    </row>
    <row r="104" spans="1:16">
      <c r="A104" s="7">
        <v>40088</v>
      </c>
      <c r="B104" s="1">
        <v>1487</v>
      </c>
      <c r="C104" s="1" t="s">
        <v>234</v>
      </c>
      <c r="D104" s="1">
        <v>4</v>
      </c>
      <c r="E104" s="1">
        <v>2</v>
      </c>
      <c r="F104" s="1">
        <v>23</v>
      </c>
      <c r="G104" s="1" t="s">
        <v>16</v>
      </c>
      <c r="H104" s="1">
        <v>1425</v>
      </c>
      <c r="K104" s="1" t="s">
        <v>82</v>
      </c>
      <c r="L104" s="1" t="s">
        <v>245</v>
      </c>
      <c r="M104" s="1" t="s">
        <v>246</v>
      </c>
      <c r="N104" s="1" t="s">
        <v>253</v>
      </c>
      <c r="O104" s="1">
        <v>118.89</v>
      </c>
      <c r="P104" s="1" t="s">
        <v>97</v>
      </c>
    </row>
    <row r="105" spans="1:16">
      <c r="A105" s="7">
        <v>40088</v>
      </c>
      <c r="B105" s="1">
        <v>1488</v>
      </c>
      <c r="C105" s="1" t="s">
        <v>234</v>
      </c>
      <c r="D105" s="1">
        <v>4</v>
      </c>
      <c r="E105" s="1">
        <v>2</v>
      </c>
      <c r="F105" s="1">
        <v>23</v>
      </c>
      <c r="G105" s="1" t="s">
        <v>16</v>
      </c>
      <c r="H105" s="1">
        <v>1756</v>
      </c>
      <c r="K105" s="1" t="s">
        <v>86</v>
      </c>
      <c r="L105" s="1" t="s">
        <v>245</v>
      </c>
      <c r="M105" s="1" t="s">
        <v>246</v>
      </c>
      <c r="N105" s="1" t="s">
        <v>253</v>
      </c>
      <c r="O105" s="1">
        <v>287.22000000000003</v>
      </c>
      <c r="P105" s="1" t="s">
        <v>97</v>
      </c>
    </row>
    <row r="106" spans="1:16">
      <c r="A106" s="7">
        <v>40088</v>
      </c>
      <c r="B106" s="1">
        <v>1398</v>
      </c>
      <c r="C106" s="1" t="s">
        <v>235</v>
      </c>
      <c r="D106" s="1">
        <v>3</v>
      </c>
      <c r="E106" s="1">
        <v>16.7</v>
      </c>
      <c r="F106" s="1">
        <v>23</v>
      </c>
      <c r="G106" s="1" t="s">
        <v>25</v>
      </c>
      <c r="H106" s="1">
        <v>1133</v>
      </c>
      <c r="K106" s="1" t="s">
        <v>102</v>
      </c>
      <c r="L106" s="1" t="s">
        <v>245</v>
      </c>
      <c r="M106" s="1" t="s">
        <v>246</v>
      </c>
      <c r="N106" s="1" t="s">
        <v>253</v>
      </c>
      <c r="O106" s="1">
        <v>287.58999999999997</v>
      </c>
      <c r="P106" s="1" t="s">
        <v>97</v>
      </c>
    </row>
    <row r="107" spans="1:16">
      <c r="A107" s="7">
        <v>40088</v>
      </c>
      <c r="B107" s="1">
        <v>1253</v>
      </c>
      <c r="C107" s="1" t="s">
        <v>236</v>
      </c>
      <c r="D107" s="1">
        <v>4</v>
      </c>
      <c r="E107" s="1">
        <v>-117.75</v>
      </c>
      <c r="F107" s="1">
        <v>23</v>
      </c>
      <c r="G107" s="1" t="s">
        <v>8</v>
      </c>
      <c r="H107" s="1">
        <v>1436</v>
      </c>
      <c r="K107" s="1" t="s">
        <v>77</v>
      </c>
      <c r="L107" s="1" t="s">
        <v>245</v>
      </c>
      <c r="M107" s="1" t="s">
        <v>246</v>
      </c>
      <c r="N107" s="1" t="s">
        <v>253</v>
      </c>
      <c r="O107" s="1">
        <v>475.52</v>
      </c>
      <c r="P107" s="1" t="s">
        <v>97</v>
      </c>
    </row>
    <row r="108" spans="1:16">
      <c r="A108" s="7">
        <v>40088</v>
      </c>
      <c r="B108" s="1">
        <v>1399</v>
      </c>
      <c r="C108" s="1" t="s">
        <v>234</v>
      </c>
      <c r="D108" s="1">
        <v>4</v>
      </c>
      <c r="E108" s="1">
        <v>575</v>
      </c>
      <c r="F108" s="1">
        <v>23</v>
      </c>
      <c r="G108" s="1" t="s">
        <v>17</v>
      </c>
      <c r="H108" s="1">
        <v>2156</v>
      </c>
      <c r="K108" s="1" t="s">
        <v>77</v>
      </c>
      <c r="L108" s="1" t="s">
        <v>245</v>
      </c>
      <c r="M108" s="1" t="s">
        <v>246</v>
      </c>
      <c r="N108" s="1" t="s">
        <v>253</v>
      </c>
      <c r="O108" s="1">
        <v>331.66</v>
      </c>
      <c r="P108" s="1" t="s">
        <v>97</v>
      </c>
    </row>
    <row r="109" spans="1:16">
      <c r="A109" s="7">
        <v>40088</v>
      </c>
      <c r="B109" s="1">
        <v>1400</v>
      </c>
      <c r="C109" s="1" t="s">
        <v>234</v>
      </c>
      <c r="D109" s="1">
        <v>4</v>
      </c>
      <c r="E109" s="1">
        <v>575</v>
      </c>
      <c r="F109" s="1">
        <v>23</v>
      </c>
      <c r="G109" s="1" t="s">
        <v>17</v>
      </c>
      <c r="H109" s="1">
        <v>2157</v>
      </c>
      <c r="K109" s="1" t="s">
        <v>77</v>
      </c>
      <c r="L109" s="1" t="s">
        <v>245</v>
      </c>
      <c r="M109" s="1" t="s">
        <v>246</v>
      </c>
      <c r="N109" s="1" t="s">
        <v>253</v>
      </c>
      <c r="O109" s="1">
        <v>14.19</v>
      </c>
      <c r="P109" s="1" t="s">
        <v>97</v>
      </c>
    </row>
    <row r="110" spans="1:16">
      <c r="A110" s="7">
        <v>40088</v>
      </c>
      <c r="B110" s="1">
        <v>1403</v>
      </c>
      <c r="C110" s="1" t="s">
        <v>235</v>
      </c>
      <c r="D110" s="1">
        <v>1</v>
      </c>
      <c r="E110" s="1">
        <v>575</v>
      </c>
      <c r="F110" s="1">
        <v>23</v>
      </c>
      <c r="G110" s="1" t="s">
        <v>17</v>
      </c>
      <c r="H110" s="1">
        <v>2158</v>
      </c>
      <c r="K110" s="1" t="s">
        <v>103</v>
      </c>
      <c r="L110" s="1" t="s">
        <v>245</v>
      </c>
      <c r="M110" s="1" t="s">
        <v>246</v>
      </c>
      <c r="N110" s="1" t="s">
        <v>253</v>
      </c>
      <c r="O110" s="1">
        <v>341.07</v>
      </c>
      <c r="P110" s="1" t="s">
        <v>97</v>
      </c>
    </row>
    <row r="111" spans="1:16">
      <c r="A111" s="7">
        <v>40088</v>
      </c>
      <c r="B111" s="1">
        <v>1404</v>
      </c>
      <c r="C111" s="1" t="s">
        <v>235</v>
      </c>
      <c r="D111" s="1">
        <v>1</v>
      </c>
      <c r="E111" s="1">
        <v>575</v>
      </c>
      <c r="F111" s="1">
        <v>23</v>
      </c>
      <c r="G111" s="1" t="s">
        <v>17</v>
      </c>
      <c r="H111" s="1">
        <v>2159</v>
      </c>
      <c r="K111" s="1" t="s">
        <v>103</v>
      </c>
      <c r="L111" s="1" t="s">
        <v>245</v>
      </c>
      <c r="M111" s="1" t="s">
        <v>246</v>
      </c>
      <c r="N111" s="1" t="s">
        <v>253</v>
      </c>
      <c r="O111" s="1">
        <v>39.24</v>
      </c>
      <c r="P111" s="1" t="s">
        <v>97</v>
      </c>
    </row>
    <row r="112" spans="1:16">
      <c r="A112" s="7">
        <v>40088</v>
      </c>
      <c r="B112" s="1">
        <v>1407</v>
      </c>
      <c r="C112" s="1" t="s">
        <v>235</v>
      </c>
      <c r="D112" s="1">
        <v>1</v>
      </c>
      <c r="E112" s="1">
        <v>575</v>
      </c>
      <c r="F112" s="1">
        <v>23</v>
      </c>
      <c r="G112" s="1" t="s">
        <v>17</v>
      </c>
      <c r="H112" s="1">
        <v>2160</v>
      </c>
      <c r="K112" s="1" t="s">
        <v>77</v>
      </c>
      <c r="L112" s="1" t="s">
        <v>245</v>
      </c>
      <c r="M112" s="1" t="s">
        <v>246</v>
      </c>
      <c r="N112" s="1" t="s">
        <v>253</v>
      </c>
      <c r="O112" s="1">
        <v>297.42</v>
      </c>
      <c r="P112" s="1" t="s">
        <v>97</v>
      </c>
    </row>
    <row r="113" spans="1:16">
      <c r="A113" s="7">
        <v>40088</v>
      </c>
      <c r="B113" s="1">
        <v>1408</v>
      </c>
      <c r="C113" s="1" t="s">
        <v>234</v>
      </c>
      <c r="D113" s="1">
        <v>8</v>
      </c>
      <c r="E113" s="1">
        <v>575</v>
      </c>
      <c r="F113" s="1">
        <v>23</v>
      </c>
      <c r="G113" s="1" t="s">
        <v>17</v>
      </c>
      <c r="H113" s="1">
        <v>2161</v>
      </c>
      <c r="K113" s="1" t="s">
        <v>77</v>
      </c>
      <c r="L113" s="1" t="s">
        <v>245</v>
      </c>
      <c r="M113" s="1" t="s">
        <v>246</v>
      </c>
      <c r="N113" s="1" t="s">
        <v>253</v>
      </c>
      <c r="O113" s="1">
        <v>677</v>
      </c>
      <c r="P113" s="1" t="s">
        <v>97</v>
      </c>
    </row>
    <row r="114" spans="1:16">
      <c r="A114" s="7">
        <v>40088</v>
      </c>
      <c r="B114" s="1">
        <v>1409</v>
      </c>
      <c r="C114" s="1" t="s">
        <v>234</v>
      </c>
      <c r="D114" s="1">
        <v>4</v>
      </c>
      <c r="E114" s="1">
        <v>287.5</v>
      </c>
      <c r="F114" s="1">
        <v>23</v>
      </c>
      <c r="G114" s="1" t="s">
        <v>17</v>
      </c>
      <c r="H114" s="1">
        <v>1907</v>
      </c>
      <c r="K114" s="1" t="s">
        <v>89</v>
      </c>
      <c r="L114" s="1" t="s">
        <v>245</v>
      </c>
      <c r="M114" s="1" t="s">
        <v>246</v>
      </c>
      <c r="N114" s="1" t="s">
        <v>253</v>
      </c>
      <c r="O114" s="1">
        <v>22</v>
      </c>
      <c r="P114" s="1" t="s">
        <v>97</v>
      </c>
    </row>
    <row r="115" spans="1:16">
      <c r="A115" s="7">
        <v>40088</v>
      </c>
      <c r="B115" s="1">
        <v>1410</v>
      </c>
      <c r="C115" s="1" t="s">
        <v>234</v>
      </c>
      <c r="D115" s="1">
        <v>3</v>
      </c>
      <c r="E115" s="1">
        <v>575</v>
      </c>
      <c r="F115" s="1">
        <v>23</v>
      </c>
      <c r="G115" s="1" t="s">
        <v>17</v>
      </c>
      <c r="H115" s="1">
        <v>2162</v>
      </c>
      <c r="K115" s="1" t="s">
        <v>98</v>
      </c>
      <c r="L115" s="1" t="s">
        <v>245</v>
      </c>
      <c r="M115" s="1" t="s">
        <v>246</v>
      </c>
      <c r="N115" s="1" t="s">
        <v>253</v>
      </c>
      <c r="O115" s="1">
        <v>434.98</v>
      </c>
      <c r="P115" s="1" t="s">
        <v>97</v>
      </c>
    </row>
    <row r="116" spans="1:16">
      <c r="A116" s="7">
        <v>40088</v>
      </c>
      <c r="B116" s="1">
        <v>1411</v>
      </c>
      <c r="C116" s="1" t="s">
        <v>234</v>
      </c>
      <c r="D116" s="1">
        <v>4</v>
      </c>
      <c r="E116" s="1">
        <v>80</v>
      </c>
      <c r="F116" s="1">
        <v>23</v>
      </c>
      <c r="G116" s="1" t="s">
        <v>18</v>
      </c>
      <c r="H116" s="1">
        <v>2163</v>
      </c>
      <c r="K116" s="1" t="s">
        <v>80</v>
      </c>
      <c r="L116" s="1" t="s">
        <v>245</v>
      </c>
      <c r="M116" s="1" t="s">
        <v>246</v>
      </c>
      <c r="N116" s="1" t="s">
        <v>253</v>
      </c>
      <c r="O116" s="1">
        <v>146.41999999999999</v>
      </c>
      <c r="P116" s="1" t="s">
        <v>97</v>
      </c>
    </row>
    <row r="117" spans="1:16">
      <c r="A117" s="7">
        <v>40088</v>
      </c>
      <c r="B117" s="1">
        <v>1412</v>
      </c>
      <c r="C117" s="1" t="s">
        <v>234</v>
      </c>
      <c r="D117" s="1">
        <v>4</v>
      </c>
      <c r="E117" s="1">
        <v>80</v>
      </c>
      <c r="F117" s="1">
        <v>23</v>
      </c>
      <c r="G117" s="1" t="s">
        <v>18</v>
      </c>
      <c r="H117" s="1">
        <v>2164</v>
      </c>
      <c r="K117" s="1" t="s">
        <v>80</v>
      </c>
      <c r="L117" s="1" t="s">
        <v>245</v>
      </c>
      <c r="M117" s="1" t="s">
        <v>246</v>
      </c>
      <c r="N117" s="1" t="s">
        <v>253</v>
      </c>
      <c r="O117" s="1">
        <v>536</v>
      </c>
      <c r="P117" s="1" t="s">
        <v>97</v>
      </c>
    </row>
    <row r="118" spans="1:16">
      <c r="A118" s="7">
        <v>40088</v>
      </c>
      <c r="B118" s="1">
        <v>1405</v>
      </c>
      <c r="C118" s="1" t="s">
        <v>234</v>
      </c>
      <c r="D118" s="1">
        <v>4</v>
      </c>
      <c r="E118" s="1">
        <v>50</v>
      </c>
      <c r="F118" s="1">
        <v>23</v>
      </c>
      <c r="G118" s="1" t="s">
        <v>19</v>
      </c>
      <c r="H118" s="1">
        <v>304</v>
      </c>
      <c r="K118" s="1" t="s">
        <v>80</v>
      </c>
      <c r="L118" s="1" t="s">
        <v>245</v>
      </c>
      <c r="M118" s="1" t="s">
        <v>246</v>
      </c>
      <c r="N118" s="1" t="s">
        <v>253</v>
      </c>
      <c r="O118" s="1">
        <v>55.31</v>
      </c>
      <c r="P118" s="1" t="s">
        <v>97</v>
      </c>
    </row>
    <row r="119" spans="1:16">
      <c r="A119" s="7">
        <v>40119</v>
      </c>
      <c r="B119" s="1">
        <v>512</v>
      </c>
      <c r="C119" s="1" t="s">
        <v>234</v>
      </c>
      <c r="D119" s="1">
        <v>4</v>
      </c>
      <c r="E119" s="1">
        <v>165449.03</v>
      </c>
      <c r="F119" s="1">
        <v>23</v>
      </c>
      <c r="G119" s="1" t="s">
        <v>26</v>
      </c>
      <c r="H119" s="1">
        <v>254</v>
      </c>
      <c r="K119" s="1" t="s">
        <v>80</v>
      </c>
      <c r="L119" s="1" t="s">
        <v>245</v>
      </c>
      <c r="M119" s="1" t="s">
        <v>246</v>
      </c>
      <c r="N119" s="1" t="s">
        <v>253</v>
      </c>
      <c r="O119" s="1">
        <v>187.37</v>
      </c>
      <c r="P119" s="1" t="s">
        <v>97</v>
      </c>
    </row>
    <row r="120" spans="1:16">
      <c r="A120" s="7">
        <v>40119</v>
      </c>
      <c r="B120" s="1">
        <v>1492</v>
      </c>
      <c r="C120" s="1" t="s">
        <v>235</v>
      </c>
      <c r="D120" s="1">
        <v>4</v>
      </c>
      <c r="E120" s="1">
        <v>4.5</v>
      </c>
      <c r="F120" s="1">
        <v>23</v>
      </c>
      <c r="G120" s="1" t="s">
        <v>14</v>
      </c>
      <c r="H120" s="1">
        <v>1841</v>
      </c>
      <c r="K120" s="1" t="s">
        <v>104</v>
      </c>
      <c r="L120" s="1" t="s">
        <v>245</v>
      </c>
      <c r="M120" s="1" t="s">
        <v>246</v>
      </c>
      <c r="N120" s="1" t="s">
        <v>253</v>
      </c>
      <c r="O120" s="1">
        <v>42.39</v>
      </c>
      <c r="P120" s="1" t="s">
        <v>97</v>
      </c>
    </row>
    <row r="121" spans="1:16">
      <c r="A121" s="7">
        <v>40119</v>
      </c>
      <c r="B121" s="1">
        <v>1493</v>
      </c>
      <c r="C121" s="1" t="s">
        <v>234</v>
      </c>
      <c r="D121" s="1">
        <v>4</v>
      </c>
      <c r="E121" s="1">
        <v>80</v>
      </c>
      <c r="F121" s="1">
        <v>23</v>
      </c>
      <c r="G121" s="1" t="s">
        <v>18</v>
      </c>
      <c r="H121" s="1">
        <v>1946</v>
      </c>
      <c r="K121" s="1" t="s">
        <v>81</v>
      </c>
      <c r="L121" s="1" t="s">
        <v>245</v>
      </c>
      <c r="M121" s="1" t="s">
        <v>246</v>
      </c>
      <c r="N121" s="1" t="s">
        <v>253</v>
      </c>
      <c r="O121" s="1">
        <v>548.77</v>
      </c>
      <c r="P121" s="1" t="s">
        <v>97</v>
      </c>
    </row>
    <row r="122" spans="1:16">
      <c r="A122" s="7">
        <v>40119</v>
      </c>
      <c r="B122" s="1">
        <v>1494</v>
      </c>
      <c r="C122" s="1" t="s">
        <v>234</v>
      </c>
      <c r="D122" s="1">
        <v>4</v>
      </c>
      <c r="E122" s="1">
        <v>65</v>
      </c>
      <c r="F122" s="1">
        <v>23</v>
      </c>
      <c r="G122" s="1" t="s">
        <v>18</v>
      </c>
      <c r="H122" s="1">
        <v>1931</v>
      </c>
      <c r="K122" s="1" t="s">
        <v>105</v>
      </c>
      <c r="L122" s="1" t="s">
        <v>245</v>
      </c>
      <c r="M122" s="1" t="s">
        <v>246</v>
      </c>
      <c r="N122" s="1" t="s">
        <v>253</v>
      </c>
      <c r="O122" s="1">
        <v>359.99</v>
      </c>
      <c r="P122" s="1" t="s">
        <v>97</v>
      </c>
    </row>
    <row r="123" spans="1:16">
      <c r="A123" s="7">
        <v>40119</v>
      </c>
      <c r="B123" s="1">
        <v>1495</v>
      </c>
      <c r="C123" s="1" t="s">
        <v>234</v>
      </c>
      <c r="D123" s="1">
        <v>4</v>
      </c>
      <c r="E123" s="1">
        <v>15</v>
      </c>
      <c r="F123" s="1">
        <v>23</v>
      </c>
      <c r="G123" s="1" t="s">
        <v>18</v>
      </c>
      <c r="H123" s="1">
        <v>1931</v>
      </c>
      <c r="K123" s="1" t="s">
        <v>106</v>
      </c>
      <c r="L123" s="1" t="s">
        <v>245</v>
      </c>
      <c r="M123" s="1" t="s">
        <v>246</v>
      </c>
      <c r="N123" s="1" t="s">
        <v>253</v>
      </c>
      <c r="O123" s="1">
        <v>57.49</v>
      </c>
      <c r="P123" s="1" t="s">
        <v>97</v>
      </c>
    </row>
    <row r="124" spans="1:16">
      <c r="A124" s="7">
        <v>40119</v>
      </c>
      <c r="B124" s="1">
        <v>1496</v>
      </c>
      <c r="C124" s="1" t="s">
        <v>234</v>
      </c>
      <c r="D124" s="1">
        <v>4</v>
      </c>
      <c r="E124" s="1">
        <v>65</v>
      </c>
      <c r="F124" s="1">
        <v>23</v>
      </c>
      <c r="G124" s="1" t="s">
        <v>18</v>
      </c>
      <c r="H124" s="1">
        <v>1930</v>
      </c>
      <c r="K124" s="1" t="s">
        <v>72</v>
      </c>
      <c r="L124" s="1" t="s">
        <v>245</v>
      </c>
      <c r="M124" s="1" t="s">
        <v>246</v>
      </c>
      <c r="N124" s="1" t="s">
        <v>253</v>
      </c>
      <c r="O124" s="1">
        <v>207.23</v>
      </c>
      <c r="P124" s="1" t="s">
        <v>97</v>
      </c>
    </row>
    <row r="125" spans="1:16">
      <c r="A125" s="7">
        <v>40119</v>
      </c>
      <c r="B125" s="1">
        <v>1497</v>
      </c>
      <c r="C125" s="1" t="s">
        <v>234</v>
      </c>
      <c r="D125" s="1">
        <v>4</v>
      </c>
      <c r="E125" s="1">
        <v>15</v>
      </c>
      <c r="F125" s="1">
        <v>23</v>
      </c>
      <c r="G125" s="1" t="s">
        <v>18</v>
      </c>
      <c r="H125" s="1">
        <v>1930</v>
      </c>
      <c r="K125" s="1" t="s">
        <v>100</v>
      </c>
      <c r="L125" s="1" t="s">
        <v>245</v>
      </c>
      <c r="M125" s="1" t="s">
        <v>246</v>
      </c>
      <c r="N125" s="1" t="s">
        <v>253</v>
      </c>
      <c r="O125" s="1">
        <v>412.15</v>
      </c>
      <c r="P125" s="1" t="s">
        <v>97</v>
      </c>
    </row>
    <row r="126" spans="1:16">
      <c r="A126" s="7">
        <v>40119</v>
      </c>
      <c r="B126" s="1">
        <v>1499</v>
      </c>
      <c r="C126" s="1" t="s">
        <v>234</v>
      </c>
      <c r="D126" s="1">
        <v>4</v>
      </c>
      <c r="E126" s="1">
        <v>80</v>
      </c>
      <c r="F126" s="1">
        <v>23</v>
      </c>
      <c r="G126" s="1" t="s">
        <v>18</v>
      </c>
      <c r="H126" s="1">
        <v>2188</v>
      </c>
      <c r="K126" s="1" t="s">
        <v>76</v>
      </c>
      <c r="L126" s="1" t="s">
        <v>245</v>
      </c>
      <c r="M126" s="1" t="s">
        <v>246</v>
      </c>
      <c r="N126" s="1" t="s">
        <v>253</v>
      </c>
      <c r="O126" s="1">
        <v>428</v>
      </c>
      <c r="P126" s="1" t="s">
        <v>97</v>
      </c>
    </row>
    <row r="127" spans="1:16">
      <c r="A127" s="7">
        <v>40149</v>
      </c>
      <c r="B127" s="1">
        <v>636</v>
      </c>
      <c r="C127" s="1" t="s">
        <v>234</v>
      </c>
      <c r="D127" s="1">
        <v>1</v>
      </c>
      <c r="E127" s="1">
        <v>1650</v>
      </c>
      <c r="F127" s="1">
        <v>23</v>
      </c>
      <c r="G127" s="1" t="s">
        <v>27</v>
      </c>
      <c r="H127" s="1">
        <v>0</v>
      </c>
      <c r="K127" s="1" t="s">
        <v>107</v>
      </c>
      <c r="L127" s="1" t="s">
        <v>245</v>
      </c>
      <c r="M127" s="1" t="s">
        <v>246</v>
      </c>
      <c r="N127" s="1" t="s">
        <v>253</v>
      </c>
      <c r="O127" s="1">
        <v>79.53</v>
      </c>
      <c r="P127" s="1" t="s">
        <v>97</v>
      </c>
    </row>
    <row r="128" spans="1:16">
      <c r="A128" s="7">
        <v>39847</v>
      </c>
      <c r="B128" s="1">
        <v>76</v>
      </c>
      <c r="C128" s="1" t="s">
        <v>234</v>
      </c>
      <c r="D128" s="1">
        <v>4</v>
      </c>
      <c r="E128" s="1">
        <v>447.15</v>
      </c>
      <c r="F128" s="1">
        <v>23</v>
      </c>
      <c r="G128" s="1" t="s">
        <v>12</v>
      </c>
      <c r="H128" s="1">
        <v>0</v>
      </c>
      <c r="K128" s="1" t="s">
        <v>103</v>
      </c>
      <c r="L128" s="1" t="s">
        <v>245</v>
      </c>
      <c r="M128" s="1" t="s">
        <v>246</v>
      </c>
      <c r="N128" s="1" t="s">
        <v>253</v>
      </c>
      <c r="O128" s="1">
        <v>63.2</v>
      </c>
      <c r="P128" s="1" t="s">
        <v>97</v>
      </c>
    </row>
    <row r="129" spans="1:16">
      <c r="A129" s="7">
        <v>39847</v>
      </c>
      <c r="B129" s="1">
        <v>89</v>
      </c>
      <c r="C129" s="1" t="s">
        <v>234</v>
      </c>
      <c r="D129" s="1">
        <v>4</v>
      </c>
      <c r="E129" s="1">
        <v>813</v>
      </c>
      <c r="F129" s="1">
        <v>23</v>
      </c>
      <c r="G129" s="1" t="s">
        <v>12</v>
      </c>
      <c r="H129" s="1">
        <v>1802</v>
      </c>
      <c r="K129" s="1" t="s">
        <v>108</v>
      </c>
      <c r="L129" s="1" t="s">
        <v>245</v>
      </c>
      <c r="M129" s="1" t="s">
        <v>246</v>
      </c>
      <c r="N129" s="1" t="s">
        <v>253</v>
      </c>
      <c r="O129" s="1">
        <v>82.86</v>
      </c>
      <c r="P129" s="1" t="s">
        <v>97</v>
      </c>
    </row>
    <row r="130" spans="1:16">
      <c r="A130" s="7">
        <v>39847</v>
      </c>
      <c r="B130" s="1">
        <v>92</v>
      </c>
      <c r="C130" s="1" t="s">
        <v>234</v>
      </c>
      <c r="D130" s="1">
        <v>4</v>
      </c>
      <c r="E130" s="1">
        <v>691.05</v>
      </c>
      <c r="F130" s="1">
        <v>23</v>
      </c>
      <c r="G130" s="1" t="s">
        <v>12</v>
      </c>
      <c r="H130" s="1">
        <v>1774</v>
      </c>
      <c r="K130" s="1" t="s">
        <v>89</v>
      </c>
      <c r="L130" s="1" t="s">
        <v>245</v>
      </c>
      <c r="M130" s="1" t="s">
        <v>246</v>
      </c>
      <c r="N130" s="1" t="s">
        <v>253</v>
      </c>
      <c r="O130" s="1">
        <v>26.46</v>
      </c>
      <c r="P130" s="1" t="s">
        <v>97</v>
      </c>
    </row>
    <row r="131" spans="1:16">
      <c r="A131" s="7">
        <v>39847</v>
      </c>
      <c r="B131" s="1">
        <v>96</v>
      </c>
      <c r="C131" s="1" t="s">
        <v>234</v>
      </c>
      <c r="D131" s="1">
        <v>3</v>
      </c>
      <c r="E131" s="1">
        <v>813</v>
      </c>
      <c r="F131" s="1">
        <v>23</v>
      </c>
      <c r="G131" s="1" t="s">
        <v>12</v>
      </c>
      <c r="H131" s="1">
        <v>1806</v>
      </c>
      <c r="K131" s="1" t="s">
        <v>109</v>
      </c>
      <c r="L131" s="1" t="s">
        <v>245</v>
      </c>
      <c r="M131" s="1" t="s">
        <v>246</v>
      </c>
      <c r="N131" s="1" t="s">
        <v>253</v>
      </c>
      <c r="O131" s="1">
        <v>7.2</v>
      </c>
      <c r="P131" s="1" t="s">
        <v>97</v>
      </c>
    </row>
    <row r="132" spans="1:16">
      <c r="A132" s="7">
        <v>39847</v>
      </c>
      <c r="B132" s="1">
        <v>82</v>
      </c>
      <c r="C132" s="1" t="s">
        <v>234</v>
      </c>
      <c r="D132" s="1">
        <v>4</v>
      </c>
      <c r="E132" s="1">
        <v>753.84</v>
      </c>
      <c r="F132" s="1">
        <v>23</v>
      </c>
      <c r="G132" s="1" t="s">
        <v>13</v>
      </c>
      <c r="H132" s="1">
        <v>1087</v>
      </c>
      <c r="K132" s="1" t="s">
        <v>110</v>
      </c>
      <c r="L132" s="1" t="s">
        <v>245</v>
      </c>
      <c r="M132" s="1" t="s">
        <v>246</v>
      </c>
      <c r="N132" s="1" t="s">
        <v>253</v>
      </c>
      <c r="O132" s="1">
        <v>648.96</v>
      </c>
      <c r="P132" s="1" t="s">
        <v>97</v>
      </c>
    </row>
    <row r="133" spans="1:16">
      <c r="A133" s="7">
        <v>39847</v>
      </c>
      <c r="B133" s="1">
        <v>83</v>
      </c>
      <c r="C133" s="1" t="s">
        <v>235</v>
      </c>
      <c r="D133" s="1">
        <v>4</v>
      </c>
      <c r="E133" s="1">
        <v>360.53</v>
      </c>
      <c r="F133" s="1">
        <v>23</v>
      </c>
      <c r="G133" s="1" t="s">
        <v>13</v>
      </c>
      <c r="H133" s="1">
        <v>1076</v>
      </c>
      <c r="K133" s="1" t="s">
        <v>76</v>
      </c>
      <c r="L133" s="1" t="s">
        <v>245</v>
      </c>
      <c r="M133" s="1" t="s">
        <v>246</v>
      </c>
      <c r="N133" s="1" t="s">
        <v>253</v>
      </c>
      <c r="O133" s="1">
        <v>1092</v>
      </c>
      <c r="P133" s="1" t="s">
        <v>97</v>
      </c>
    </row>
    <row r="134" spans="1:16">
      <c r="A134" s="7">
        <v>39847</v>
      </c>
      <c r="B134" s="1">
        <v>84</v>
      </c>
      <c r="C134" s="1" t="s">
        <v>235</v>
      </c>
      <c r="D134" s="1">
        <v>4</v>
      </c>
      <c r="E134" s="1">
        <v>588.98</v>
      </c>
      <c r="F134" s="1">
        <v>23</v>
      </c>
      <c r="G134" s="1" t="s">
        <v>13</v>
      </c>
      <c r="H134" s="1">
        <v>1066</v>
      </c>
      <c r="K134" s="1" t="s">
        <v>110</v>
      </c>
      <c r="L134" s="1" t="s">
        <v>245</v>
      </c>
      <c r="M134" s="1" t="s">
        <v>246</v>
      </c>
      <c r="N134" s="1" t="s">
        <v>253</v>
      </c>
      <c r="O134" s="1">
        <v>954.5</v>
      </c>
      <c r="P134" s="1" t="s">
        <v>97</v>
      </c>
    </row>
    <row r="135" spans="1:16">
      <c r="A135" s="7">
        <v>39847</v>
      </c>
      <c r="B135" s="1">
        <v>87</v>
      </c>
      <c r="C135" s="1" t="s">
        <v>234</v>
      </c>
      <c r="D135" s="1">
        <v>1</v>
      </c>
      <c r="E135" s="1">
        <v>768.08</v>
      </c>
      <c r="F135" s="1">
        <v>23</v>
      </c>
      <c r="G135" s="1" t="s">
        <v>13</v>
      </c>
      <c r="H135" s="1">
        <v>1427</v>
      </c>
      <c r="K135" s="1" t="s">
        <v>82</v>
      </c>
      <c r="L135" s="1" t="s">
        <v>245</v>
      </c>
      <c r="M135" s="1" t="s">
        <v>246</v>
      </c>
      <c r="N135" s="1" t="s">
        <v>253</v>
      </c>
      <c r="O135" s="1">
        <v>242.64</v>
      </c>
      <c r="P135" s="1" t="s">
        <v>97</v>
      </c>
    </row>
    <row r="136" spans="1:16">
      <c r="A136" s="7">
        <v>39847</v>
      </c>
      <c r="B136" s="1">
        <v>90</v>
      </c>
      <c r="C136" s="1" t="s">
        <v>234</v>
      </c>
      <c r="D136" s="1">
        <v>4</v>
      </c>
      <c r="E136" s="1">
        <v>973.14</v>
      </c>
      <c r="F136" s="1">
        <v>23</v>
      </c>
      <c r="G136" s="1" t="s">
        <v>13</v>
      </c>
      <c r="H136" s="1">
        <v>0</v>
      </c>
      <c r="K136" s="1" t="s">
        <v>82</v>
      </c>
      <c r="L136" s="1" t="s">
        <v>245</v>
      </c>
      <c r="M136" s="1" t="s">
        <v>246</v>
      </c>
      <c r="N136" s="1" t="s">
        <v>253</v>
      </c>
      <c r="O136" s="1">
        <v>68.75</v>
      </c>
      <c r="P136" s="1" t="s">
        <v>97</v>
      </c>
    </row>
    <row r="137" spans="1:16">
      <c r="A137" s="7">
        <v>39847</v>
      </c>
      <c r="B137" s="1">
        <v>91</v>
      </c>
      <c r="C137" s="1" t="s">
        <v>234</v>
      </c>
      <c r="D137" s="1">
        <v>4</v>
      </c>
      <c r="E137" s="1">
        <v>783.84</v>
      </c>
      <c r="F137" s="1">
        <v>23</v>
      </c>
      <c r="G137" s="1" t="s">
        <v>13</v>
      </c>
      <c r="H137" s="1">
        <v>0</v>
      </c>
      <c r="K137" s="1" t="s">
        <v>109</v>
      </c>
      <c r="L137" s="1" t="s">
        <v>245</v>
      </c>
      <c r="M137" s="1" t="s">
        <v>246</v>
      </c>
      <c r="N137" s="1" t="s">
        <v>253</v>
      </c>
      <c r="O137" s="1">
        <v>68.48</v>
      </c>
      <c r="P137" s="1" t="s">
        <v>97</v>
      </c>
    </row>
    <row r="138" spans="1:16">
      <c r="A138" s="7">
        <v>39847</v>
      </c>
      <c r="B138" s="1">
        <v>94</v>
      </c>
      <c r="C138" s="1" t="s">
        <v>234</v>
      </c>
      <c r="D138" s="1">
        <v>3</v>
      </c>
      <c r="E138" s="1">
        <v>973.14</v>
      </c>
      <c r="F138" s="1">
        <v>23</v>
      </c>
      <c r="G138" s="1" t="s">
        <v>13</v>
      </c>
      <c r="H138" s="1">
        <v>1808</v>
      </c>
      <c r="K138" s="1" t="s">
        <v>77</v>
      </c>
      <c r="L138" s="1" t="s">
        <v>245</v>
      </c>
      <c r="M138" s="1" t="s">
        <v>246</v>
      </c>
      <c r="N138" s="1" t="s">
        <v>253</v>
      </c>
      <c r="O138" s="1">
        <v>2543.36</v>
      </c>
      <c r="P138" s="1" t="s">
        <v>97</v>
      </c>
    </row>
    <row r="139" spans="1:16">
      <c r="A139" s="7">
        <v>39847</v>
      </c>
      <c r="B139" s="1">
        <v>95</v>
      </c>
      <c r="C139" s="1" t="s">
        <v>234</v>
      </c>
      <c r="D139" s="1">
        <v>3</v>
      </c>
      <c r="E139" s="1">
        <v>815.1</v>
      </c>
      <c r="F139" s="1">
        <v>23</v>
      </c>
      <c r="G139" s="1" t="s">
        <v>13</v>
      </c>
      <c r="H139" s="1">
        <v>1334</v>
      </c>
      <c r="K139" s="1" t="s">
        <v>76</v>
      </c>
      <c r="L139" s="1" t="s">
        <v>245</v>
      </c>
      <c r="M139" s="1" t="s">
        <v>246</v>
      </c>
      <c r="N139" s="1" t="s">
        <v>253</v>
      </c>
      <c r="O139" s="1">
        <v>104</v>
      </c>
      <c r="P139" s="1" t="s">
        <v>97</v>
      </c>
    </row>
    <row r="140" spans="1:16">
      <c r="A140" s="7">
        <v>39847</v>
      </c>
      <c r="B140" s="1">
        <v>85</v>
      </c>
      <c r="C140" s="1" t="s">
        <v>234</v>
      </c>
      <c r="D140" s="1">
        <v>4</v>
      </c>
      <c r="E140" s="1">
        <v>909.15</v>
      </c>
      <c r="F140" s="1">
        <v>23</v>
      </c>
      <c r="G140" s="1" t="s">
        <v>3</v>
      </c>
      <c r="H140" s="1">
        <v>1337</v>
      </c>
      <c r="K140" s="1" t="s">
        <v>77</v>
      </c>
      <c r="L140" s="1" t="s">
        <v>245</v>
      </c>
      <c r="M140" s="1" t="s">
        <v>246</v>
      </c>
      <c r="N140" s="1" t="s">
        <v>253</v>
      </c>
      <c r="O140" s="1">
        <v>2542.04</v>
      </c>
      <c r="P140" s="1" t="s">
        <v>97</v>
      </c>
    </row>
    <row r="141" spans="1:16">
      <c r="A141" s="7">
        <v>39847</v>
      </c>
      <c r="B141" s="1">
        <v>81</v>
      </c>
      <c r="C141" s="1" t="s">
        <v>234</v>
      </c>
      <c r="D141" s="1">
        <v>4</v>
      </c>
      <c r="E141" s="1">
        <v>256.42</v>
      </c>
      <c r="F141" s="1">
        <v>23</v>
      </c>
      <c r="G141" s="1" t="s">
        <v>28</v>
      </c>
      <c r="H141" s="1">
        <v>97</v>
      </c>
      <c r="K141" s="1" t="s">
        <v>77</v>
      </c>
      <c r="L141" s="1" t="s">
        <v>245</v>
      </c>
      <c r="M141" s="1" t="s">
        <v>246</v>
      </c>
      <c r="N141" s="1" t="s">
        <v>253</v>
      </c>
      <c r="O141" s="1">
        <v>886.42</v>
      </c>
      <c r="P141" s="1" t="s">
        <v>97</v>
      </c>
    </row>
    <row r="142" spans="1:16">
      <c r="A142" s="7">
        <v>39847</v>
      </c>
      <c r="B142" s="1">
        <v>86</v>
      </c>
      <c r="C142" s="1" t="s">
        <v>234</v>
      </c>
      <c r="D142" s="1">
        <v>4</v>
      </c>
      <c r="E142" s="1">
        <v>450.62</v>
      </c>
      <c r="F142" s="1">
        <v>23</v>
      </c>
      <c r="G142" s="1" t="s">
        <v>28</v>
      </c>
      <c r="H142" s="1">
        <v>2007</v>
      </c>
      <c r="K142" s="1" t="s">
        <v>102</v>
      </c>
      <c r="L142" s="1" t="s">
        <v>245</v>
      </c>
      <c r="M142" s="1" t="s">
        <v>246</v>
      </c>
      <c r="N142" s="1" t="s">
        <v>253</v>
      </c>
      <c r="O142" s="1">
        <v>138.32</v>
      </c>
      <c r="P142" s="1" t="s">
        <v>97</v>
      </c>
    </row>
    <row r="143" spans="1:16">
      <c r="A143" s="7">
        <v>39847</v>
      </c>
      <c r="B143" s="1">
        <v>88</v>
      </c>
      <c r="C143" s="1" t="s">
        <v>234</v>
      </c>
      <c r="D143" s="1">
        <v>3</v>
      </c>
      <c r="E143" s="1">
        <v>572.5</v>
      </c>
      <c r="F143" s="1">
        <v>23</v>
      </c>
      <c r="G143" s="1" t="s">
        <v>29</v>
      </c>
      <c r="H143" s="1">
        <v>108</v>
      </c>
      <c r="K143" s="1" t="s">
        <v>102</v>
      </c>
      <c r="L143" s="1" t="s">
        <v>245</v>
      </c>
      <c r="M143" s="1" t="s">
        <v>246</v>
      </c>
      <c r="N143" s="1" t="s">
        <v>253</v>
      </c>
      <c r="O143" s="1">
        <v>141.44</v>
      </c>
      <c r="P143" s="1" t="s">
        <v>97</v>
      </c>
    </row>
    <row r="144" spans="1:16">
      <c r="A144" s="7">
        <v>39847</v>
      </c>
      <c r="B144" s="1">
        <v>93</v>
      </c>
      <c r="C144" s="1" t="s">
        <v>234</v>
      </c>
      <c r="D144" s="1">
        <v>1</v>
      </c>
      <c r="E144" s="1">
        <v>532.99</v>
      </c>
      <c r="F144" s="1">
        <v>23</v>
      </c>
      <c r="G144" s="1" t="s">
        <v>29</v>
      </c>
      <c r="H144" s="1">
        <v>1738</v>
      </c>
      <c r="K144" s="1" t="s">
        <v>111</v>
      </c>
      <c r="L144" s="1" t="s">
        <v>245</v>
      </c>
      <c r="M144" s="1" t="s">
        <v>246</v>
      </c>
      <c r="N144" s="1" t="s">
        <v>253</v>
      </c>
      <c r="O144" s="1">
        <v>1092</v>
      </c>
      <c r="P144" s="1" t="s">
        <v>97</v>
      </c>
    </row>
    <row r="145" spans="1:16">
      <c r="A145" s="7">
        <v>39847</v>
      </c>
      <c r="B145" s="1">
        <v>80</v>
      </c>
      <c r="C145" s="1" t="s">
        <v>234</v>
      </c>
      <c r="D145" s="1">
        <v>4</v>
      </c>
      <c r="E145" s="1">
        <v>111.9</v>
      </c>
      <c r="F145" s="1">
        <v>23</v>
      </c>
      <c r="G145" s="1" t="s">
        <v>30</v>
      </c>
      <c r="H145" s="1">
        <v>1828</v>
      </c>
      <c r="K145" s="1" t="s">
        <v>98</v>
      </c>
      <c r="L145" s="1" t="s">
        <v>245</v>
      </c>
      <c r="M145" s="1" t="s">
        <v>246</v>
      </c>
      <c r="N145" s="1" t="s">
        <v>253</v>
      </c>
      <c r="O145" s="1">
        <v>1352</v>
      </c>
      <c r="P145" s="1" t="s">
        <v>97</v>
      </c>
    </row>
    <row r="146" spans="1:16">
      <c r="A146" s="7">
        <v>39847</v>
      </c>
      <c r="B146" s="1">
        <v>79</v>
      </c>
      <c r="C146" s="1" t="s">
        <v>234</v>
      </c>
      <c r="D146" s="1">
        <v>2</v>
      </c>
      <c r="E146" s="1">
        <v>75</v>
      </c>
      <c r="F146" s="1">
        <v>23</v>
      </c>
      <c r="G146" s="1" t="s">
        <v>21</v>
      </c>
      <c r="H146" s="1">
        <v>1356</v>
      </c>
      <c r="K146" s="1" t="s">
        <v>84</v>
      </c>
      <c r="L146" s="1" t="s">
        <v>245</v>
      </c>
      <c r="M146" s="1" t="s">
        <v>246</v>
      </c>
      <c r="N146" s="1" t="s">
        <v>253</v>
      </c>
      <c r="O146" s="1">
        <v>78.62</v>
      </c>
      <c r="P146" s="1" t="s">
        <v>97</v>
      </c>
    </row>
    <row r="147" spans="1:16">
      <c r="A147" s="7">
        <v>39847</v>
      </c>
      <c r="B147" s="1">
        <v>118</v>
      </c>
      <c r="C147" s="1" t="s">
        <v>234</v>
      </c>
      <c r="D147" s="1">
        <v>3</v>
      </c>
      <c r="E147" s="1">
        <v>10</v>
      </c>
      <c r="F147" s="1">
        <v>23</v>
      </c>
      <c r="G147" s="1" t="s">
        <v>31</v>
      </c>
      <c r="H147" s="1">
        <v>2009</v>
      </c>
      <c r="K147" s="1" t="s">
        <v>82</v>
      </c>
      <c r="L147" s="1" t="s">
        <v>245</v>
      </c>
      <c r="M147" s="1" t="s">
        <v>246</v>
      </c>
      <c r="N147" s="1" t="s">
        <v>253</v>
      </c>
      <c r="O147" s="1">
        <v>148.18</v>
      </c>
      <c r="P147" s="1" t="s">
        <v>97</v>
      </c>
    </row>
    <row r="148" spans="1:16">
      <c r="A148" s="7">
        <v>39875</v>
      </c>
      <c r="B148" s="1">
        <v>477</v>
      </c>
      <c r="C148" s="1" t="s">
        <v>234</v>
      </c>
      <c r="D148" s="1">
        <v>3</v>
      </c>
      <c r="E148" s="1">
        <v>216.91</v>
      </c>
      <c r="F148" s="1">
        <v>23</v>
      </c>
      <c r="G148" s="1" t="s">
        <v>29</v>
      </c>
      <c r="H148" s="1">
        <v>827</v>
      </c>
      <c r="K148" s="1" t="s">
        <v>100</v>
      </c>
      <c r="L148" s="1" t="s">
        <v>245</v>
      </c>
      <c r="M148" s="1" t="s">
        <v>246</v>
      </c>
      <c r="N148" s="1" t="s">
        <v>253</v>
      </c>
      <c r="O148" s="1">
        <v>53.64</v>
      </c>
      <c r="P148" s="1" t="s">
        <v>97</v>
      </c>
    </row>
    <row r="149" spans="1:16">
      <c r="A149" s="7">
        <v>39875</v>
      </c>
      <c r="B149" s="1">
        <v>458</v>
      </c>
      <c r="C149" s="1" t="s">
        <v>234</v>
      </c>
      <c r="D149" s="1">
        <v>2</v>
      </c>
      <c r="E149" s="1">
        <v>75</v>
      </c>
      <c r="F149" s="1">
        <v>23</v>
      </c>
      <c r="G149" s="1" t="s">
        <v>21</v>
      </c>
      <c r="H149" s="1">
        <v>1340</v>
      </c>
      <c r="K149" s="1" t="s">
        <v>80</v>
      </c>
      <c r="L149" s="1" t="s">
        <v>245</v>
      </c>
      <c r="M149" s="1" t="s">
        <v>246</v>
      </c>
      <c r="N149" s="1" t="s">
        <v>253</v>
      </c>
      <c r="O149" s="1">
        <v>16.8</v>
      </c>
      <c r="P149" s="1" t="s">
        <v>97</v>
      </c>
    </row>
    <row r="150" spans="1:16">
      <c r="A150" s="7">
        <v>39875</v>
      </c>
      <c r="B150" s="1">
        <v>459</v>
      </c>
      <c r="C150" s="1" t="s">
        <v>234</v>
      </c>
      <c r="D150" s="1">
        <v>2</v>
      </c>
      <c r="E150" s="1">
        <v>75</v>
      </c>
      <c r="F150" s="1">
        <v>23</v>
      </c>
      <c r="G150" s="1" t="s">
        <v>21</v>
      </c>
      <c r="H150" s="1">
        <v>98</v>
      </c>
      <c r="K150" s="1" t="s">
        <v>86</v>
      </c>
      <c r="L150" s="1" t="s">
        <v>245</v>
      </c>
      <c r="M150" s="1" t="s">
        <v>246</v>
      </c>
      <c r="N150" s="1" t="s">
        <v>253</v>
      </c>
      <c r="O150" s="1">
        <v>87.36</v>
      </c>
      <c r="P150" s="1" t="s">
        <v>97</v>
      </c>
    </row>
    <row r="151" spans="1:16">
      <c r="A151" s="7">
        <v>39875</v>
      </c>
      <c r="B151" s="1">
        <v>476</v>
      </c>
      <c r="C151" s="1" t="s">
        <v>234</v>
      </c>
      <c r="D151" s="1">
        <v>1</v>
      </c>
      <c r="E151" s="1">
        <v>34</v>
      </c>
      <c r="F151" s="1">
        <v>23</v>
      </c>
      <c r="G151" s="1" t="s">
        <v>32</v>
      </c>
      <c r="H151" s="1">
        <v>326</v>
      </c>
      <c r="K151" s="1" t="s">
        <v>86</v>
      </c>
      <c r="L151" s="1" t="s">
        <v>245</v>
      </c>
      <c r="M151" s="1" t="s">
        <v>246</v>
      </c>
      <c r="N151" s="1" t="s">
        <v>253</v>
      </c>
      <c r="O151" s="1">
        <v>112.32</v>
      </c>
      <c r="P151" s="1" t="s">
        <v>97</v>
      </c>
    </row>
    <row r="152" spans="1:16">
      <c r="A152" s="7">
        <v>39906</v>
      </c>
      <c r="B152" s="1">
        <v>206</v>
      </c>
      <c r="C152" s="1" t="s">
        <v>234</v>
      </c>
      <c r="D152" s="1">
        <v>4</v>
      </c>
      <c r="E152" s="1">
        <v>1881</v>
      </c>
      <c r="F152" s="1">
        <v>23</v>
      </c>
      <c r="G152" s="1" t="s">
        <v>7</v>
      </c>
      <c r="H152" s="1">
        <v>0</v>
      </c>
      <c r="K152" s="1" t="s">
        <v>86</v>
      </c>
      <c r="L152" s="1" t="s">
        <v>245</v>
      </c>
      <c r="M152" s="1" t="s">
        <v>246</v>
      </c>
      <c r="N152" s="1" t="s">
        <v>253</v>
      </c>
      <c r="O152" s="1">
        <v>28.56</v>
      </c>
      <c r="P152" s="1" t="s">
        <v>97</v>
      </c>
    </row>
    <row r="153" spans="1:16">
      <c r="A153" s="7">
        <v>39906</v>
      </c>
      <c r="B153" s="1">
        <v>206</v>
      </c>
      <c r="C153" s="1" t="s">
        <v>234</v>
      </c>
      <c r="D153" s="1">
        <v>4</v>
      </c>
      <c r="E153" s="1">
        <v>987.52</v>
      </c>
      <c r="F153" s="1">
        <v>23</v>
      </c>
      <c r="G153" s="1" t="s">
        <v>8</v>
      </c>
      <c r="H153" s="1">
        <v>0</v>
      </c>
      <c r="K153" s="1" t="s">
        <v>86</v>
      </c>
      <c r="L153" s="1" t="s">
        <v>245</v>
      </c>
      <c r="M153" s="1" t="s">
        <v>246</v>
      </c>
      <c r="N153" s="1" t="s">
        <v>253</v>
      </c>
      <c r="O153" s="1">
        <v>74.88</v>
      </c>
      <c r="P153" s="1" t="s">
        <v>97</v>
      </c>
    </row>
    <row r="154" spans="1:16">
      <c r="A154" s="7">
        <v>39906</v>
      </c>
      <c r="B154" s="1">
        <v>206</v>
      </c>
      <c r="C154" s="1" t="s">
        <v>234</v>
      </c>
      <c r="D154" s="1">
        <v>4</v>
      </c>
      <c r="E154" s="1">
        <v>2243.02</v>
      </c>
      <c r="F154" s="1">
        <v>23</v>
      </c>
      <c r="G154" s="1" t="s">
        <v>9</v>
      </c>
      <c r="H154" s="1">
        <v>0</v>
      </c>
      <c r="K154" s="1" t="s">
        <v>98</v>
      </c>
      <c r="L154" s="1" t="s">
        <v>245</v>
      </c>
      <c r="M154" s="1" t="s">
        <v>246</v>
      </c>
      <c r="N154" s="1" t="s">
        <v>253</v>
      </c>
      <c r="O154" s="1">
        <v>312.52</v>
      </c>
      <c r="P154" s="1" t="s">
        <v>97</v>
      </c>
    </row>
    <row r="155" spans="1:16">
      <c r="A155" s="7">
        <v>39906</v>
      </c>
      <c r="B155" s="1">
        <v>206</v>
      </c>
      <c r="C155" s="1" t="s">
        <v>234</v>
      </c>
      <c r="D155" s="1">
        <v>4</v>
      </c>
      <c r="E155" s="1">
        <v>195</v>
      </c>
      <c r="F155" s="1">
        <v>23</v>
      </c>
      <c r="G155" s="1" t="s">
        <v>11</v>
      </c>
      <c r="H155" s="1">
        <v>0</v>
      </c>
      <c r="K155" s="1" t="s">
        <v>100</v>
      </c>
      <c r="L155" s="1" t="s">
        <v>245</v>
      </c>
      <c r="M155" s="1" t="s">
        <v>246</v>
      </c>
      <c r="N155" s="1" t="s">
        <v>253</v>
      </c>
      <c r="O155" s="1">
        <v>561.6</v>
      </c>
      <c r="P155" s="1" t="s">
        <v>97</v>
      </c>
    </row>
    <row r="156" spans="1:16">
      <c r="A156" s="7">
        <v>39906</v>
      </c>
      <c r="B156" s="1">
        <v>205</v>
      </c>
      <c r="C156" s="1" t="s">
        <v>234</v>
      </c>
      <c r="D156" s="1">
        <v>4</v>
      </c>
      <c r="E156" s="1">
        <v>4428.49</v>
      </c>
      <c r="F156" s="1">
        <v>23</v>
      </c>
      <c r="G156" s="1" t="s">
        <v>13</v>
      </c>
      <c r="H156" s="1">
        <v>0</v>
      </c>
      <c r="K156" s="1" t="s">
        <v>99</v>
      </c>
      <c r="L156" s="1" t="s">
        <v>258</v>
      </c>
      <c r="M156" s="1" t="s">
        <v>259</v>
      </c>
      <c r="N156" s="1" t="s">
        <v>253</v>
      </c>
      <c r="O156" s="1">
        <v>2768.18</v>
      </c>
      <c r="P156" s="1" t="s">
        <v>97</v>
      </c>
    </row>
    <row r="157" spans="1:16">
      <c r="A157" s="7">
        <v>39906</v>
      </c>
      <c r="B157" s="1">
        <v>205</v>
      </c>
      <c r="C157" s="1" t="s">
        <v>234</v>
      </c>
      <c r="D157" s="1">
        <v>4</v>
      </c>
      <c r="E157" s="1">
        <v>2351.25</v>
      </c>
      <c r="F157" s="1">
        <v>23</v>
      </c>
      <c r="G157" s="1" t="s">
        <v>3</v>
      </c>
      <c r="H157" s="1">
        <v>0</v>
      </c>
      <c r="K157" s="1" t="s">
        <v>89</v>
      </c>
      <c r="L157" s="1" t="s">
        <v>245</v>
      </c>
      <c r="M157" s="1" t="s">
        <v>246</v>
      </c>
      <c r="N157" s="1" t="s">
        <v>253</v>
      </c>
      <c r="O157" s="1">
        <v>65.5</v>
      </c>
      <c r="P157" s="1" t="s">
        <v>97</v>
      </c>
    </row>
    <row r="158" spans="1:16">
      <c r="A158" s="7">
        <v>39967</v>
      </c>
      <c r="B158" s="1">
        <v>587</v>
      </c>
      <c r="C158" s="1" t="s">
        <v>234</v>
      </c>
      <c r="D158" s="1">
        <v>4</v>
      </c>
      <c r="E158" s="1">
        <v>60</v>
      </c>
      <c r="F158" s="1">
        <v>23</v>
      </c>
      <c r="G158" s="1" t="s">
        <v>33</v>
      </c>
      <c r="H158" s="1">
        <v>2042</v>
      </c>
      <c r="K158" s="1" t="s">
        <v>85</v>
      </c>
      <c r="L158" s="1" t="s">
        <v>245</v>
      </c>
      <c r="M158" s="1" t="s">
        <v>246</v>
      </c>
      <c r="N158" s="1" t="s">
        <v>253</v>
      </c>
      <c r="O158" s="1">
        <v>3416.04</v>
      </c>
      <c r="P158" s="1" t="s">
        <v>97</v>
      </c>
    </row>
    <row r="159" spans="1:16">
      <c r="A159" s="7">
        <v>39967</v>
      </c>
      <c r="B159" s="1">
        <v>589</v>
      </c>
      <c r="C159" s="1" t="s">
        <v>235</v>
      </c>
      <c r="D159" s="1">
        <v>1</v>
      </c>
      <c r="E159" s="1">
        <v>75</v>
      </c>
      <c r="F159" s="1">
        <v>23</v>
      </c>
      <c r="G159" s="1" t="s">
        <v>24</v>
      </c>
      <c r="H159" s="1">
        <v>759</v>
      </c>
      <c r="K159" s="1" t="s">
        <v>99</v>
      </c>
      <c r="L159" s="1" t="s">
        <v>245</v>
      </c>
      <c r="M159" s="1" t="s">
        <v>246</v>
      </c>
      <c r="N159" s="1" t="s">
        <v>253</v>
      </c>
      <c r="O159" s="1">
        <v>1419.91</v>
      </c>
      <c r="P159" s="1" t="s">
        <v>97</v>
      </c>
    </row>
    <row r="160" spans="1:16">
      <c r="A160" s="7">
        <v>39997</v>
      </c>
      <c r="B160" s="1">
        <v>595</v>
      </c>
      <c r="C160" s="1" t="s">
        <v>234</v>
      </c>
      <c r="D160" s="1">
        <v>3</v>
      </c>
      <c r="E160" s="1">
        <v>120</v>
      </c>
      <c r="F160" s="1">
        <v>23</v>
      </c>
      <c r="G160" s="1" t="s">
        <v>33</v>
      </c>
      <c r="H160" s="1">
        <v>0</v>
      </c>
      <c r="K160" s="1" t="s">
        <v>98</v>
      </c>
      <c r="L160" s="1" t="s">
        <v>245</v>
      </c>
      <c r="M160" s="1" t="s">
        <v>246</v>
      </c>
      <c r="N160" s="1" t="s">
        <v>253</v>
      </c>
      <c r="O160" s="1">
        <v>494</v>
      </c>
      <c r="P160" s="1" t="s">
        <v>97</v>
      </c>
    </row>
    <row r="161" spans="1:16">
      <c r="A161" s="7">
        <v>39997</v>
      </c>
      <c r="B161" s="1">
        <v>631</v>
      </c>
      <c r="C161" s="1" t="s">
        <v>235</v>
      </c>
      <c r="D161" s="1">
        <v>1</v>
      </c>
      <c r="E161" s="1">
        <v>414.46</v>
      </c>
      <c r="F161" s="1">
        <v>23</v>
      </c>
      <c r="G161" s="1" t="s">
        <v>5</v>
      </c>
      <c r="H161" s="1">
        <v>87</v>
      </c>
      <c r="K161" s="1" t="s">
        <v>83</v>
      </c>
      <c r="L161" s="1" t="s">
        <v>245</v>
      </c>
      <c r="M161" s="1" t="s">
        <v>246</v>
      </c>
      <c r="N161" s="1" t="s">
        <v>254</v>
      </c>
      <c r="O161" s="1">
        <v>500</v>
      </c>
      <c r="P161" s="1" t="s">
        <v>112</v>
      </c>
    </row>
    <row r="162" spans="1:16">
      <c r="A162" s="7">
        <v>39997</v>
      </c>
      <c r="B162" s="1">
        <v>632</v>
      </c>
      <c r="C162" s="1" t="s">
        <v>234</v>
      </c>
      <c r="D162" s="1">
        <v>3</v>
      </c>
      <c r="E162" s="1">
        <v>374.95</v>
      </c>
      <c r="F162" s="1">
        <v>23</v>
      </c>
      <c r="G162" s="1" t="s">
        <v>6</v>
      </c>
      <c r="H162" s="1">
        <v>1453</v>
      </c>
      <c r="K162" s="1" t="s">
        <v>79</v>
      </c>
      <c r="L162" s="1" t="s">
        <v>245</v>
      </c>
      <c r="M162" s="1" t="s">
        <v>246</v>
      </c>
      <c r="N162" s="1" t="s">
        <v>251</v>
      </c>
      <c r="O162" s="1">
        <v>3</v>
      </c>
      <c r="P162" s="1" t="s">
        <v>112</v>
      </c>
    </row>
    <row r="163" spans="1:16">
      <c r="A163" s="7">
        <v>39997</v>
      </c>
      <c r="B163" s="1">
        <v>608</v>
      </c>
      <c r="C163" s="1" t="s">
        <v>234</v>
      </c>
      <c r="D163" s="1">
        <v>4</v>
      </c>
      <c r="E163" s="1">
        <v>1350</v>
      </c>
      <c r="F163" s="1">
        <v>23</v>
      </c>
      <c r="G163" s="1" t="s">
        <v>27</v>
      </c>
      <c r="H163" s="1">
        <v>0</v>
      </c>
      <c r="K163" s="1" t="s">
        <v>86</v>
      </c>
      <c r="L163" s="1" t="s">
        <v>242</v>
      </c>
      <c r="M163" s="1" t="s">
        <v>243</v>
      </c>
      <c r="N163" s="1" t="s">
        <v>254</v>
      </c>
      <c r="O163" s="1">
        <v>31.39</v>
      </c>
      <c r="P163" s="1" t="s">
        <v>113</v>
      </c>
    </row>
    <row r="164" spans="1:16">
      <c r="A164" s="7">
        <v>39997</v>
      </c>
      <c r="B164" s="1">
        <v>628</v>
      </c>
      <c r="C164" s="1" t="s">
        <v>234</v>
      </c>
      <c r="D164" s="1">
        <v>2</v>
      </c>
      <c r="E164" s="1">
        <v>300</v>
      </c>
      <c r="F164" s="1">
        <v>23</v>
      </c>
      <c r="G164" s="1" t="s">
        <v>20</v>
      </c>
      <c r="H164" s="1">
        <v>0</v>
      </c>
      <c r="K164" s="1" t="s">
        <v>88</v>
      </c>
      <c r="L164" s="1" t="s">
        <v>242</v>
      </c>
      <c r="M164" s="1" t="s">
        <v>243</v>
      </c>
      <c r="N164" s="1" t="s">
        <v>254</v>
      </c>
      <c r="O164" s="1">
        <v>2.8</v>
      </c>
      <c r="P164" s="1" t="s">
        <v>113</v>
      </c>
    </row>
    <row r="165" spans="1:16">
      <c r="A165" s="7">
        <v>40028</v>
      </c>
      <c r="B165" s="1">
        <v>856</v>
      </c>
      <c r="C165" s="1" t="s">
        <v>234</v>
      </c>
      <c r="D165" s="1">
        <v>4</v>
      </c>
      <c r="E165" s="1">
        <v>453.97</v>
      </c>
      <c r="F165" s="1">
        <v>23</v>
      </c>
      <c r="G165" s="1" t="s">
        <v>6</v>
      </c>
      <c r="H165" s="1">
        <v>2077</v>
      </c>
      <c r="K165" s="1" t="s">
        <v>104</v>
      </c>
      <c r="L165" s="1" t="s">
        <v>242</v>
      </c>
      <c r="M165" s="1" t="s">
        <v>243</v>
      </c>
      <c r="N165" s="1" t="s">
        <v>254</v>
      </c>
      <c r="O165" s="1">
        <v>10.64</v>
      </c>
      <c r="P165" s="1" t="s">
        <v>113</v>
      </c>
    </row>
    <row r="166" spans="1:16">
      <c r="A166" s="7">
        <v>40059</v>
      </c>
      <c r="B166" s="1">
        <v>931</v>
      </c>
      <c r="C166" s="1" t="s">
        <v>234</v>
      </c>
      <c r="D166" s="1">
        <v>2</v>
      </c>
      <c r="E166" s="1">
        <v>901.5</v>
      </c>
      <c r="F166" s="1">
        <v>23</v>
      </c>
      <c r="G166" s="1" t="s">
        <v>8</v>
      </c>
      <c r="H166" s="1">
        <v>1761</v>
      </c>
      <c r="K166" s="1" t="s">
        <v>109</v>
      </c>
      <c r="L166" s="1" t="s">
        <v>242</v>
      </c>
      <c r="M166" s="1" t="s">
        <v>243</v>
      </c>
      <c r="N166" s="1" t="s">
        <v>254</v>
      </c>
      <c r="O166" s="1">
        <v>22.1</v>
      </c>
      <c r="P166" s="1" t="s">
        <v>113</v>
      </c>
    </row>
    <row r="167" spans="1:16">
      <c r="A167" s="7">
        <v>40059</v>
      </c>
      <c r="B167" s="1">
        <v>939</v>
      </c>
      <c r="C167" s="1" t="s">
        <v>234</v>
      </c>
      <c r="D167" s="1">
        <v>4</v>
      </c>
      <c r="E167" s="1">
        <v>556.65</v>
      </c>
      <c r="F167" s="1">
        <v>23</v>
      </c>
      <c r="G167" s="1" t="s">
        <v>8</v>
      </c>
      <c r="H167" s="1">
        <v>1745</v>
      </c>
      <c r="K167" s="1" t="s">
        <v>80</v>
      </c>
      <c r="L167" s="1" t="s">
        <v>242</v>
      </c>
      <c r="M167" s="1" t="s">
        <v>243</v>
      </c>
      <c r="N167" s="1" t="s">
        <v>254</v>
      </c>
      <c r="O167" s="1">
        <v>4.95</v>
      </c>
      <c r="P167" s="1" t="s">
        <v>113</v>
      </c>
    </row>
    <row r="168" spans="1:16">
      <c r="A168" s="7">
        <v>40059</v>
      </c>
      <c r="B168" s="1">
        <v>946</v>
      </c>
      <c r="C168" s="1" t="s">
        <v>234</v>
      </c>
      <c r="D168" s="1">
        <v>1</v>
      </c>
      <c r="E168" s="1">
        <v>956.36</v>
      </c>
      <c r="F168" s="1">
        <v>23</v>
      </c>
      <c r="G168" s="1" t="s">
        <v>8</v>
      </c>
      <c r="H168" s="1">
        <v>1826</v>
      </c>
      <c r="K168" s="1" t="s">
        <v>63</v>
      </c>
      <c r="L168" s="1" t="s">
        <v>242</v>
      </c>
      <c r="M168" s="1" t="s">
        <v>243</v>
      </c>
      <c r="N168" s="1" t="s">
        <v>244</v>
      </c>
      <c r="O168" s="1">
        <v>20083.36</v>
      </c>
      <c r="P168" s="1" t="s">
        <v>114</v>
      </c>
    </row>
    <row r="169" spans="1:16">
      <c r="A169" s="7">
        <v>40059</v>
      </c>
      <c r="B169" s="1">
        <v>951</v>
      </c>
      <c r="C169" s="1" t="s">
        <v>234</v>
      </c>
      <c r="D169" s="1">
        <v>3</v>
      </c>
      <c r="E169" s="1">
        <v>995.55</v>
      </c>
      <c r="F169" s="1">
        <v>23</v>
      </c>
      <c r="G169" s="1" t="s">
        <v>8</v>
      </c>
      <c r="H169" s="1">
        <v>1415</v>
      </c>
      <c r="K169" s="1" t="s">
        <v>63</v>
      </c>
      <c r="L169" s="1" t="s">
        <v>242</v>
      </c>
      <c r="M169" s="1" t="s">
        <v>243</v>
      </c>
      <c r="N169" s="1" t="s">
        <v>244</v>
      </c>
      <c r="O169" s="1">
        <v>12500.06</v>
      </c>
      <c r="P169" s="1" t="s">
        <v>114</v>
      </c>
    </row>
    <row r="170" spans="1:16">
      <c r="A170" s="7">
        <v>40059</v>
      </c>
      <c r="B170" s="1">
        <v>978</v>
      </c>
      <c r="C170" s="1" t="s">
        <v>234</v>
      </c>
      <c r="D170" s="1">
        <v>3</v>
      </c>
      <c r="E170" s="1">
        <v>564.49</v>
      </c>
      <c r="F170" s="1">
        <v>23</v>
      </c>
      <c r="G170" s="1" t="s">
        <v>8</v>
      </c>
      <c r="H170" s="1">
        <v>1758</v>
      </c>
      <c r="K170" s="1" t="s">
        <v>63</v>
      </c>
      <c r="L170" s="1" t="s">
        <v>242</v>
      </c>
      <c r="M170" s="1" t="s">
        <v>243</v>
      </c>
      <c r="N170" s="1" t="s">
        <v>244</v>
      </c>
      <c r="O170" s="1">
        <v>30118.639999999999</v>
      </c>
      <c r="P170" s="1" t="s">
        <v>114</v>
      </c>
    </row>
    <row r="171" spans="1:16">
      <c r="A171" s="7">
        <v>40059</v>
      </c>
      <c r="B171" s="1">
        <v>1298</v>
      </c>
      <c r="C171" s="1" t="s">
        <v>234</v>
      </c>
      <c r="D171" s="1">
        <v>3</v>
      </c>
      <c r="E171" s="1">
        <v>478.18</v>
      </c>
      <c r="F171" s="1">
        <v>23</v>
      </c>
      <c r="G171" s="1" t="s">
        <v>8</v>
      </c>
      <c r="H171" s="1">
        <v>1756</v>
      </c>
      <c r="K171" s="1" t="s">
        <v>63</v>
      </c>
      <c r="L171" s="1" t="s">
        <v>242</v>
      </c>
      <c r="M171" s="1" t="s">
        <v>243</v>
      </c>
      <c r="N171" s="1" t="s">
        <v>244</v>
      </c>
      <c r="O171" s="1">
        <v>10857.48</v>
      </c>
      <c r="P171" s="1" t="s">
        <v>114</v>
      </c>
    </row>
    <row r="172" spans="1:16">
      <c r="A172" s="7">
        <v>40059</v>
      </c>
      <c r="B172" s="1">
        <v>932</v>
      </c>
      <c r="C172" s="1" t="s">
        <v>234</v>
      </c>
      <c r="D172" s="1">
        <v>2</v>
      </c>
      <c r="E172" s="1">
        <v>1881</v>
      </c>
      <c r="F172" s="1">
        <v>23</v>
      </c>
      <c r="G172" s="1" t="s">
        <v>9</v>
      </c>
      <c r="H172" s="1">
        <v>1435</v>
      </c>
      <c r="K172" s="1" t="s">
        <v>65</v>
      </c>
      <c r="L172" s="1" t="s">
        <v>242</v>
      </c>
      <c r="M172" s="1" t="s">
        <v>243</v>
      </c>
      <c r="N172" s="1" t="s">
        <v>244</v>
      </c>
      <c r="O172" s="1">
        <v>9221.1200000000008</v>
      </c>
      <c r="P172" s="1" t="s">
        <v>114</v>
      </c>
    </row>
    <row r="173" spans="1:16">
      <c r="A173" s="7">
        <v>40059</v>
      </c>
      <c r="B173" s="1">
        <v>934</v>
      </c>
      <c r="C173" s="1" t="s">
        <v>234</v>
      </c>
      <c r="D173" s="1">
        <v>3</v>
      </c>
      <c r="E173" s="1">
        <v>1818.3</v>
      </c>
      <c r="F173" s="1">
        <v>23</v>
      </c>
      <c r="G173" s="1" t="s">
        <v>9</v>
      </c>
      <c r="H173" s="1">
        <v>1137</v>
      </c>
      <c r="K173" s="1" t="s">
        <v>66</v>
      </c>
      <c r="L173" s="1" t="s">
        <v>242</v>
      </c>
      <c r="M173" s="1" t="s">
        <v>243</v>
      </c>
      <c r="N173" s="1" t="s">
        <v>244</v>
      </c>
      <c r="O173" s="1">
        <v>7668.62</v>
      </c>
      <c r="P173" s="1" t="s">
        <v>114</v>
      </c>
    </row>
    <row r="174" spans="1:16">
      <c r="A174" s="7">
        <v>40059</v>
      </c>
      <c r="B174" s="1">
        <v>935</v>
      </c>
      <c r="C174" s="1" t="s">
        <v>234</v>
      </c>
      <c r="D174" s="1">
        <v>3</v>
      </c>
      <c r="E174" s="1">
        <v>2006.4</v>
      </c>
      <c r="F174" s="1">
        <v>23</v>
      </c>
      <c r="G174" s="1" t="s">
        <v>9</v>
      </c>
      <c r="H174" s="1">
        <v>1424</v>
      </c>
      <c r="K174" s="1" t="s">
        <v>66</v>
      </c>
      <c r="L174" s="1" t="s">
        <v>242</v>
      </c>
      <c r="M174" s="1" t="s">
        <v>243</v>
      </c>
      <c r="N174" s="1" t="s">
        <v>244</v>
      </c>
      <c r="O174" s="1">
        <v>6769.5</v>
      </c>
      <c r="P174" s="1" t="s">
        <v>114</v>
      </c>
    </row>
    <row r="175" spans="1:16">
      <c r="A175" s="7">
        <v>40059</v>
      </c>
      <c r="B175" s="1">
        <v>936</v>
      </c>
      <c r="C175" s="1" t="s">
        <v>234</v>
      </c>
      <c r="D175" s="1">
        <v>3</v>
      </c>
      <c r="E175" s="1">
        <v>1724.25</v>
      </c>
      <c r="F175" s="1">
        <v>23</v>
      </c>
      <c r="G175" s="1" t="s">
        <v>9</v>
      </c>
      <c r="H175" s="1">
        <v>1409</v>
      </c>
      <c r="K175" s="1" t="s">
        <v>66</v>
      </c>
      <c r="L175" s="1" t="s">
        <v>242</v>
      </c>
      <c r="M175" s="1" t="s">
        <v>243</v>
      </c>
      <c r="N175" s="1" t="s">
        <v>244</v>
      </c>
      <c r="O175" s="1">
        <v>10609.86</v>
      </c>
      <c r="P175" s="1" t="s">
        <v>114</v>
      </c>
    </row>
    <row r="176" spans="1:16">
      <c r="A176" s="7">
        <v>40059</v>
      </c>
      <c r="B176" s="1">
        <v>931</v>
      </c>
      <c r="C176" s="1" t="s">
        <v>234</v>
      </c>
      <c r="D176" s="1">
        <v>2</v>
      </c>
      <c r="E176" s="1">
        <v>78</v>
      </c>
      <c r="F176" s="1">
        <v>23</v>
      </c>
      <c r="G176" s="1" t="s">
        <v>11</v>
      </c>
      <c r="H176" s="1">
        <v>1761</v>
      </c>
      <c r="K176" s="1" t="s">
        <v>66</v>
      </c>
      <c r="L176" s="1" t="s">
        <v>242</v>
      </c>
      <c r="M176" s="1" t="s">
        <v>243</v>
      </c>
      <c r="N176" s="1" t="s">
        <v>244</v>
      </c>
      <c r="O176" s="1">
        <v>1676.16</v>
      </c>
      <c r="P176" s="1" t="s">
        <v>114</v>
      </c>
    </row>
    <row r="177" spans="1:16">
      <c r="A177" s="7">
        <v>40059</v>
      </c>
      <c r="B177" s="1">
        <v>932</v>
      </c>
      <c r="C177" s="1" t="s">
        <v>234</v>
      </c>
      <c r="D177" s="1">
        <v>2</v>
      </c>
      <c r="E177" s="1">
        <v>78</v>
      </c>
      <c r="F177" s="1">
        <v>23</v>
      </c>
      <c r="G177" s="1" t="s">
        <v>11</v>
      </c>
      <c r="H177" s="1">
        <v>1435</v>
      </c>
      <c r="K177" s="1" t="s">
        <v>67</v>
      </c>
      <c r="L177" s="1" t="s">
        <v>242</v>
      </c>
      <c r="M177" s="1" t="s">
        <v>243</v>
      </c>
      <c r="N177" s="1" t="s">
        <v>244</v>
      </c>
      <c r="O177" s="1">
        <v>1781.67</v>
      </c>
      <c r="P177" s="1" t="s">
        <v>114</v>
      </c>
    </row>
    <row r="178" spans="1:16">
      <c r="A178" s="7">
        <v>40059</v>
      </c>
      <c r="B178" s="1">
        <v>934</v>
      </c>
      <c r="C178" s="1" t="s">
        <v>234</v>
      </c>
      <c r="D178" s="1">
        <v>3</v>
      </c>
      <c r="E178" s="1">
        <v>78</v>
      </c>
      <c r="F178" s="1">
        <v>23</v>
      </c>
      <c r="G178" s="1" t="s">
        <v>11</v>
      </c>
      <c r="H178" s="1">
        <v>1137</v>
      </c>
      <c r="K178" s="1" t="s">
        <v>67</v>
      </c>
      <c r="L178" s="1" t="s">
        <v>242</v>
      </c>
      <c r="M178" s="1" t="s">
        <v>243</v>
      </c>
      <c r="N178" s="1" t="s">
        <v>244</v>
      </c>
      <c r="O178" s="1">
        <v>948.89</v>
      </c>
      <c r="P178" s="1" t="s">
        <v>114</v>
      </c>
    </row>
    <row r="179" spans="1:16">
      <c r="A179" s="7">
        <v>40059</v>
      </c>
      <c r="B179" s="1">
        <v>935</v>
      </c>
      <c r="C179" s="1" t="s">
        <v>234</v>
      </c>
      <c r="D179" s="1">
        <v>3</v>
      </c>
      <c r="E179" s="1">
        <v>78</v>
      </c>
      <c r="F179" s="1">
        <v>23</v>
      </c>
      <c r="G179" s="1" t="s">
        <v>11</v>
      </c>
      <c r="H179" s="1">
        <v>1424</v>
      </c>
      <c r="K179" s="1" t="s">
        <v>67</v>
      </c>
      <c r="L179" s="1" t="s">
        <v>242</v>
      </c>
      <c r="M179" s="1" t="s">
        <v>243</v>
      </c>
      <c r="N179" s="1" t="s">
        <v>244</v>
      </c>
      <c r="O179" s="1">
        <v>4137.8500000000004</v>
      </c>
      <c r="P179" s="1" t="s">
        <v>114</v>
      </c>
    </row>
    <row r="180" spans="1:16">
      <c r="A180" s="7">
        <v>40059</v>
      </c>
      <c r="B180" s="1">
        <v>936</v>
      </c>
      <c r="C180" s="1" t="s">
        <v>234</v>
      </c>
      <c r="D180" s="1">
        <v>3</v>
      </c>
      <c r="E180" s="1">
        <v>78</v>
      </c>
      <c r="F180" s="1">
        <v>23</v>
      </c>
      <c r="G180" s="1" t="s">
        <v>11</v>
      </c>
      <c r="H180" s="1">
        <v>1409</v>
      </c>
      <c r="K180" s="1" t="s">
        <v>67</v>
      </c>
      <c r="L180" s="1" t="s">
        <v>242</v>
      </c>
      <c r="M180" s="1" t="s">
        <v>243</v>
      </c>
      <c r="N180" s="1" t="s">
        <v>244</v>
      </c>
      <c r="O180" s="1">
        <v>466.9</v>
      </c>
      <c r="P180" s="1" t="s">
        <v>114</v>
      </c>
    </row>
    <row r="181" spans="1:16">
      <c r="A181" s="7">
        <v>40059</v>
      </c>
      <c r="B181" s="1">
        <v>939</v>
      </c>
      <c r="C181" s="1" t="s">
        <v>234</v>
      </c>
      <c r="D181" s="1">
        <v>4</v>
      </c>
      <c r="E181" s="1">
        <v>78</v>
      </c>
      <c r="F181" s="1">
        <v>23</v>
      </c>
      <c r="G181" s="1" t="s">
        <v>11</v>
      </c>
      <c r="H181" s="1">
        <v>1745</v>
      </c>
      <c r="K181" s="1" t="s">
        <v>68</v>
      </c>
      <c r="L181" s="1" t="s">
        <v>242</v>
      </c>
      <c r="M181" s="1" t="s">
        <v>243</v>
      </c>
      <c r="N181" s="1" t="s">
        <v>244</v>
      </c>
      <c r="O181" s="1">
        <v>2842.56</v>
      </c>
      <c r="P181" s="1" t="s">
        <v>114</v>
      </c>
    </row>
    <row r="182" spans="1:16">
      <c r="A182" s="7">
        <v>40059</v>
      </c>
      <c r="B182" s="1">
        <v>946</v>
      </c>
      <c r="C182" s="1" t="s">
        <v>234</v>
      </c>
      <c r="D182" s="1">
        <v>1</v>
      </c>
      <c r="E182" s="1">
        <v>78</v>
      </c>
      <c r="F182" s="1">
        <v>23</v>
      </c>
      <c r="G182" s="1" t="s">
        <v>11</v>
      </c>
      <c r="H182" s="1">
        <v>1826</v>
      </c>
      <c r="K182" s="1" t="s">
        <v>68</v>
      </c>
      <c r="L182" s="1" t="s">
        <v>242</v>
      </c>
      <c r="M182" s="1" t="s">
        <v>243</v>
      </c>
      <c r="N182" s="1" t="s">
        <v>244</v>
      </c>
      <c r="O182" s="1">
        <v>1748.41</v>
      </c>
      <c r="P182" s="1" t="s">
        <v>114</v>
      </c>
    </row>
    <row r="183" spans="1:16">
      <c r="A183" s="7">
        <v>40059</v>
      </c>
      <c r="B183" s="1">
        <v>951</v>
      </c>
      <c r="C183" s="1" t="s">
        <v>234</v>
      </c>
      <c r="D183" s="1">
        <v>3</v>
      </c>
      <c r="E183" s="1">
        <v>78</v>
      </c>
      <c r="F183" s="1">
        <v>23</v>
      </c>
      <c r="G183" s="1" t="s">
        <v>11</v>
      </c>
      <c r="H183" s="1">
        <v>1415</v>
      </c>
      <c r="K183" s="1" t="s">
        <v>68</v>
      </c>
      <c r="L183" s="1" t="s">
        <v>242</v>
      </c>
      <c r="M183" s="1" t="s">
        <v>243</v>
      </c>
      <c r="N183" s="1" t="s">
        <v>244</v>
      </c>
      <c r="O183" s="1">
        <v>4453.45</v>
      </c>
      <c r="P183" s="1" t="s">
        <v>114</v>
      </c>
    </row>
    <row r="184" spans="1:16">
      <c r="A184" s="7">
        <v>40059</v>
      </c>
      <c r="B184" s="1">
        <v>978</v>
      </c>
      <c r="C184" s="1" t="s">
        <v>234</v>
      </c>
      <c r="D184" s="1">
        <v>3</v>
      </c>
      <c r="E184" s="1">
        <v>78</v>
      </c>
      <c r="F184" s="1">
        <v>23</v>
      </c>
      <c r="G184" s="1" t="s">
        <v>11</v>
      </c>
      <c r="H184" s="1">
        <v>1758</v>
      </c>
      <c r="K184" s="1" t="s">
        <v>68</v>
      </c>
      <c r="L184" s="1" t="s">
        <v>242</v>
      </c>
      <c r="M184" s="1" t="s">
        <v>243</v>
      </c>
      <c r="N184" s="1" t="s">
        <v>244</v>
      </c>
      <c r="O184" s="1">
        <v>1472.22</v>
      </c>
      <c r="P184" s="1" t="s">
        <v>114</v>
      </c>
    </row>
    <row r="185" spans="1:16">
      <c r="A185" s="7">
        <v>40059</v>
      </c>
      <c r="B185" s="1">
        <v>1298</v>
      </c>
      <c r="C185" s="1" t="s">
        <v>234</v>
      </c>
      <c r="D185" s="1">
        <v>3</v>
      </c>
      <c r="E185" s="1">
        <v>39</v>
      </c>
      <c r="F185" s="1">
        <v>23</v>
      </c>
      <c r="G185" s="1" t="s">
        <v>11</v>
      </c>
      <c r="H185" s="1">
        <v>1756</v>
      </c>
      <c r="K185" s="1" t="s">
        <v>69</v>
      </c>
      <c r="L185" s="1" t="s">
        <v>242</v>
      </c>
      <c r="M185" s="1" t="s">
        <v>243</v>
      </c>
      <c r="N185" s="1" t="s">
        <v>244</v>
      </c>
      <c r="O185" s="1">
        <v>1198.76</v>
      </c>
      <c r="P185" s="1" t="s">
        <v>114</v>
      </c>
    </row>
    <row r="186" spans="1:16">
      <c r="A186" s="7">
        <v>40059</v>
      </c>
      <c r="B186" s="1">
        <v>941</v>
      </c>
      <c r="C186" s="1" t="s">
        <v>234</v>
      </c>
      <c r="D186" s="1">
        <v>1</v>
      </c>
      <c r="E186" s="1">
        <v>523.79999999999995</v>
      </c>
      <c r="F186" s="1">
        <v>23</v>
      </c>
      <c r="G186" s="1" t="s">
        <v>12</v>
      </c>
      <c r="H186" s="1">
        <v>1449</v>
      </c>
      <c r="K186" s="1" t="s">
        <v>70</v>
      </c>
      <c r="L186" s="1" t="s">
        <v>242</v>
      </c>
      <c r="M186" s="1" t="s">
        <v>243</v>
      </c>
      <c r="N186" s="1" t="s">
        <v>244</v>
      </c>
      <c r="O186" s="1">
        <v>996.98</v>
      </c>
      <c r="P186" s="1" t="s">
        <v>114</v>
      </c>
    </row>
    <row r="187" spans="1:16">
      <c r="A187" s="7">
        <v>40059</v>
      </c>
      <c r="B187" s="1">
        <v>952</v>
      </c>
      <c r="C187" s="1" t="s">
        <v>234</v>
      </c>
      <c r="D187" s="1">
        <v>3</v>
      </c>
      <c r="E187" s="1">
        <v>481.69</v>
      </c>
      <c r="F187" s="1">
        <v>23</v>
      </c>
      <c r="G187" s="1" t="s">
        <v>12</v>
      </c>
      <c r="H187" s="1">
        <v>846</v>
      </c>
      <c r="K187" s="1" t="s">
        <v>70</v>
      </c>
      <c r="L187" s="1" t="s">
        <v>242</v>
      </c>
      <c r="M187" s="1" t="s">
        <v>243</v>
      </c>
      <c r="N187" s="1" t="s">
        <v>244</v>
      </c>
      <c r="O187" s="1">
        <v>880.04</v>
      </c>
      <c r="P187" s="1" t="s">
        <v>114</v>
      </c>
    </row>
    <row r="188" spans="1:16">
      <c r="A188" s="7">
        <v>40059</v>
      </c>
      <c r="B188" s="1">
        <v>926</v>
      </c>
      <c r="C188" s="1" t="s">
        <v>235</v>
      </c>
      <c r="D188" s="1">
        <v>4</v>
      </c>
      <c r="E188" s="1">
        <v>565.59</v>
      </c>
      <c r="F188" s="1">
        <v>23</v>
      </c>
      <c r="G188" s="1" t="s">
        <v>13</v>
      </c>
      <c r="H188" s="1">
        <v>395</v>
      </c>
      <c r="K188" s="1" t="s">
        <v>70</v>
      </c>
      <c r="L188" s="1" t="s">
        <v>242</v>
      </c>
      <c r="M188" s="1" t="s">
        <v>243</v>
      </c>
      <c r="N188" s="1" t="s">
        <v>244</v>
      </c>
      <c r="O188" s="1">
        <v>1379.29</v>
      </c>
      <c r="P188" s="1" t="s">
        <v>114</v>
      </c>
    </row>
    <row r="189" spans="1:16">
      <c r="A189" s="7">
        <v>40059</v>
      </c>
      <c r="B189" s="1">
        <v>930</v>
      </c>
      <c r="C189" s="1" t="s">
        <v>234</v>
      </c>
      <c r="D189" s="1">
        <v>4</v>
      </c>
      <c r="E189" s="1">
        <v>940.5</v>
      </c>
      <c r="F189" s="1">
        <v>23</v>
      </c>
      <c r="G189" s="1" t="s">
        <v>13</v>
      </c>
      <c r="H189" s="1">
        <v>1274</v>
      </c>
      <c r="K189" s="1" t="s">
        <v>70</v>
      </c>
      <c r="L189" s="1" t="s">
        <v>242</v>
      </c>
      <c r="M189" s="1" t="s">
        <v>243</v>
      </c>
      <c r="N189" s="1" t="s">
        <v>244</v>
      </c>
      <c r="O189" s="1">
        <v>218.02</v>
      </c>
      <c r="P189" s="1" t="s">
        <v>114</v>
      </c>
    </row>
    <row r="190" spans="1:16">
      <c r="A190" s="7">
        <v>40059</v>
      </c>
      <c r="B190" s="1">
        <v>945</v>
      </c>
      <c r="C190" s="1" t="s">
        <v>234</v>
      </c>
      <c r="D190" s="1">
        <v>1</v>
      </c>
      <c r="E190" s="1">
        <v>600.45000000000005</v>
      </c>
      <c r="F190" s="1">
        <v>23</v>
      </c>
      <c r="G190" s="1" t="s">
        <v>13</v>
      </c>
      <c r="H190" s="1">
        <v>1086</v>
      </c>
      <c r="K190" s="1" t="s">
        <v>71</v>
      </c>
      <c r="L190" s="1" t="s">
        <v>242</v>
      </c>
      <c r="M190" s="1" t="s">
        <v>243</v>
      </c>
      <c r="N190" s="1" t="s">
        <v>244</v>
      </c>
      <c r="O190" s="1">
        <v>310.79000000000002</v>
      </c>
      <c r="P190" s="1" t="s">
        <v>114</v>
      </c>
    </row>
    <row r="191" spans="1:16">
      <c r="A191" s="7">
        <v>40059</v>
      </c>
      <c r="B191" s="1">
        <v>950</v>
      </c>
      <c r="C191" s="1" t="s">
        <v>234</v>
      </c>
      <c r="D191" s="1">
        <v>3</v>
      </c>
      <c r="E191" s="1">
        <v>973.14</v>
      </c>
      <c r="F191" s="1">
        <v>23</v>
      </c>
      <c r="G191" s="1" t="s">
        <v>13</v>
      </c>
      <c r="H191" s="1">
        <v>1808</v>
      </c>
      <c r="K191" s="1" t="s">
        <v>71</v>
      </c>
      <c r="L191" s="1" t="s">
        <v>242</v>
      </c>
      <c r="M191" s="1" t="s">
        <v>243</v>
      </c>
      <c r="N191" s="1" t="s">
        <v>244</v>
      </c>
      <c r="O191" s="1">
        <v>134.46</v>
      </c>
      <c r="P191" s="1" t="s">
        <v>114</v>
      </c>
    </row>
    <row r="192" spans="1:16">
      <c r="A192" s="7">
        <v>40059</v>
      </c>
      <c r="B192" s="1">
        <v>921</v>
      </c>
      <c r="C192" s="1" t="s">
        <v>234</v>
      </c>
      <c r="D192" s="1">
        <v>4</v>
      </c>
      <c r="E192" s="1">
        <v>783.75</v>
      </c>
      <c r="F192" s="1">
        <v>23</v>
      </c>
      <c r="G192" s="1" t="s">
        <v>3</v>
      </c>
      <c r="H192" s="1">
        <v>1337</v>
      </c>
      <c r="K192" s="1" t="s">
        <v>71</v>
      </c>
      <c r="L192" s="1" t="s">
        <v>242</v>
      </c>
      <c r="M192" s="1" t="s">
        <v>243</v>
      </c>
      <c r="N192" s="1" t="s">
        <v>244</v>
      </c>
      <c r="O192" s="1">
        <v>342.52</v>
      </c>
      <c r="P192" s="1" t="s">
        <v>114</v>
      </c>
    </row>
    <row r="193" spans="1:16">
      <c r="A193" s="7">
        <v>40059</v>
      </c>
      <c r="B193" s="1">
        <v>933</v>
      </c>
      <c r="C193" s="1" t="s">
        <v>234</v>
      </c>
      <c r="D193" s="1">
        <v>8</v>
      </c>
      <c r="E193" s="1">
        <v>1034.55</v>
      </c>
      <c r="F193" s="1">
        <v>23</v>
      </c>
      <c r="G193" s="1" t="s">
        <v>3</v>
      </c>
      <c r="H193" s="1">
        <v>1812</v>
      </c>
      <c r="K193" s="1" t="s">
        <v>71</v>
      </c>
      <c r="L193" s="1" t="s">
        <v>242</v>
      </c>
      <c r="M193" s="1" t="s">
        <v>243</v>
      </c>
      <c r="N193" s="1" t="s">
        <v>244</v>
      </c>
      <c r="O193" s="1">
        <v>113.22</v>
      </c>
      <c r="P193" s="1" t="s">
        <v>114</v>
      </c>
    </row>
    <row r="194" spans="1:16">
      <c r="A194" s="7">
        <v>40059</v>
      </c>
      <c r="B194" s="1">
        <v>942</v>
      </c>
      <c r="C194" s="1" t="s">
        <v>235</v>
      </c>
      <c r="D194" s="1">
        <v>4</v>
      </c>
      <c r="E194" s="1">
        <v>470.25</v>
      </c>
      <c r="F194" s="1">
        <v>23</v>
      </c>
      <c r="G194" s="1" t="s">
        <v>3</v>
      </c>
      <c r="H194" s="1">
        <v>2085</v>
      </c>
      <c r="K194" s="1" t="s">
        <v>90</v>
      </c>
      <c r="L194" s="1" t="s">
        <v>245</v>
      </c>
      <c r="M194" s="1" t="s">
        <v>246</v>
      </c>
      <c r="N194" s="1" t="s">
        <v>255</v>
      </c>
      <c r="O194" s="1">
        <v>442.1</v>
      </c>
      <c r="P194" s="1" t="s">
        <v>115</v>
      </c>
    </row>
    <row r="195" spans="1:16">
      <c r="A195" s="7">
        <v>40059</v>
      </c>
      <c r="B195" s="1">
        <v>927</v>
      </c>
      <c r="C195" s="1" t="s">
        <v>235</v>
      </c>
      <c r="D195" s="1">
        <v>4</v>
      </c>
      <c r="E195" s="1">
        <v>45</v>
      </c>
      <c r="F195" s="1">
        <v>23</v>
      </c>
      <c r="G195" s="1" t="s">
        <v>15</v>
      </c>
      <c r="H195" s="1">
        <v>1092</v>
      </c>
      <c r="K195" s="1" t="s">
        <v>116</v>
      </c>
      <c r="L195" s="1" t="s">
        <v>245</v>
      </c>
      <c r="M195" s="1" t="s">
        <v>246</v>
      </c>
      <c r="N195" s="1" t="s">
        <v>255</v>
      </c>
      <c r="O195" s="1">
        <v>78.900000000000006</v>
      </c>
      <c r="P195" s="1" t="s">
        <v>117</v>
      </c>
    </row>
    <row r="196" spans="1:16">
      <c r="A196" s="7">
        <v>40059</v>
      </c>
      <c r="B196" s="1">
        <v>937</v>
      </c>
      <c r="C196" s="1" t="s">
        <v>235</v>
      </c>
      <c r="D196" s="1">
        <v>1</v>
      </c>
      <c r="E196" s="1">
        <v>858.88</v>
      </c>
      <c r="F196" s="1">
        <v>23</v>
      </c>
      <c r="G196" s="1" t="s">
        <v>5</v>
      </c>
      <c r="H196" s="1">
        <v>2083</v>
      </c>
      <c r="K196" s="1" t="s">
        <v>90</v>
      </c>
      <c r="L196" s="1" t="s">
        <v>245</v>
      </c>
      <c r="M196" s="1" t="s">
        <v>246</v>
      </c>
      <c r="N196" s="1" t="s">
        <v>255</v>
      </c>
      <c r="O196" s="1">
        <v>312.13</v>
      </c>
      <c r="P196" s="1" t="s">
        <v>118</v>
      </c>
    </row>
    <row r="197" spans="1:16">
      <c r="A197" s="7">
        <v>40059</v>
      </c>
      <c r="B197" s="1">
        <v>938</v>
      </c>
      <c r="C197" s="1" t="s">
        <v>235</v>
      </c>
      <c r="D197" s="1">
        <v>1</v>
      </c>
      <c r="E197" s="1">
        <v>858.88</v>
      </c>
      <c r="F197" s="1">
        <v>23</v>
      </c>
      <c r="G197" s="1" t="s">
        <v>5</v>
      </c>
      <c r="H197" s="1">
        <v>2084</v>
      </c>
      <c r="K197" s="1" t="s">
        <v>92</v>
      </c>
      <c r="L197" s="1" t="s">
        <v>245</v>
      </c>
      <c r="M197" s="1" t="s">
        <v>246</v>
      </c>
      <c r="N197" s="1" t="s">
        <v>255</v>
      </c>
      <c r="O197" s="1">
        <v>3486</v>
      </c>
      <c r="P197" s="1" t="s">
        <v>118</v>
      </c>
    </row>
    <row r="198" spans="1:16">
      <c r="A198" s="7">
        <v>40059</v>
      </c>
      <c r="B198" s="1">
        <v>940</v>
      </c>
      <c r="C198" s="1" t="s">
        <v>234</v>
      </c>
      <c r="D198" s="1">
        <v>1</v>
      </c>
      <c r="E198" s="1">
        <v>635</v>
      </c>
      <c r="F198" s="1">
        <v>23</v>
      </c>
      <c r="G198" s="1" t="s">
        <v>5</v>
      </c>
      <c r="H198" s="1">
        <v>1914</v>
      </c>
      <c r="K198" s="1" t="s">
        <v>94</v>
      </c>
      <c r="L198" s="1" t="s">
        <v>245</v>
      </c>
      <c r="M198" s="1" t="s">
        <v>246</v>
      </c>
      <c r="N198" s="1" t="s">
        <v>255</v>
      </c>
      <c r="O198" s="1">
        <v>1137.75</v>
      </c>
      <c r="P198" s="1" t="s">
        <v>119</v>
      </c>
    </row>
    <row r="199" spans="1:16">
      <c r="A199" s="7">
        <v>40059</v>
      </c>
      <c r="B199" s="1">
        <v>943</v>
      </c>
      <c r="C199" s="1" t="s">
        <v>235</v>
      </c>
      <c r="D199" s="1">
        <v>1</v>
      </c>
      <c r="E199" s="1">
        <v>437.44</v>
      </c>
      <c r="F199" s="1">
        <v>23</v>
      </c>
      <c r="G199" s="1" t="s">
        <v>5</v>
      </c>
      <c r="H199" s="1">
        <v>1895</v>
      </c>
      <c r="K199" s="1" t="s">
        <v>83</v>
      </c>
      <c r="L199" s="1" t="s">
        <v>245</v>
      </c>
      <c r="M199" s="1" t="s">
        <v>246</v>
      </c>
      <c r="N199" s="1" t="s">
        <v>260</v>
      </c>
      <c r="O199" s="1">
        <v>-82.25</v>
      </c>
      <c r="P199" s="1" t="s">
        <v>119</v>
      </c>
    </row>
    <row r="200" spans="1:16">
      <c r="A200" s="7">
        <v>40059</v>
      </c>
      <c r="B200" s="1">
        <v>929</v>
      </c>
      <c r="C200" s="1" t="s">
        <v>234</v>
      </c>
      <c r="D200" s="1">
        <v>4</v>
      </c>
      <c r="E200" s="1">
        <v>481.37</v>
      </c>
      <c r="F200" s="1">
        <v>23</v>
      </c>
      <c r="G200" s="1" t="s">
        <v>6</v>
      </c>
      <c r="H200" s="1">
        <v>22</v>
      </c>
      <c r="K200" s="1" t="s">
        <v>74</v>
      </c>
      <c r="L200" s="1" t="s">
        <v>245</v>
      </c>
      <c r="M200" s="1" t="s">
        <v>246</v>
      </c>
      <c r="N200" s="1" t="s">
        <v>247</v>
      </c>
      <c r="O200" s="1">
        <v>14716.79</v>
      </c>
      <c r="P200" s="1" t="s">
        <v>120</v>
      </c>
    </row>
    <row r="201" spans="1:16">
      <c r="A201" s="7">
        <v>40059</v>
      </c>
      <c r="B201" s="1">
        <v>944</v>
      </c>
      <c r="C201" s="1" t="s">
        <v>234</v>
      </c>
      <c r="D201" s="1">
        <v>1</v>
      </c>
      <c r="E201" s="1">
        <v>532.99</v>
      </c>
      <c r="F201" s="1">
        <v>23</v>
      </c>
      <c r="G201" s="1" t="s">
        <v>6</v>
      </c>
      <c r="H201" s="1">
        <v>1726</v>
      </c>
      <c r="K201" s="1" t="s">
        <v>98</v>
      </c>
      <c r="L201" s="1" t="s">
        <v>245</v>
      </c>
      <c r="M201" s="1" t="s">
        <v>246</v>
      </c>
      <c r="N201" s="1" t="s">
        <v>247</v>
      </c>
      <c r="O201" s="1">
        <v>136</v>
      </c>
      <c r="P201" s="1" t="s">
        <v>120</v>
      </c>
    </row>
    <row r="202" spans="1:16">
      <c r="A202" s="7">
        <v>40089</v>
      </c>
      <c r="B202" s="1">
        <v>511</v>
      </c>
      <c r="C202" s="1" t="s">
        <v>234</v>
      </c>
      <c r="D202" s="1">
        <v>4</v>
      </c>
      <c r="E202" s="1">
        <v>299507</v>
      </c>
      <c r="F202" s="1">
        <v>23</v>
      </c>
      <c r="G202" s="1" t="s">
        <v>26</v>
      </c>
      <c r="H202" s="1">
        <v>253</v>
      </c>
      <c r="K202" s="1" t="s">
        <v>74</v>
      </c>
      <c r="L202" s="1" t="s">
        <v>245</v>
      </c>
      <c r="M202" s="1" t="s">
        <v>246</v>
      </c>
      <c r="N202" s="1" t="s">
        <v>247</v>
      </c>
      <c r="O202" s="1">
        <v>5152.59</v>
      </c>
      <c r="P202" s="1" t="s">
        <v>120</v>
      </c>
    </row>
    <row r="203" spans="1:16">
      <c r="A203" s="7">
        <v>40120</v>
      </c>
      <c r="B203" s="1">
        <v>1505</v>
      </c>
      <c r="C203" s="1" t="s">
        <v>235</v>
      </c>
      <c r="D203" s="1">
        <v>4</v>
      </c>
      <c r="E203" s="1">
        <v>4.5</v>
      </c>
      <c r="F203" s="1">
        <v>23</v>
      </c>
      <c r="G203" s="1" t="s">
        <v>14</v>
      </c>
      <c r="H203" s="1">
        <v>1350</v>
      </c>
      <c r="K203" s="1" t="s">
        <v>121</v>
      </c>
      <c r="L203" s="1" t="s">
        <v>245</v>
      </c>
      <c r="M203" s="1" t="s">
        <v>246</v>
      </c>
      <c r="N203" s="1" t="s">
        <v>247</v>
      </c>
      <c r="O203" s="1">
        <v>62.5</v>
      </c>
      <c r="P203" s="1" t="s">
        <v>120</v>
      </c>
    </row>
    <row r="204" spans="1:16">
      <c r="A204" s="7">
        <v>40120</v>
      </c>
      <c r="B204" s="1">
        <v>1501</v>
      </c>
      <c r="C204" s="1" t="s">
        <v>234</v>
      </c>
      <c r="D204" s="1">
        <v>4</v>
      </c>
      <c r="E204" s="1">
        <v>80</v>
      </c>
      <c r="F204" s="1">
        <v>23</v>
      </c>
      <c r="G204" s="1" t="s">
        <v>18</v>
      </c>
      <c r="H204" s="1">
        <v>2189</v>
      </c>
      <c r="K204" s="1" t="s">
        <v>74</v>
      </c>
      <c r="L204" s="1" t="s">
        <v>245</v>
      </c>
      <c r="M204" s="1" t="s">
        <v>246</v>
      </c>
      <c r="N204" s="1" t="s">
        <v>247</v>
      </c>
      <c r="O204" s="1">
        <v>540</v>
      </c>
      <c r="P204" s="1" t="s">
        <v>120</v>
      </c>
    </row>
    <row r="205" spans="1:16">
      <c r="A205" s="7">
        <v>40120</v>
      </c>
      <c r="B205" s="1">
        <v>1502</v>
      </c>
      <c r="C205" s="1" t="s">
        <v>234</v>
      </c>
      <c r="D205" s="1">
        <v>4</v>
      </c>
      <c r="E205" s="1">
        <v>15</v>
      </c>
      <c r="F205" s="1">
        <v>23</v>
      </c>
      <c r="G205" s="1" t="s">
        <v>18</v>
      </c>
      <c r="H205" s="1">
        <v>1398</v>
      </c>
      <c r="K205" s="1" t="s">
        <v>76</v>
      </c>
      <c r="L205" s="1" t="s">
        <v>248</v>
      </c>
      <c r="M205" s="1" t="s">
        <v>249</v>
      </c>
      <c r="N205" s="1" t="s">
        <v>250</v>
      </c>
      <c r="O205" s="1">
        <v>429.5</v>
      </c>
      <c r="P205" s="1" t="s">
        <v>120</v>
      </c>
    </row>
    <row r="206" spans="1:16">
      <c r="A206" s="7">
        <v>40120</v>
      </c>
      <c r="B206" s="1">
        <v>1504</v>
      </c>
      <c r="C206" s="1" t="s">
        <v>234</v>
      </c>
      <c r="D206" s="1">
        <v>4</v>
      </c>
      <c r="E206" s="1">
        <v>80</v>
      </c>
      <c r="F206" s="1">
        <v>23</v>
      </c>
      <c r="G206" s="1" t="s">
        <v>18</v>
      </c>
      <c r="H206" s="1">
        <v>1572</v>
      </c>
      <c r="K206" s="1" t="s">
        <v>76</v>
      </c>
      <c r="L206" s="1" t="s">
        <v>248</v>
      </c>
      <c r="M206" s="1" t="s">
        <v>249</v>
      </c>
      <c r="N206" s="1" t="s">
        <v>250</v>
      </c>
      <c r="O206" s="1">
        <v>859</v>
      </c>
      <c r="P206" s="1" t="s">
        <v>120</v>
      </c>
    </row>
    <row r="207" spans="1:16">
      <c r="A207" s="7">
        <v>40120</v>
      </c>
      <c r="B207" s="1">
        <v>1520</v>
      </c>
      <c r="C207" s="1" t="s">
        <v>234</v>
      </c>
      <c r="D207" s="1">
        <v>4</v>
      </c>
      <c r="E207" s="1">
        <v>65</v>
      </c>
      <c r="F207" s="1">
        <v>23</v>
      </c>
      <c r="G207" s="1" t="s">
        <v>18</v>
      </c>
      <c r="H207" s="1">
        <v>2190</v>
      </c>
      <c r="K207" s="1" t="s">
        <v>76</v>
      </c>
      <c r="L207" s="1" t="s">
        <v>248</v>
      </c>
      <c r="M207" s="1" t="s">
        <v>249</v>
      </c>
      <c r="N207" s="1" t="s">
        <v>250</v>
      </c>
      <c r="O207" s="1">
        <v>304</v>
      </c>
      <c r="P207" s="1" t="s">
        <v>120</v>
      </c>
    </row>
    <row r="208" spans="1:16">
      <c r="A208" s="7">
        <v>40182</v>
      </c>
      <c r="B208" s="1">
        <v>1569</v>
      </c>
      <c r="C208" s="1" t="s">
        <v>234</v>
      </c>
      <c r="D208" s="1">
        <v>1</v>
      </c>
      <c r="E208" s="1">
        <v>753.51</v>
      </c>
      <c r="F208" s="1">
        <v>23</v>
      </c>
      <c r="G208" s="1" t="s">
        <v>28</v>
      </c>
      <c r="H208" s="1">
        <v>2199</v>
      </c>
      <c r="K208" s="1" t="s">
        <v>75</v>
      </c>
      <c r="L208" s="1" t="s">
        <v>245</v>
      </c>
      <c r="M208" s="1" t="s">
        <v>246</v>
      </c>
      <c r="N208" s="1" t="s">
        <v>250</v>
      </c>
      <c r="O208" s="1">
        <v>17</v>
      </c>
      <c r="P208" s="1" t="s">
        <v>120</v>
      </c>
    </row>
    <row r="209" spans="1:16">
      <c r="A209" s="7">
        <v>40182</v>
      </c>
      <c r="B209" s="1">
        <v>1570</v>
      </c>
      <c r="C209" s="1" t="s">
        <v>234</v>
      </c>
      <c r="D209" s="1">
        <v>4</v>
      </c>
      <c r="E209" s="1">
        <v>75</v>
      </c>
      <c r="F209" s="1">
        <v>23</v>
      </c>
      <c r="G209" s="1" t="s">
        <v>24</v>
      </c>
      <c r="H209" s="1">
        <v>1904</v>
      </c>
      <c r="K209" s="1" t="s">
        <v>76</v>
      </c>
      <c r="L209" s="1" t="s">
        <v>245</v>
      </c>
      <c r="M209" s="1" t="s">
        <v>246</v>
      </c>
      <c r="N209" s="1" t="s">
        <v>250</v>
      </c>
      <c r="O209" s="1">
        <v>1440</v>
      </c>
      <c r="P209" s="1" t="s">
        <v>120</v>
      </c>
    </row>
    <row r="210" spans="1:16">
      <c r="A210" s="7">
        <v>39848</v>
      </c>
      <c r="B210" s="1">
        <v>134</v>
      </c>
      <c r="C210" s="1" t="s">
        <v>234</v>
      </c>
      <c r="D210" s="1">
        <v>3</v>
      </c>
      <c r="E210" s="1">
        <v>742</v>
      </c>
      <c r="F210" s="1">
        <v>23</v>
      </c>
      <c r="G210" s="1" t="s">
        <v>34</v>
      </c>
      <c r="H210" s="1">
        <v>0</v>
      </c>
      <c r="K210" s="1" t="s">
        <v>122</v>
      </c>
      <c r="L210" s="1" t="s">
        <v>245</v>
      </c>
      <c r="M210" s="1" t="s">
        <v>246</v>
      </c>
      <c r="N210" s="1" t="s">
        <v>250</v>
      </c>
      <c r="O210" s="1">
        <v>1016.69</v>
      </c>
      <c r="P210" s="1" t="s">
        <v>120</v>
      </c>
    </row>
    <row r="211" spans="1:16">
      <c r="A211" s="7">
        <v>39848</v>
      </c>
      <c r="B211" s="1">
        <v>99</v>
      </c>
      <c r="C211" s="1" t="s">
        <v>234</v>
      </c>
      <c r="D211" s="1">
        <v>4</v>
      </c>
      <c r="E211" s="1">
        <v>582.65</v>
      </c>
      <c r="F211" s="1">
        <v>23</v>
      </c>
      <c r="G211" s="1" t="s">
        <v>12</v>
      </c>
      <c r="H211" s="1">
        <v>1794</v>
      </c>
      <c r="K211" s="1" t="s">
        <v>76</v>
      </c>
      <c r="L211" s="1" t="s">
        <v>245</v>
      </c>
      <c r="M211" s="1" t="s">
        <v>246</v>
      </c>
      <c r="N211" s="1" t="s">
        <v>250</v>
      </c>
      <c r="O211" s="1">
        <v>624</v>
      </c>
      <c r="P211" s="1" t="s">
        <v>120</v>
      </c>
    </row>
    <row r="212" spans="1:16">
      <c r="A212" s="7">
        <v>39848</v>
      </c>
      <c r="B212" s="1">
        <v>106</v>
      </c>
      <c r="C212" s="1" t="s">
        <v>234</v>
      </c>
      <c r="D212" s="1">
        <v>4</v>
      </c>
      <c r="E212" s="1">
        <v>903.29</v>
      </c>
      <c r="F212" s="1">
        <v>23</v>
      </c>
      <c r="G212" s="1" t="s">
        <v>12</v>
      </c>
      <c r="H212" s="1">
        <v>0</v>
      </c>
      <c r="K212" s="1" t="s">
        <v>122</v>
      </c>
      <c r="L212" s="1" t="s">
        <v>245</v>
      </c>
      <c r="M212" s="1" t="s">
        <v>246</v>
      </c>
      <c r="N212" s="1" t="s">
        <v>250</v>
      </c>
      <c r="O212" s="1">
        <v>821.9</v>
      </c>
      <c r="P212" s="1" t="s">
        <v>120</v>
      </c>
    </row>
    <row r="213" spans="1:16">
      <c r="A213" s="7">
        <v>39848</v>
      </c>
      <c r="B213" s="1">
        <v>107</v>
      </c>
      <c r="C213" s="1" t="s">
        <v>234</v>
      </c>
      <c r="D213" s="1">
        <v>1</v>
      </c>
      <c r="E213" s="1">
        <v>487.8</v>
      </c>
      <c r="F213" s="1">
        <v>23</v>
      </c>
      <c r="G213" s="1" t="s">
        <v>12</v>
      </c>
      <c r="H213" s="1">
        <v>399</v>
      </c>
      <c r="K213" s="1" t="s">
        <v>122</v>
      </c>
      <c r="L213" s="1" t="s">
        <v>245</v>
      </c>
      <c r="M213" s="1" t="s">
        <v>246</v>
      </c>
      <c r="N213" s="1" t="s">
        <v>250</v>
      </c>
      <c r="O213" s="1">
        <v>657.52</v>
      </c>
      <c r="P213" s="1" t="s">
        <v>120</v>
      </c>
    </row>
    <row r="214" spans="1:16">
      <c r="A214" s="7">
        <v>39848</v>
      </c>
      <c r="B214" s="1">
        <v>112</v>
      </c>
      <c r="C214" s="1" t="s">
        <v>234</v>
      </c>
      <c r="D214" s="1">
        <v>3</v>
      </c>
      <c r="E214" s="1">
        <v>686.5</v>
      </c>
      <c r="F214" s="1">
        <v>23</v>
      </c>
      <c r="G214" s="1" t="s">
        <v>12</v>
      </c>
      <c r="H214" s="1">
        <v>846</v>
      </c>
      <c r="K214" s="1" t="s">
        <v>76</v>
      </c>
      <c r="L214" s="1" t="s">
        <v>245</v>
      </c>
      <c r="M214" s="1" t="s">
        <v>246</v>
      </c>
      <c r="N214" s="1" t="s">
        <v>250</v>
      </c>
      <c r="O214" s="1">
        <v>998.4</v>
      </c>
      <c r="P214" s="1" t="s">
        <v>120</v>
      </c>
    </row>
    <row r="215" spans="1:16">
      <c r="A215" s="7">
        <v>39848</v>
      </c>
      <c r="B215" s="1">
        <v>100</v>
      </c>
      <c r="C215" s="1" t="s">
        <v>234</v>
      </c>
      <c r="D215" s="1">
        <v>4</v>
      </c>
      <c r="E215" s="1">
        <v>980.65</v>
      </c>
      <c r="F215" s="1">
        <v>23</v>
      </c>
      <c r="G215" s="1" t="s">
        <v>13</v>
      </c>
      <c r="H215" s="1">
        <v>1426</v>
      </c>
      <c r="K215" s="1" t="s">
        <v>72</v>
      </c>
      <c r="L215" s="1" t="s">
        <v>245</v>
      </c>
      <c r="M215" s="1" t="s">
        <v>246</v>
      </c>
      <c r="N215" s="1" t="s">
        <v>250</v>
      </c>
      <c r="O215" s="1">
        <v>306</v>
      </c>
      <c r="P215" s="1" t="s">
        <v>120</v>
      </c>
    </row>
    <row r="216" spans="1:16">
      <c r="A216" s="7">
        <v>39848</v>
      </c>
      <c r="B216" s="1">
        <v>104</v>
      </c>
      <c r="C216" s="1" t="s">
        <v>234</v>
      </c>
      <c r="D216" s="1">
        <v>4</v>
      </c>
      <c r="E216" s="1">
        <v>1429</v>
      </c>
      <c r="F216" s="1">
        <v>23</v>
      </c>
      <c r="G216" s="1" t="s">
        <v>13</v>
      </c>
      <c r="H216" s="1">
        <v>0</v>
      </c>
      <c r="K216" s="1" t="s">
        <v>82</v>
      </c>
      <c r="L216" s="1" t="s">
        <v>245</v>
      </c>
      <c r="M216" s="1" t="s">
        <v>246</v>
      </c>
      <c r="N216" s="1" t="s">
        <v>250</v>
      </c>
      <c r="O216" s="1">
        <v>61.72</v>
      </c>
      <c r="P216" s="1" t="s">
        <v>120</v>
      </c>
    </row>
    <row r="217" spans="1:16">
      <c r="A217" s="7">
        <v>39848</v>
      </c>
      <c r="B217" s="1">
        <v>109</v>
      </c>
      <c r="C217" s="1" t="s">
        <v>235</v>
      </c>
      <c r="D217" s="1">
        <v>4</v>
      </c>
      <c r="E217" s="1">
        <v>596.94000000000005</v>
      </c>
      <c r="F217" s="1">
        <v>23</v>
      </c>
      <c r="G217" s="1" t="s">
        <v>13</v>
      </c>
      <c r="H217" s="1">
        <v>1138</v>
      </c>
      <c r="K217" s="1" t="s">
        <v>98</v>
      </c>
      <c r="L217" s="1" t="s">
        <v>245</v>
      </c>
      <c r="M217" s="1" t="s">
        <v>246</v>
      </c>
      <c r="N217" s="1" t="s">
        <v>250</v>
      </c>
      <c r="O217" s="1">
        <v>8</v>
      </c>
      <c r="P217" s="1" t="s">
        <v>120</v>
      </c>
    </row>
    <row r="218" spans="1:16">
      <c r="A218" s="7">
        <v>39848</v>
      </c>
      <c r="B218" s="1">
        <v>110</v>
      </c>
      <c r="C218" s="1" t="s">
        <v>235</v>
      </c>
      <c r="D218" s="1">
        <v>4</v>
      </c>
      <c r="E218" s="1">
        <v>424.52</v>
      </c>
      <c r="F218" s="1">
        <v>23</v>
      </c>
      <c r="G218" s="1" t="s">
        <v>13</v>
      </c>
      <c r="H218" s="1">
        <v>1102</v>
      </c>
      <c r="K218" s="1" t="s">
        <v>79</v>
      </c>
      <c r="L218" s="1" t="s">
        <v>248</v>
      </c>
      <c r="M218" s="1" t="s">
        <v>249</v>
      </c>
      <c r="N218" s="1" t="s">
        <v>251</v>
      </c>
      <c r="O218" s="1">
        <v>0.6</v>
      </c>
      <c r="P218" s="1" t="s">
        <v>120</v>
      </c>
    </row>
    <row r="219" spans="1:16">
      <c r="A219" s="7">
        <v>39848</v>
      </c>
      <c r="B219" s="1">
        <v>113</v>
      </c>
      <c r="C219" s="1" t="s">
        <v>234</v>
      </c>
      <c r="D219" s="1">
        <v>3</v>
      </c>
      <c r="E219" s="1">
        <v>501.6</v>
      </c>
      <c r="F219" s="1">
        <v>23</v>
      </c>
      <c r="G219" s="1" t="s">
        <v>13</v>
      </c>
      <c r="H219" s="1">
        <v>1108</v>
      </c>
      <c r="K219" s="1" t="s">
        <v>79</v>
      </c>
      <c r="L219" s="1" t="s">
        <v>245</v>
      </c>
      <c r="M219" s="1" t="s">
        <v>246</v>
      </c>
      <c r="N219" s="1" t="s">
        <v>251</v>
      </c>
      <c r="O219" s="1">
        <v>2.1</v>
      </c>
      <c r="P219" s="1" t="s">
        <v>120</v>
      </c>
    </row>
    <row r="220" spans="1:16">
      <c r="A220" s="7">
        <v>39848</v>
      </c>
      <c r="B220" s="1">
        <v>97</v>
      </c>
      <c r="C220" s="1" t="s">
        <v>235</v>
      </c>
      <c r="D220" s="1">
        <v>4</v>
      </c>
      <c r="E220" s="1">
        <v>595.65</v>
      </c>
      <c r="F220" s="1">
        <v>23</v>
      </c>
      <c r="G220" s="1" t="s">
        <v>3</v>
      </c>
      <c r="H220" s="1">
        <v>1343</v>
      </c>
      <c r="K220" s="1" t="s">
        <v>79</v>
      </c>
      <c r="L220" s="1" t="s">
        <v>245</v>
      </c>
      <c r="M220" s="1" t="s">
        <v>246</v>
      </c>
      <c r="N220" s="1" t="s">
        <v>251</v>
      </c>
      <c r="O220" s="1">
        <v>6</v>
      </c>
      <c r="P220" s="1" t="s">
        <v>120</v>
      </c>
    </row>
    <row r="221" spans="1:16">
      <c r="A221" s="7">
        <v>39848</v>
      </c>
      <c r="B221" s="1">
        <v>98</v>
      </c>
      <c r="C221" s="1" t="s">
        <v>234</v>
      </c>
      <c r="D221" s="1">
        <v>2</v>
      </c>
      <c r="E221" s="1">
        <v>516.47</v>
      </c>
      <c r="F221" s="1">
        <v>23</v>
      </c>
      <c r="G221" s="1" t="s">
        <v>28</v>
      </c>
      <c r="H221" s="1">
        <v>2008</v>
      </c>
      <c r="K221" s="1" t="s">
        <v>80</v>
      </c>
      <c r="L221" s="1" t="s">
        <v>248</v>
      </c>
      <c r="M221" s="1" t="s">
        <v>249</v>
      </c>
      <c r="N221" s="1" t="s">
        <v>252</v>
      </c>
      <c r="O221" s="1">
        <v>155.9</v>
      </c>
      <c r="P221" s="1" t="s">
        <v>120</v>
      </c>
    </row>
    <row r="222" spans="1:16">
      <c r="A222" s="7">
        <v>39848</v>
      </c>
      <c r="B222" s="1">
        <v>101</v>
      </c>
      <c r="C222" s="1" t="s">
        <v>234</v>
      </c>
      <c r="D222" s="1">
        <v>4</v>
      </c>
      <c r="E222" s="1">
        <v>498.38</v>
      </c>
      <c r="F222" s="1">
        <v>23</v>
      </c>
      <c r="G222" s="1" t="s">
        <v>29</v>
      </c>
      <c r="H222" s="1">
        <v>0</v>
      </c>
      <c r="K222" s="1" t="s">
        <v>82</v>
      </c>
      <c r="L222" s="1" t="s">
        <v>245</v>
      </c>
      <c r="M222" s="1" t="s">
        <v>246</v>
      </c>
      <c r="N222" s="1" t="s">
        <v>252</v>
      </c>
      <c r="O222" s="1">
        <v>137.51</v>
      </c>
      <c r="P222" s="1" t="s">
        <v>120</v>
      </c>
    </row>
    <row r="223" spans="1:16">
      <c r="A223" s="7">
        <v>39848</v>
      </c>
      <c r="B223" s="1">
        <v>102</v>
      </c>
      <c r="C223" s="1" t="s">
        <v>235</v>
      </c>
      <c r="D223" s="1">
        <v>1</v>
      </c>
      <c r="E223" s="1">
        <v>602.30999999999995</v>
      </c>
      <c r="F223" s="1">
        <v>23</v>
      </c>
      <c r="G223" s="1" t="s">
        <v>29</v>
      </c>
      <c r="H223" s="1">
        <v>603</v>
      </c>
      <c r="K223" s="1" t="s">
        <v>83</v>
      </c>
      <c r="L223" s="1" t="s">
        <v>245</v>
      </c>
      <c r="M223" s="1" t="s">
        <v>246</v>
      </c>
      <c r="N223" s="1" t="s">
        <v>252</v>
      </c>
      <c r="O223" s="1">
        <v>51.25</v>
      </c>
      <c r="P223" s="1" t="s">
        <v>120</v>
      </c>
    </row>
    <row r="224" spans="1:16">
      <c r="A224" s="7">
        <v>39848</v>
      </c>
      <c r="B224" s="1">
        <v>103</v>
      </c>
      <c r="C224" s="1" t="s">
        <v>234</v>
      </c>
      <c r="D224" s="1">
        <v>2</v>
      </c>
      <c r="E224" s="1">
        <v>348.61</v>
      </c>
      <c r="F224" s="1">
        <v>23</v>
      </c>
      <c r="G224" s="1" t="s">
        <v>29</v>
      </c>
      <c r="H224" s="1">
        <v>0</v>
      </c>
      <c r="K224" s="1" t="s">
        <v>80</v>
      </c>
      <c r="L224" s="1" t="s">
        <v>245</v>
      </c>
      <c r="M224" s="1" t="s">
        <v>246</v>
      </c>
      <c r="N224" s="1" t="s">
        <v>252</v>
      </c>
      <c r="O224" s="1">
        <v>22</v>
      </c>
      <c r="P224" s="1" t="s">
        <v>120</v>
      </c>
    </row>
    <row r="225" spans="1:16">
      <c r="A225" s="7">
        <v>39848</v>
      </c>
      <c r="B225" s="1">
        <v>108</v>
      </c>
      <c r="C225" s="1" t="s">
        <v>234</v>
      </c>
      <c r="D225" s="1">
        <v>1</v>
      </c>
      <c r="E225" s="1">
        <v>374.95</v>
      </c>
      <c r="F225" s="1">
        <v>23</v>
      </c>
      <c r="G225" s="1" t="s">
        <v>29</v>
      </c>
      <c r="H225" s="1">
        <v>1255</v>
      </c>
      <c r="K225" s="1" t="s">
        <v>80</v>
      </c>
      <c r="L225" s="1" t="s">
        <v>245</v>
      </c>
      <c r="M225" s="1" t="s">
        <v>246</v>
      </c>
      <c r="N225" s="1" t="s">
        <v>252</v>
      </c>
      <c r="O225" s="1">
        <v>18.75</v>
      </c>
      <c r="P225" s="1" t="s">
        <v>120</v>
      </c>
    </row>
    <row r="226" spans="1:16">
      <c r="A226" s="7">
        <v>39848</v>
      </c>
      <c r="B226" s="1">
        <v>111</v>
      </c>
      <c r="C226" s="1" t="s">
        <v>234</v>
      </c>
      <c r="D226" s="1">
        <v>4</v>
      </c>
      <c r="E226" s="1">
        <v>13.5</v>
      </c>
      <c r="F226" s="1">
        <v>23</v>
      </c>
      <c r="G226" s="1" t="s">
        <v>29</v>
      </c>
      <c r="H226" s="1">
        <v>305</v>
      </c>
      <c r="K226" s="1" t="s">
        <v>80</v>
      </c>
      <c r="L226" s="1" t="s">
        <v>245</v>
      </c>
      <c r="M226" s="1" t="s">
        <v>246</v>
      </c>
      <c r="N226" s="1" t="s">
        <v>252</v>
      </c>
      <c r="O226" s="1">
        <v>67.2</v>
      </c>
      <c r="P226" s="1" t="s">
        <v>120</v>
      </c>
    </row>
    <row r="227" spans="1:16">
      <c r="A227" s="7">
        <v>39848</v>
      </c>
      <c r="B227" s="1">
        <v>114</v>
      </c>
      <c r="C227" s="1" t="s">
        <v>234</v>
      </c>
      <c r="D227" s="1">
        <v>3</v>
      </c>
      <c r="E227" s="1">
        <v>374.95</v>
      </c>
      <c r="F227" s="1">
        <v>23</v>
      </c>
      <c r="G227" s="1" t="s">
        <v>29</v>
      </c>
      <c r="H227" s="1">
        <v>1728</v>
      </c>
      <c r="K227" s="1" t="s">
        <v>82</v>
      </c>
      <c r="L227" s="1" t="s">
        <v>245</v>
      </c>
      <c r="M227" s="1" t="s">
        <v>246</v>
      </c>
      <c r="N227" s="1" t="s">
        <v>252</v>
      </c>
      <c r="O227" s="1">
        <v>38.53</v>
      </c>
      <c r="P227" s="1" t="s">
        <v>120</v>
      </c>
    </row>
    <row r="228" spans="1:16">
      <c r="A228" s="7">
        <v>39848</v>
      </c>
      <c r="B228" s="1">
        <v>105</v>
      </c>
      <c r="C228" s="1" t="s">
        <v>234</v>
      </c>
      <c r="D228" s="1">
        <v>2</v>
      </c>
      <c r="E228" s="1">
        <v>75</v>
      </c>
      <c r="F228" s="1">
        <v>23</v>
      </c>
      <c r="G228" s="1" t="s">
        <v>21</v>
      </c>
      <c r="H228" s="1">
        <v>1337</v>
      </c>
      <c r="K228" s="1" t="s">
        <v>123</v>
      </c>
      <c r="L228" s="1" t="s">
        <v>245</v>
      </c>
      <c r="M228" s="1" t="s">
        <v>246</v>
      </c>
      <c r="N228" s="1" t="s">
        <v>252</v>
      </c>
      <c r="O228" s="1">
        <v>163.9</v>
      </c>
      <c r="P228" s="1" t="s">
        <v>120</v>
      </c>
    </row>
    <row r="229" spans="1:16">
      <c r="A229" s="7">
        <v>39876</v>
      </c>
      <c r="B229" s="1">
        <v>485</v>
      </c>
      <c r="C229" s="1" t="s">
        <v>234</v>
      </c>
      <c r="D229" s="1">
        <v>4</v>
      </c>
      <c r="E229" s="1">
        <v>282.14999999999998</v>
      </c>
      <c r="F229" s="1">
        <v>23</v>
      </c>
      <c r="G229" s="1" t="s">
        <v>13</v>
      </c>
      <c r="H229" s="1">
        <v>0</v>
      </c>
      <c r="K229" s="1" t="s">
        <v>89</v>
      </c>
      <c r="L229" s="1" t="s">
        <v>245</v>
      </c>
      <c r="M229" s="1" t="s">
        <v>246</v>
      </c>
      <c r="N229" s="1" t="s">
        <v>253</v>
      </c>
      <c r="O229" s="1">
        <v>94.3</v>
      </c>
      <c r="P229" s="1" t="s">
        <v>120</v>
      </c>
    </row>
    <row r="230" spans="1:16">
      <c r="A230" s="7">
        <v>39876</v>
      </c>
      <c r="B230" s="1">
        <v>478</v>
      </c>
      <c r="C230" s="1" t="s">
        <v>234</v>
      </c>
      <c r="D230" s="1">
        <v>1</v>
      </c>
      <c r="E230" s="1">
        <v>230.08</v>
      </c>
      <c r="F230" s="1">
        <v>23</v>
      </c>
      <c r="G230" s="1" t="s">
        <v>29</v>
      </c>
      <c r="H230" s="1">
        <v>919</v>
      </c>
      <c r="K230" s="1" t="s">
        <v>124</v>
      </c>
      <c r="L230" s="1" t="s">
        <v>245</v>
      </c>
      <c r="M230" s="1" t="s">
        <v>246</v>
      </c>
      <c r="N230" s="1" t="s">
        <v>253</v>
      </c>
      <c r="O230" s="1">
        <v>264.39999999999998</v>
      </c>
      <c r="P230" s="1" t="s">
        <v>120</v>
      </c>
    </row>
    <row r="231" spans="1:16">
      <c r="A231" s="7">
        <v>39876</v>
      </c>
      <c r="B231" s="1">
        <v>479</v>
      </c>
      <c r="C231" s="1" t="s">
        <v>234</v>
      </c>
      <c r="D231" s="1">
        <v>3</v>
      </c>
      <c r="E231" s="1">
        <v>144.4</v>
      </c>
      <c r="F231" s="1">
        <v>23</v>
      </c>
      <c r="G231" s="1" t="s">
        <v>30</v>
      </c>
      <c r="H231" s="1">
        <v>0</v>
      </c>
      <c r="K231" s="1" t="s">
        <v>82</v>
      </c>
      <c r="L231" s="1" t="s">
        <v>245</v>
      </c>
      <c r="M231" s="1" t="s">
        <v>246</v>
      </c>
      <c r="N231" s="1" t="s">
        <v>253</v>
      </c>
      <c r="O231" s="1">
        <v>28.39</v>
      </c>
      <c r="P231" s="1" t="s">
        <v>120</v>
      </c>
    </row>
    <row r="232" spans="1:16">
      <c r="A232" s="7">
        <v>39937</v>
      </c>
      <c r="B232" s="1">
        <v>557</v>
      </c>
      <c r="C232" s="1" t="s">
        <v>234</v>
      </c>
      <c r="D232" s="1">
        <v>3</v>
      </c>
      <c r="E232" s="1">
        <v>200</v>
      </c>
      <c r="F232" s="1">
        <v>23</v>
      </c>
      <c r="G232" s="1" t="s">
        <v>35</v>
      </c>
      <c r="H232" s="1">
        <v>2038</v>
      </c>
      <c r="K232" s="1" t="s">
        <v>82</v>
      </c>
      <c r="L232" s="1" t="s">
        <v>245</v>
      </c>
      <c r="M232" s="1" t="s">
        <v>246</v>
      </c>
      <c r="N232" s="1" t="s">
        <v>253</v>
      </c>
      <c r="O232" s="1">
        <v>109.6</v>
      </c>
      <c r="P232" s="1" t="s">
        <v>120</v>
      </c>
    </row>
    <row r="233" spans="1:16">
      <c r="A233" s="7">
        <v>39937</v>
      </c>
      <c r="B233" s="1">
        <v>558</v>
      </c>
      <c r="C233" s="1" t="s">
        <v>234</v>
      </c>
      <c r="D233" s="1">
        <v>3</v>
      </c>
      <c r="E233" s="1">
        <v>200</v>
      </c>
      <c r="F233" s="1">
        <v>23</v>
      </c>
      <c r="G233" s="1" t="s">
        <v>35</v>
      </c>
      <c r="H233" s="1">
        <v>2039</v>
      </c>
      <c r="K233" s="1" t="s">
        <v>83</v>
      </c>
      <c r="L233" s="1" t="s">
        <v>245</v>
      </c>
      <c r="M233" s="1" t="s">
        <v>246</v>
      </c>
      <c r="N233" s="1" t="s">
        <v>253</v>
      </c>
      <c r="O233" s="1">
        <v>96.25</v>
      </c>
      <c r="P233" s="1" t="s">
        <v>120</v>
      </c>
    </row>
    <row r="234" spans="1:16">
      <c r="A234" s="7">
        <v>39968</v>
      </c>
      <c r="B234" s="1">
        <v>596</v>
      </c>
      <c r="C234" s="1" t="s">
        <v>235</v>
      </c>
      <c r="D234" s="1">
        <v>4</v>
      </c>
      <c r="E234" s="1">
        <v>60</v>
      </c>
      <c r="F234" s="1">
        <v>23</v>
      </c>
      <c r="G234" s="1" t="s">
        <v>33</v>
      </c>
      <c r="H234" s="1">
        <v>2043</v>
      </c>
      <c r="K234" s="1" t="s">
        <v>80</v>
      </c>
      <c r="L234" s="1" t="s">
        <v>245</v>
      </c>
      <c r="M234" s="1" t="s">
        <v>246</v>
      </c>
      <c r="N234" s="1" t="s">
        <v>253</v>
      </c>
      <c r="O234" s="1">
        <v>4.25</v>
      </c>
      <c r="P234" s="1" t="s">
        <v>120</v>
      </c>
    </row>
    <row r="235" spans="1:16">
      <c r="A235" s="7">
        <v>40029</v>
      </c>
      <c r="B235" s="1">
        <v>857</v>
      </c>
      <c r="C235" s="1" t="s">
        <v>234</v>
      </c>
      <c r="D235" s="1">
        <v>4</v>
      </c>
      <c r="E235" s="1">
        <v>572.5</v>
      </c>
      <c r="F235" s="1">
        <v>23</v>
      </c>
      <c r="G235" s="1" t="s">
        <v>6</v>
      </c>
      <c r="H235" s="1">
        <v>282</v>
      </c>
      <c r="K235" s="1" t="s">
        <v>101</v>
      </c>
      <c r="L235" s="1" t="s">
        <v>245</v>
      </c>
      <c r="M235" s="1" t="s">
        <v>246</v>
      </c>
      <c r="N235" s="1" t="s">
        <v>253</v>
      </c>
      <c r="O235" s="1">
        <v>3055.48</v>
      </c>
      <c r="P235" s="1" t="s">
        <v>120</v>
      </c>
    </row>
    <row r="236" spans="1:16">
      <c r="A236" s="7">
        <v>40029</v>
      </c>
      <c r="B236" s="1">
        <v>858</v>
      </c>
      <c r="C236" s="1" t="s">
        <v>234</v>
      </c>
      <c r="D236" s="1">
        <v>1</v>
      </c>
      <c r="E236" s="1">
        <v>447.34</v>
      </c>
      <c r="F236" s="1">
        <v>23</v>
      </c>
      <c r="G236" s="1" t="s">
        <v>6</v>
      </c>
      <c r="H236" s="1">
        <v>141</v>
      </c>
      <c r="K236" s="1" t="s">
        <v>81</v>
      </c>
      <c r="L236" s="1" t="s">
        <v>245</v>
      </c>
      <c r="M236" s="1" t="s">
        <v>246</v>
      </c>
      <c r="N236" s="1" t="s">
        <v>253</v>
      </c>
      <c r="O236" s="1">
        <v>96.15</v>
      </c>
      <c r="P236" s="1" t="s">
        <v>120</v>
      </c>
    </row>
    <row r="237" spans="1:16">
      <c r="A237" s="7">
        <v>40060</v>
      </c>
      <c r="B237" s="1">
        <v>961</v>
      </c>
      <c r="C237" s="1" t="s">
        <v>234</v>
      </c>
      <c r="D237" s="1">
        <v>3</v>
      </c>
      <c r="E237" s="1">
        <v>901.5</v>
      </c>
      <c r="F237" s="1">
        <v>23</v>
      </c>
      <c r="G237" s="1" t="s">
        <v>7</v>
      </c>
      <c r="H237" s="1">
        <v>1960</v>
      </c>
      <c r="K237" s="1" t="s">
        <v>86</v>
      </c>
      <c r="L237" s="1" t="s">
        <v>245</v>
      </c>
      <c r="M237" s="1" t="s">
        <v>246</v>
      </c>
      <c r="N237" s="1" t="s">
        <v>253</v>
      </c>
      <c r="O237" s="1">
        <v>876.65</v>
      </c>
      <c r="P237" s="1" t="s">
        <v>120</v>
      </c>
    </row>
    <row r="238" spans="1:16">
      <c r="A238" s="7">
        <v>40060</v>
      </c>
      <c r="B238" s="1">
        <v>979</v>
      </c>
      <c r="C238" s="1" t="s">
        <v>234</v>
      </c>
      <c r="D238" s="1">
        <v>3</v>
      </c>
      <c r="E238" s="1">
        <v>901.5</v>
      </c>
      <c r="F238" s="1">
        <v>23</v>
      </c>
      <c r="G238" s="1" t="s">
        <v>7</v>
      </c>
      <c r="H238" s="1">
        <v>2089</v>
      </c>
      <c r="K238" s="1" t="s">
        <v>102</v>
      </c>
      <c r="L238" s="1" t="s">
        <v>245</v>
      </c>
      <c r="M238" s="1" t="s">
        <v>246</v>
      </c>
      <c r="N238" s="1" t="s">
        <v>253</v>
      </c>
      <c r="O238" s="1">
        <v>177.7</v>
      </c>
      <c r="P238" s="1" t="s">
        <v>120</v>
      </c>
    </row>
    <row r="239" spans="1:16">
      <c r="A239" s="7">
        <v>40060</v>
      </c>
      <c r="B239" s="1">
        <v>947</v>
      </c>
      <c r="C239" s="1" t="s">
        <v>234</v>
      </c>
      <c r="D239" s="1">
        <v>1</v>
      </c>
      <c r="E239" s="1">
        <v>901.5</v>
      </c>
      <c r="F239" s="1">
        <v>23</v>
      </c>
      <c r="G239" s="1" t="s">
        <v>8</v>
      </c>
      <c r="H239" s="1">
        <v>0</v>
      </c>
      <c r="K239" s="1" t="s">
        <v>77</v>
      </c>
      <c r="L239" s="1" t="s">
        <v>245</v>
      </c>
      <c r="M239" s="1" t="s">
        <v>246</v>
      </c>
      <c r="N239" s="1" t="s">
        <v>253</v>
      </c>
      <c r="O239" s="1">
        <v>331.66</v>
      </c>
      <c r="P239" s="1" t="s">
        <v>120</v>
      </c>
    </row>
    <row r="240" spans="1:16">
      <c r="A240" s="7">
        <v>40060</v>
      </c>
      <c r="B240" s="1">
        <v>948</v>
      </c>
      <c r="C240" s="1" t="s">
        <v>234</v>
      </c>
      <c r="D240" s="1">
        <v>1</v>
      </c>
      <c r="E240" s="1">
        <v>489.75</v>
      </c>
      <c r="F240" s="1">
        <v>23</v>
      </c>
      <c r="G240" s="1" t="s">
        <v>8</v>
      </c>
      <c r="H240" s="1">
        <v>0</v>
      </c>
      <c r="K240" s="1" t="s">
        <v>103</v>
      </c>
      <c r="L240" s="1" t="s">
        <v>245</v>
      </c>
      <c r="M240" s="1" t="s">
        <v>246</v>
      </c>
      <c r="N240" s="1" t="s">
        <v>253</v>
      </c>
      <c r="O240" s="1">
        <v>341.07</v>
      </c>
      <c r="P240" s="1" t="s">
        <v>120</v>
      </c>
    </row>
    <row r="241" spans="1:16">
      <c r="A241" s="7">
        <v>40060</v>
      </c>
      <c r="B241" s="1">
        <v>959</v>
      </c>
      <c r="C241" s="1" t="s">
        <v>234</v>
      </c>
      <c r="D241" s="1">
        <v>4</v>
      </c>
      <c r="E241" s="1">
        <v>901.5</v>
      </c>
      <c r="F241" s="1">
        <v>23</v>
      </c>
      <c r="G241" s="1" t="s">
        <v>8</v>
      </c>
      <c r="H241" s="1">
        <v>1815</v>
      </c>
      <c r="K241" s="1" t="s">
        <v>103</v>
      </c>
      <c r="L241" s="1" t="s">
        <v>245</v>
      </c>
      <c r="M241" s="1" t="s">
        <v>246</v>
      </c>
      <c r="N241" s="1" t="s">
        <v>253</v>
      </c>
      <c r="O241" s="1">
        <v>39.24</v>
      </c>
      <c r="P241" s="1" t="s">
        <v>120</v>
      </c>
    </row>
    <row r="242" spans="1:16">
      <c r="A242" s="7">
        <v>40060</v>
      </c>
      <c r="B242" s="1">
        <v>960</v>
      </c>
      <c r="C242" s="1" t="s">
        <v>234</v>
      </c>
      <c r="D242" s="1">
        <v>4</v>
      </c>
      <c r="E242" s="1">
        <v>689.89</v>
      </c>
      <c r="F242" s="1">
        <v>23</v>
      </c>
      <c r="G242" s="1" t="s">
        <v>8</v>
      </c>
      <c r="H242" s="1">
        <v>1434</v>
      </c>
      <c r="K242" s="1" t="s">
        <v>77</v>
      </c>
      <c r="L242" s="1" t="s">
        <v>245</v>
      </c>
      <c r="M242" s="1" t="s">
        <v>246</v>
      </c>
      <c r="N242" s="1" t="s">
        <v>253</v>
      </c>
      <c r="O242" s="1">
        <v>258.12</v>
      </c>
      <c r="P242" s="1" t="s">
        <v>120</v>
      </c>
    </row>
    <row r="243" spans="1:16">
      <c r="A243" s="7">
        <v>40060</v>
      </c>
      <c r="B243" s="1">
        <v>963</v>
      </c>
      <c r="C243" s="1" t="s">
        <v>235</v>
      </c>
      <c r="D243" s="1">
        <v>3</v>
      </c>
      <c r="E243" s="1">
        <v>901.5</v>
      </c>
      <c r="F243" s="1">
        <v>23</v>
      </c>
      <c r="G243" s="1" t="s">
        <v>8</v>
      </c>
      <c r="H243" s="1">
        <v>1876</v>
      </c>
      <c r="K243" s="1" t="s">
        <v>82</v>
      </c>
      <c r="L243" s="1" t="s">
        <v>245</v>
      </c>
      <c r="M243" s="1" t="s">
        <v>246</v>
      </c>
      <c r="N243" s="1" t="s">
        <v>253</v>
      </c>
      <c r="O243" s="1">
        <v>121.3</v>
      </c>
      <c r="P243" s="1" t="s">
        <v>120</v>
      </c>
    </row>
    <row r="244" spans="1:16">
      <c r="A244" s="7">
        <v>40060</v>
      </c>
      <c r="B244" s="1">
        <v>966</v>
      </c>
      <c r="C244" s="1" t="s">
        <v>234</v>
      </c>
      <c r="D244" s="1">
        <v>4</v>
      </c>
      <c r="E244" s="1">
        <v>981.38</v>
      </c>
      <c r="F244" s="1">
        <v>23</v>
      </c>
      <c r="G244" s="1" t="s">
        <v>8</v>
      </c>
      <c r="H244" s="1">
        <v>1757</v>
      </c>
      <c r="K244" s="1" t="s">
        <v>80</v>
      </c>
      <c r="L244" s="1" t="s">
        <v>245</v>
      </c>
      <c r="M244" s="1" t="s">
        <v>246</v>
      </c>
      <c r="N244" s="1" t="s">
        <v>253</v>
      </c>
      <c r="O244" s="1">
        <v>845.39</v>
      </c>
      <c r="P244" s="1" t="s">
        <v>120</v>
      </c>
    </row>
    <row r="245" spans="1:16">
      <c r="A245" s="7">
        <v>40060</v>
      </c>
      <c r="B245" s="1">
        <v>970</v>
      </c>
      <c r="C245" s="1" t="s">
        <v>234</v>
      </c>
      <c r="D245" s="1">
        <v>8</v>
      </c>
      <c r="E245" s="1">
        <v>1442.1</v>
      </c>
      <c r="F245" s="1">
        <v>23</v>
      </c>
      <c r="G245" s="1" t="s">
        <v>8</v>
      </c>
      <c r="H245" s="1">
        <v>1823</v>
      </c>
      <c r="K245" s="1" t="s">
        <v>80</v>
      </c>
      <c r="L245" s="1" t="s">
        <v>245</v>
      </c>
      <c r="M245" s="1" t="s">
        <v>246</v>
      </c>
      <c r="N245" s="1" t="s">
        <v>253</v>
      </c>
      <c r="O245" s="1">
        <v>128</v>
      </c>
      <c r="P245" s="1" t="s">
        <v>120</v>
      </c>
    </row>
    <row r="246" spans="1:16">
      <c r="A246" s="7">
        <v>40060</v>
      </c>
      <c r="B246" s="1">
        <v>964</v>
      </c>
      <c r="C246" s="1" t="s">
        <v>234</v>
      </c>
      <c r="D246" s="1">
        <v>4</v>
      </c>
      <c r="E246" s="1">
        <v>901.5</v>
      </c>
      <c r="F246" s="1">
        <v>23</v>
      </c>
      <c r="G246" s="1" t="s">
        <v>9</v>
      </c>
      <c r="H246" s="1">
        <v>1423</v>
      </c>
      <c r="K246" s="1" t="s">
        <v>80</v>
      </c>
      <c r="L246" s="1" t="s">
        <v>245</v>
      </c>
      <c r="M246" s="1" t="s">
        <v>246</v>
      </c>
      <c r="N246" s="1" t="s">
        <v>253</v>
      </c>
      <c r="O246" s="1">
        <v>59.97</v>
      </c>
      <c r="P246" s="1" t="s">
        <v>120</v>
      </c>
    </row>
    <row r="247" spans="1:16">
      <c r="A247" s="7">
        <v>40060</v>
      </c>
      <c r="B247" s="1">
        <v>968</v>
      </c>
      <c r="C247" s="1" t="s">
        <v>234</v>
      </c>
      <c r="D247" s="1">
        <v>1</v>
      </c>
      <c r="E247" s="1">
        <v>901.91</v>
      </c>
      <c r="F247" s="1">
        <v>23</v>
      </c>
      <c r="G247" s="1" t="s">
        <v>9</v>
      </c>
      <c r="H247" s="1">
        <v>1829</v>
      </c>
      <c r="K247" s="1" t="s">
        <v>104</v>
      </c>
      <c r="L247" s="1" t="s">
        <v>245</v>
      </c>
      <c r="M247" s="1" t="s">
        <v>246</v>
      </c>
      <c r="N247" s="1" t="s">
        <v>253</v>
      </c>
      <c r="O247" s="1">
        <v>233.84</v>
      </c>
      <c r="P247" s="1" t="s">
        <v>120</v>
      </c>
    </row>
    <row r="248" spans="1:16">
      <c r="A248" s="7">
        <v>40060</v>
      </c>
      <c r="B248" s="1">
        <v>947</v>
      </c>
      <c r="C248" s="1" t="s">
        <v>234</v>
      </c>
      <c r="D248" s="1">
        <v>1</v>
      </c>
      <c r="E248" s="1">
        <v>78</v>
      </c>
      <c r="F248" s="1">
        <v>23</v>
      </c>
      <c r="G248" s="1" t="s">
        <v>11</v>
      </c>
      <c r="H248" s="1">
        <v>0</v>
      </c>
      <c r="K248" s="1" t="s">
        <v>83</v>
      </c>
      <c r="L248" s="1" t="s">
        <v>245</v>
      </c>
      <c r="M248" s="1" t="s">
        <v>246</v>
      </c>
      <c r="N248" s="1" t="s">
        <v>253</v>
      </c>
      <c r="O248" s="1">
        <v>108.7</v>
      </c>
      <c r="P248" s="1" t="s">
        <v>120</v>
      </c>
    </row>
    <row r="249" spans="1:16">
      <c r="A249" s="7">
        <v>40060</v>
      </c>
      <c r="B249" s="1">
        <v>959</v>
      </c>
      <c r="C249" s="1" t="s">
        <v>234</v>
      </c>
      <c r="D249" s="1">
        <v>4</v>
      </c>
      <c r="E249" s="1">
        <v>78</v>
      </c>
      <c r="F249" s="1">
        <v>23</v>
      </c>
      <c r="G249" s="1" t="s">
        <v>11</v>
      </c>
      <c r="H249" s="1">
        <v>1815</v>
      </c>
      <c r="K249" s="1" t="s">
        <v>83</v>
      </c>
      <c r="L249" s="1" t="s">
        <v>245</v>
      </c>
      <c r="M249" s="1" t="s">
        <v>246</v>
      </c>
      <c r="N249" s="1" t="s">
        <v>253</v>
      </c>
      <c r="O249" s="1">
        <v>270</v>
      </c>
      <c r="P249" s="1" t="s">
        <v>120</v>
      </c>
    </row>
    <row r="250" spans="1:16">
      <c r="A250" s="7">
        <v>40060</v>
      </c>
      <c r="B250" s="1">
        <v>960</v>
      </c>
      <c r="C250" s="1" t="s">
        <v>234</v>
      </c>
      <c r="D250" s="1">
        <v>4</v>
      </c>
      <c r="E250" s="1">
        <v>78</v>
      </c>
      <c r="F250" s="1">
        <v>23</v>
      </c>
      <c r="G250" s="1" t="s">
        <v>11</v>
      </c>
      <c r="H250" s="1">
        <v>1434</v>
      </c>
      <c r="K250" s="1" t="s">
        <v>100</v>
      </c>
      <c r="L250" s="1" t="s">
        <v>245</v>
      </c>
      <c r="M250" s="1" t="s">
        <v>246</v>
      </c>
      <c r="N250" s="1" t="s">
        <v>253</v>
      </c>
      <c r="O250" s="1">
        <v>34.840000000000003</v>
      </c>
      <c r="P250" s="1" t="s">
        <v>120</v>
      </c>
    </row>
    <row r="251" spans="1:16">
      <c r="A251" s="7">
        <v>40060</v>
      </c>
      <c r="B251" s="1">
        <v>961</v>
      </c>
      <c r="C251" s="1" t="s">
        <v>234</v>
      </c>
      <c r="D251" s="1">
        <v>3</v>
      </c>
      <c r="E251" s="1">
        <v>78</v>
      </c>
      <c r="F251" s="1">
        <v>23</v>
      </c>
      <c r="G251" s="1" t="s">
        <v>11</v>
      </c>
      <c r="H251" s="1">
        <v>1960</v>
      </c>
      <c r="K251" s="1" t="s">
        <v>76</v>
      </c>
      <c r="L251" s="1" t="s">
        <v>245</v>
      </c>
      <c r="M251" s="1" t="s">
        <v>246</v>
      </c>
      <c r="N251" s="1" t="s">
        <v>253</v>
      </c>
      <c r="O251" s="1">
        <v>34.840000000000003</v>
      </c>
      <c r="P251" s="1" t="s">
        <v>120</v>
      </c>
    </row>
    <row r="252" spans="1:16">
      <c r="A252" s="7">
        <v>40060</v>
      </c>
      <c r="B252" s="1">
        <v>963</v>
      </c>
      <c r="C252" s="1" t="s">
        <v>235</v>
      </c>
      <c r="D252" s="1">
        <v>3</v>
      </c>
      <c r="E252" s="1">
        <v>78</v>
      </c>
      <c r="F252" s="1">
        <v>23</v>
      </c>
      <c r="G252" s="1" t="s">
        <v>11</v>
      </c>
      <c r="H252" s="1">
        <v>1876</v>
      </c>
      <c r="K252" s="1" t="s">
        <v>80</v>
      </c>
      <c r="L252" s="1" t="s">
        <v>245</v>
      </c>
      <c r="M252" s="1" t="s">
        <v>246</v>
      </c>
      <c r="N252" s="1" t="s">
        <v>253</v>
      </c>
      <c r="O252" s="1">
        <v>59.7</v>
      </c>
      <c r="P252" s="1" t="s">
        <v>120</v>
      </c>
    </row>
    <row r="253" spans="1:16">
      <c r="A253" s="7">
        <v>40060</v>
      </c>
      <c r="B253" s="1">
        <v>964</v>
      </c>
      <c r="C253" s="1" t="s">
        <v>234</v>
      </c>
      <c r="D253" s="1">
        <v>4</v>
      </c>
      <c r="E253" s="1">
        <v>78</v>
      </c>
      <c r="F253" s="1">
        <v>23</v>
      </c>
      <c r="G253" s="1" t="s">
        <v>11</v>
      </c>
      <c r="H253" s="1">
        <v>1423</v>
      </c>
      <c r="K253" s="1" t="s">
        <v>106</v>
      </c>
      <c r="L253" s="1" t="s">
        <v>245</v>
      </c>
      <c r="M253" s="1" t="s">
        <v>246</v>
      </c>
      <c r="N253" s="1" t="s">
        <v>253</v>
      </c>
      <c r="O253" s="1">
        <v>519.12</v>
      </c>
      <c r="P253" s="1" t="s">
        <v>120</v>
      </c>
    </row>
    <row r="254" spans="1:16">
      <c r="A254" s="7">
        <v>40060</v>
      </c>
      <c r="B254" s="1">
        <v>966</v>
      </c>
      <c r="C254" s="1" t="s">
        <v>234</v>
      </c>
      <c r="D254" s="1">
        <v>4</v>
      </c>
      <c r="E254" s="1">
        <v>78</v>
      </c>
      <c r="F254" s="1">
        <v>23</v>
      </c>
      <c r="G254" s="1" t="s">
        <v>11</v>
      </c>
      <c r="H254" s="1">
        <v>1757</v>
      </c>
      <c r="K254" s="1" t="s">
        <v>72</v>
      </c>
      <c r="L254" s="1" t="s">
        <v>245</v>
      </c>
      <c r="M254" s="1" t="s">
        <v>246</v>
      </c>
      <c r="N254" s="1" t="s">
        <v>253</v>
      </c>
      <c r="O254" s="1">
        <v>522.62</v>
      </c>
      <c r="P254" s="1" t="s">
        <v>120</v>
      </c>
    </row>
    <row r="255" spans="1:16">
      <c r="A255" s="7">
        <v>40060</v>
      </c>
      <c r="B255" s="1">
        <v>968</v>
      </c>
      <c r="C255" s="1" t="s">
        <v>234</v>
      </c>
      <c r="D255" s="1">
        <v>1</v>
      </c>
      <c r="E255" s="1">
        <v>78</v>
      </c>
      <c r="F255" s="1">
        <v>23</v>
      </c>
      <c r="G255" s="1" t="s">
        <v>11</v>
      </c>
      <c r="H255" s="1">
        <v>1829</v>
      </c>
      <c r="K255" s="1" t="s">
        <v>81</v>
      </c>
      <c r="L255" s="1" t="s">
        <v>245</v>
      </c>
      <c r="M255" s="1" t="s">
        <v>246</v>
      </c>
      <c r="N255" s="1" t="s">
        <v>253</v>
      </c>
      <c r="O255" s="1">
        <v>25</v>
      </c>
      <c r="P255" s="1" t="s">
        <v>120</v>
      </c>
    </row>
    <row r="256" spans="1:16">
      <c r="A256" s="7">
        <v>40060</v>
      </c>
      <c r="B256" s="1">
        <v>970</v>
      </c>
      <c r="C256" s="1" t="s">
        <v>234</v>
      </c>
      <c r="D256" s="1">
        <v>8</v>
      </c>
      <c r="E256" s="1">
        <v>78</v>
      </c>
      <c r="F256" s="1">
        <v>23</v>
      </c>
      <c r="G256" s="1" t="s">
        <v>11</v>
      </c>
      <c r="H256" s="1">
        <v>1823</v>
      </c>
      <c r="K256" s="1" t="s">
        <v>81</v>
      </c>
      <c r="L256" s="1" t="s">
        <v>245</v>
      </c>
      <c r="M256" s="1" t="s">
        <v>246</v>
      </c>
      <c r="N256" s="1" t="s">
        <v>253</v>
      </c>
      <c r="O256" s="1">
        <v>65</v>
      </c>
      <c r="P256" s="1" t="s">
        <v>120</v>
      </c>
    </row>
    <row r="257" spans="1:16">
      <c r="A257" s="7">
        <v>40060</v>
      </c>
      <c r="B257" s="1">
        <v>979</v>
      </c>
      <c r="C257" s="1" t="s">
        <v>234</v>
      </c>
      <c r="D257" s="1">
        <v>3</v>
      </c>
      <c r="E257" s="1">
        <v>78</v>
      </c>
      <c r="F257" s="1">
        <v>23</v>
      </c>
      <c r="G257" s="1" t="s">
        <v>11</v>
      </c>
      <c r="H257" s="1">
        <v>2089</v>
      </c>
      <c r="K257" s="1" t="s">
        <v>110</v>
      </c>
      <c r="L257" s="1" t="s">
        <v>245</v>
      </c>
      <c r="M257" s="1" t="s">
        <v>246</v>
      </c>
      <c r="N257" s="1" t="s">
        <v>253</v>
      </c>
      <c r="O257" s="1">
        <v>238.68</v>
      </c>
      <c r="P257" s="1" t="s">
        <v>120</v>
      </c>
    </row>
    <row r="258" spans="1:16">
      <c r="A258" s="7">
        <v>40060</v>
      </c>
      <c r="B258" s="1">
        <v>956</v>
      </c>
      <c r="C258" s="1" t="s">
        <v>235</v>
      </c>
      <c r="D258" s="1">
        <v>1</v>
      </c>
      <c r="E258" s="1">
        <v>523.79999999999995</v>
      </c>
      <c r="F258" s="1">
        <v>23</v>
      </c>
      <c r="G258" s="1" t="s">
        <v>12</v>
      </c>
      <c r="H258" s="1">
        <v>1400</v>
      </c>
      <c r="K258" s="1" t="s">
        <v>72</v>
      </c>
      <c r="L258" s="1" t="s">
        <v>245</v>
      </c>
      <c r="M258" s="1" t="s">
        <v>246</v>
      </c>
      <c r="N258" s="1" t="s">
        <v>253</v>
      </c>
      <c r="O258" s="1">
        <v>200</v>
      </c>
      <c r="P258" s="1" t="s">
        <v>120</v>
      </c>
    </row>
    <row r="259" spans="1:16">
      <c r="A259" s="7">
        <v>40060</v>
      </c>
      <c r="B259" s="1">
        <v>958</v>
      </c>
      <c r="C259" s="1" t="s">
        <v>235</v>
      </c>
      <c r="D259" s="1">
        <v>4</v>
      </c>
      <c r="E259" s="1">
        <v>467.41</v>
      </c>
      <c r="F259" s="1">
        <v>23</v>
      </c>
      <c r="G259" s="1" t="s">
        <v>12</v>
      </c>
      <c r="H259" s="1">
        <v>1396</v>
      </c>
      <c r="K259" s="1" t="s">
        <v>98</v>
      </c>
      <c r="L259" s="1" t="s">
        <v>245</v>
      </c>
      <c r="M259" s="1" t="s">
        <v>246</v>
      </c>
      <c r="N259" s="1" t="s">
        <v>253</v>
      </c>
      <c r="O259" s="1">
        <v>1474.98</v>
      </c>
      <c r="P259" s="1" t="s">
        <v>120</v>
      </c>
    </row>
    <row r="260" spans="1:16">
      <c r="A260" s="7">
        <v>40060</v>
      </c>
      <c r="B260" s="1">
        <v>954</v>
      </c>
      <c r="C260" s="1" t="s">
        <v>235</v>
      </c>
      <c r="D260" s="1">
        <v>4</v>
      </c>
      <c r="E260" s="1">
        <v>141.08000000000001</v>
      </c>
      <c r="F260" s="1">
        <v>23</v>
      </c>
      <c r="G260" s="1" t="s">
        <v>13</v>
      </c>
      <c r="H260" s="1">
        <v>1086</v>
      </c>
      <c r="K260" s="1" t="s">
        <v>104</v>
      </c>
      <c r="L260" s="1" t="s">
        <v>245</v>
      </c>
      <c r="M260" s="1" t="s">
        <v>246</v>
      </c>
      <c r="N260" s="1" t="s">
        <v>253</v>
      </c>
      <c r="O260" s="1">
        <v>38.200000000000003</v>
      </c>
      <c r="P260" s="1" t="s">
        <v>120</v>
      </c>
    </row>
    <row r="261" spans="1:16">
      <c r="A261" s="7">
        <v>40060</v>
      </c>
      <c r="B261" s="1">
        <v>965</v>
      </c>
      <c r="C261" s="1" t="s">
        <v>234</v>
      </c>
      <c r="D261" s="1">
        <v>4</v>
      </c>
      <c r="E261" s="1">
        <v>565.59</v>
      </c>
      <c r="F261" s="1">
        <v>23</v>
      </c>
      <c r="G261" s="1" t="s">
        <v>13</v>
      </c>
      <c r="H261" s="1">
        <v>1404</v>
      </c>
      <c r="K261" s="1" t="s">
        <v>104</v>
      </c>
      <c r="L261" s="1" t="s">
        <v>245</v>
      </c>
      <c r="M261" s="1" t="s">
        <v>246</v>
      </c>
      <c r="N261" s="1" t="s">
        <v>253</v>
      </c>
      <c r="O261" s="1">
        <v>37.799999999999997</v>
      </c>
      <c r="P261" s="1" t="s">
        <v>120</v>
      </c>
    </row>
    <row r="262" spans="1:16">
      <c r="A262" s="7">
        <v>40060</v>
      </c>
      <c r="B262" s="1">
        <v>967</v>
      </c>
      <c r="C262" s="1" t="s">
        <v>234</v>
      </c>
      <c r="D262" s="1">
        <v>4</v>
      </c>
      <c r="E262" s="1">
        <v>501.6</v>
      </c>
      <c r="F262" s="1">
        <v>23</v>
      </c>
      <c r="G262" s="1" t="s">
        <v>13</v>
      </c>
      <c r="H262" s="1">
        <v>1852</v>
      </c>
      <c r="K262" s="1" t="s">
        <v>80</v>
      </c>
      <c r="L262" s="1" t="s">
        <v>245</v>
      </c>
      <c r="M262" s="1" t="s">
        <v>246</v>
      </c>
      <c r="N262" s="1" t="s">
        <v>253</v>
      </c>
      <c r="O262" s="1">
        <v>329.47</v>
      </c>
      <c r="P262" s="1" t="s">
        <v>120</v>
      </c>
    </row>
    <row r="263" spans="1:16">
      <c r="A263" s="7">
        <v>40060</v>
      </c>
      <c r="B263" s="1">
        <v>971</v>
      </c>
      <c r="C263" s="1" t="s">
        <v>235</v>
      </c>
      <c r="D263" s="1">
        <v>4</v>
      </c>
      <c r="E263" s="1">
        <v>335.25</v>
      </c>
      <c r="F263" s="1">
        <v>23</v>
      </c>
      <c r="G263" s="1" t="s">
        <v>13</v>
      </c>
      <c r="H263" s="1">
        <v>1093</v>
      </c>
      <c r="K263" s="1" t="s">
        <v>80</v>
      </c>
      <c r="L263" s="1" t="s">
        <v>245</v>
      </c>
      <c r="M263" s="1" t="s">
        <v>246</v>
      </c>
      <c r="N263" s="1" t="s">
        <v>253</v>
      </c>
      <c r="O263" s="1">
        <v>233.15</v>
      </c>
      <c r="P263" s="1" t="s">
        <v>120</v>
      </c>
    </row>
    <row r="264" spans="1:16">
      <c r="A264" s="7">
        <v>40060</v>
      </c>
      <c r="B264" s="1">
        <v>975</v>
      </c>
      <c r="C264" s="1" t="s">
        <v>234</v>
      </c>
      <c r="D264" s="1">
        <v>1</v>
      </c>
      <c r="E264" s="1">
        <v>755.02</v>
      </c>
      <c r="F264" s="1">
        <v>23</v>
      </c>
      <c r="G264" s="1" t="s">
        <v>13</v>
      </c>
      <c r="H264" s="1">
        <v>1085</v>
      </c>
      <c r="K264" s="1" t="s">
        <v>80</v>
      </c>
      <c r="L264" s="1" t="s">
        <v>245</v>
      </c>
      <c r="M264" s="1" t="s">
        <v>246</v>
      </c>
      <c r="N264" s="1" t="s">
        <v>253</v>
      </c>
      <c r="O264" s="1">
        <v>96.79</v>
      </c>
      <c r="P264" s="1" t="s">
        <v>120</v>
      </c>
    </row>
    <row r="265" spans="1:16">
      <c r="A265" s="7">
        <v>40060</v>
      </c>
      <c r="B265" s="1">
        <v>957</v>
      </c>
      <c r="C265" s="1" t="s">
        <v>235</v>
      </c>
      <c r="D265" s="1">
        <v>4</v>
      </c>
      <c r="E265" s="1">
        <v>470.25</v>
      </c>
      <c r="F265" s="1">
        <v>23</v>
      </c>
      <c r="G265" s="1" t="s">
        <v>3</v>
      </c>
      <c r="H265" s="1">
        <v>2086</v>
      </c>
      <c r="K265" s="1" t="s">
        <v>125</v>
      </c>
      <c r="L265" s="1" t="s">
        <v>245</v>
      </c>
      <c r="M265" s="1" t="s">
        <v>246</v>
      </c>
      <c r="N265" s="1" t="s">
        <v>253</v>
      </c>
      <c r="O265" s="1">
        <v>4354</v>
      </c>
      <c r="P265" s="1" t="s">
        <v>120</v>
      </c>
    </row>
    <row r="266" spans="1:16">
      <c r="A266" s="7">
        <v>40060</v>
      </c>
      <c r="B266" s="1">
        <v>962</v>
      </c>
      <c r="C266" s="1" t="s">
        <v>234</v>
      </c>
      <c r="D266" s="1">
        <v>3</v>
      </c>
      <c r="E266" s="1">
        <v>783.75</v>
      </c>
      <c r="F266" s="1">
        <v>23</v>
      </c>
      <c r="G266" s="1" t="s">
        <v>3</v>
      </c>
      <c r="H266" s="1">
        <v>1338</v>
      </c>
      <c r="K266" s="1" t="s">
        <v>110</v>
      </c>
      <c r="L266" s="1" t="s">
        <v>245</v>
      </c>
      <c r="M266" s="1" t="s">
        <v>246</v>
      </c>
      <c r="N266" s="1" t="s">
        <v>253</v>
      </c>
      <c r="O266" s="1">
        <v>1135.68</v>
      </c>
      <c r="P266" s="1" t="s">
        <v>120</v>
      </c>
    </row>
    <row r="267" spans="1:16">
      <c r="A267" s="7">
        <v>40060</v>
      </c>
      <c r="B267" s="1">
        <v>969</v>
      </c>
      <c r="C267" s="1" t="s">
        <v>234</v>
      </c>
      <c r="D267" s="1">
        <v>2</v>
      </c>
      <c r="E267" s="1">
        <v>45</v>
      </c>
      <c r="F267" s="1">
        <v>23</v>
      </c>
      <c r="G267" s="1" t="s">
        <v>15</v>
      </c>
      <c r="H267" s="1">
        <v>2087</v>
      </c>
      <c r="K267" s="1" t="s">
        <v>126</v>
      </c>
      <c r="L267" s="1" t="s">
        <v>245</v>
      </c>
      <c r="M267" s="1" t="s">
        <v>246</v>
      </c>
      <c r="N267" s="1" t="s">
        <v>253</v>
      </c>
      <c r="O267" s="1">
        <v>448</v>
      </c>
      <c r="P267" s="1" t="s">
        <v>120</v>
      </c>
    </row>
    <row r="268" spans="1:16">
      <c r="A268" s="7">
        <v>40060</v>
      </c>
      <c r="B268" s="1">
        <v>972</v>
      </c>
      <c r="C268" s="1" t="s">
        <v>235</v>
      </c>
      <c r="D268" s="1">
        <v>4</v>
      </c>
      <c r="E268" s="1">
        <v>45</v>
      </c>
      <c r="F268" s="1">
        <v>23</v>
      </c>
      <c r="G268" s="1" t="s">
        <v>15</v>
      </c>
      <c r="H268" s="1">
        <v>1463</v>
      </c>
      <c r="K268" s="1" t="s">
        <v>110</v>
      </c>
      <c r="L268" s="1" t="s">
        <v>245</v>
      </c>
      <c r="M268" s="1" t="s">
        <v>246</v>
      </c>
      <c r="N268" s="1" t="s">
        <v>253</v>
      </c>
      <c r="O268" s="1">
        <v>2487.6799999999998</v>
      </c>
      <c r="P268" s="1" t="s">
        <v>120</v>
      </c>
    </row>
    <row r="269" spans="1:16">
      <c r="A269" s="7">
        <v>40060</v>
      </c>
      <c r="B269" s="1">
        <v>949</v>
      </c>
      <c r="C269" s="1" t="s">
        <v>235</v>
      </c>
      <c r="D269" s="1">
        <v>1</v>
      </c>
      <c r="E269" s="1">
        <v>150.41</v>
      </c>
      <c r="F269" s="1">
        <v>23</v>
      </c>
      <c r="G269" s="1" t="s">
        <v>6</v>
      </c>
      <c r="H269" s="1">
        <v>801</v>
      </c>
      <c r="K269" s="1" t="s">
        <v>110</v>
      </c>
      <c r="L269" s="1" t="s">
        <v>245</v>
      </c>
      <c r="M269" s="1" t="s">
        <v>246</v>
      </c>
      <c r="N269" s="1" t="s">
        <v>253</v>
      </c>
      <c r="O269" s="1">
        <v>162.24</v>
      </c>
      <c r="P269" s="1" t="s">
        <v>120</v>
      </c>
    </row>
    <row r="270" spans="1:16">
      <c r="A270" s="7">
        <v>40060</v>
      </c>
      <c r="B270" s="1">
        <v>955</v>
      </c>
      <c r="C270" s="1" t="s">
        <v>235</v>
      </c>
      <c r="D270" s="1">
        <v>1</v>
      </c>
      <c r="E270" s="1">
        <v>655.76</v>
      </c>
      <c r="F270" s="1">
        <v>23</v>
      </c>
      <c r="G270" s="1" t="s">
        <v>6</v>
      </c>
      <c r="H270" s="1">
        <v>1391</v>
      </c>
      <c r="K270" s="1" t="s">
        <v>110</v>
      </c>
      <c r="L270" s="1" t="s">
        <v>245</v>
      </c>
      <c r="M270" s="1" t="s">
        <v>246</v>
      </c>
      <c r="N270" s="1" t="s">
        <v>253</v>
      </c>
      <c r="O270" s="1">
        <v>1325.07</v>
      </c>
      <c r="P270" s="1" t="s">
        <v>120</v>
      </c>
    </row>
    <row r="271" spans="1:16">
      <c r="A271" s="7">
        <v>40060</v>
      </c>
      <c r="B271" s="1">
        <v>973</v>
      </c>
      <c r="C271" s="1" t="s">
        <v>235</v>
      </c>
      <c r="D271" s="1">
        <v>1</v>
      </c>
      <c r="E271" s="1">
        <v>335.44</v>
      </c>
      <c r="F271" s="1">
        <v>23</v>
      </c>
      <c r="G271" s="1" t="s">
        <v>6</v>
      </c>
      <c r="H271" s="1">
        <v>319</v>
      </c>
      <c r="K271" s="1" t="s">
        <v>103</v>
      </c>
      <c r="L271" s="1" t="s">
        <v>245</v>
      </c>
      <c r="M271" s="1" t="s">
        <v>246</v>
      </c>
      <c r="N271" s="1" t="s">
        <v>253</v>
      </c>
      <c r="O271" s="1">
        <v>63.2</v>
      </c>
      <c r="P271" s="1" t="s">
        <v>120</v>
      </c>
    </row>
    <row r="272" spans="1:16">
      <c r="A272" s="7">
        <v>40060</v>
      </c>
      <c r="B272" s="1">
        <v>976</v>
      </c>
      <c r="C272" s="1" t="s">
        <v>235</v>
      </c>
      <c r="D272" s="1">
        <v>1</v>
      </c>
      <c r="E272" s="1">
        <v>612.01</v>
      </c>
      <c r="F272" s="1">
        <v>23</v>
      </c>
      <c r="G272" s="1" t="s">
        <v>6</v>
      </c>
      <c r="H272" s="1">
        <v>1058</v>
      </c>
      <c r="K272" s="1" t="s">
        <v>108</v>
      </c>
      <c r="L272" s="1" t="s">
        <v>245</v>
      </c>
      <c r="M272" s="1" t="s">
        <v>246</v>
      </c>
      <c r="N272" s="1" t="s">
        <v>253</v>
      </c>
      <c r="O272" s="1">
        <v>82.86</v>
      </c>
      <c r="P272" s="1" t="s">
        <v>120</v>
      </c>
    </row>
    <row r="273" spans="1:16">
      <c r="A273" s="7">
        <v>40151</v>
      </c>
      <c r="B273" s="1">
        <v>1538</v>
      </c>
      <c r="C273" s="1" t="s">
        <v>235</v>
      </c>
      <c r="D273" s="1">
        <v>4</v>
      </c>
      <c r="E273" s="1">
        <v>4.5</v>
      </c>
      <c r="F273" s="1">
        <v>23</v>
      </c>
      <c r="G273" s="1" t="s">
        <v>14</v>
      </c>
      <c r="H273" s="1">
        <v>1837</v>
      </c>
      <c r="K273" s="1" t="s">
        <v>109</v>
      </c>
      <c r="L273" s="1" t="s">
        <v>245</v>
      </c>
      <c r="M273" s="1" t="s">
        <v>246</v>
      </c>
      <c r="N273" s="1" t="s">
        <v>253</v>
      </c>
      <c r="O273" s="1">
        <v>10.5</v>
      </c>
      <c r="P273" s="1" t="s">
        <v>120</v>
      </c>
    </row>
    <row r="274" spans="1:16">
      <c r="A274" s="7">
        <v>39849</v>
      </c>
      <c r="B274" s="1">
        <v>120</v>
      </c>
      <c r="C274" s="1" t="s">
        <v>234</v>
      </c>
      <c r="D274" s="1">
        <v>4</v>
      </c>
      <c r="E274" s="1">
        <v>617.1</v>
      </c>
      <c r="F274" s="1">
        <v>23</v>
      </c>
      <c r="G274" s="1" t="s">
        <v>12</v>
      </c>
      <c r="H274" s="1">
        <v>417</v>
      </c>
      <c r="K274" s="1" t="s">
        <v>86</v>
      </c>
      <c r="L274" s="1" t="s">
        <v>245</v>
      </c>
      <c r="M274" s="1" t="s">
        <v>246</v>
      </c>
      <c r="N274" s="1" t="s">
        <v>253</v>
      </c>
      <c r="O274" s="1">
        <v>31.62</v>
      </c>
      <c r="P274" s="1" t="s">
        <v>120</v>
      </c>
    </row>
    <row r="275" spans="1:16">
      <c r="A275" s="7">
        <v>39849</v>
      </c>
      <c r="B275" s="1">
        <v>128</v>
      </c>
      <c r="C275" s="1" t="s">
        <v>235</v>
      </c>
      <c r="D275" s="1">
        <v>4</v>
      </c>
      <c r="E275" s="1">
        <v>582.65</v>
      </c>
      <c r="F275" s="1">
        <v>23</v>
      </c>
      <c r="G275" s="1" t="s">
        <v>12</v>
      </c>
      <c r="H275" s="1">
        <v>1796</v>
      </c>
      <c r="K275" s="1" t="s">
        <v>110</v>
      </c>
      <c r="L275" s="1" t="s">
        <v>245</v>
      </c>
      <c r="M275" s="1" t="s">
        <v>246</v>
      </c>
      <c r="N275" s="1" t="s">
        <v>253</v>
      </c>
      <c r="O275" s="1">
        <v>639.1</v>
      </c>
      <c r="P275" s="1" t="s">
        <v>120</v>
      </c>
    </row>
    <row r="276" spans="1:16">
      <c r="A276" s="7">
        <v>39849</v>
      </c>
      <c r="B276" s="1">
        <v>142</v>
      </c>
      <c r="C276" s="1" t="s">
        <v>234</v>
      </c>
      <c r="D276" s="1">
        <v>4</v>
      </c>
      <c r="E276" s="1">
        <v>813</v>
      </c>
      <c r="F276" s="1">
        <v>23</v>
      </c>
      <c r="G276" s="1" t="s">
        <v>12</v>
      </c>
      <c r="H276" s="1">
        <v>1781</v>
      </c>
      <c r="K276" s="1" t="s">
        <v>88</v>
      </c>
      <c r="L276" s="1" t="s">
        <v>245</v>
      </c>
      <c r="M276" s="1" t="s">
        <v>246</v>
      </c>
      <c r="N276" s="1" t="s">
        <v>253</v>
      </c>
      <c r="O276" s="1">
        <v>4.95</v>
      </c>
      <c r="P276" s="1" t="s">
        <v>120</v>
      </c>
    </row>
    <row r="277" spans="1:16">
      <c r="A277" s="7">
        <v>39849</v>
      </c>
      <c r="B277" s="1">
        <v>119</v>
      </c>
      <c r="C277" s="1" t="s">
        <v>234</v>
      </c>
      <c r="D277" s="1">
        <v>4</v>
      </c>
      <c r="E277" s="1">
        <v>478.73</v>
      </c>
      <c r="F277" s="1">
        <v>23</v>
      </c>
      <c r="G277" s="1" t="s">
        <v>13</v>
      </c>
      <c r="H277" s="1">
        <v>1852</v>
      </c>
      <c r="K277" s="1" t="s">
        <v>72</v>
      </c>
      <c r="L277" s="1" t="s">
        <v>245</v>
      </c>
      <c r="M277" s="1" t="s">
        <v>246</v>
      </c>
      <c r="N277" s="1" t="s">
        <v>253</v>
      </c>
      <c r="O277" s="1">
        <v>248.68</v>
      </c>
      <c r="P277" s="1" t="s">
        <v>120</v>
      </c>
    </row>
    <row r="278" spans="1:16">
      <c r="A278" s="7">
        <v>39849</v>
      </c>
      <c r="B278" s="1">
        <v>126</v>
      </c>
      <c r="C278" s="1" t="s">
        <v>235</v>
      </c>
      <c r="D278" s="1">
        <v>4</v>
      </c>
      <c r="E278" s="1">
        <v>721.05</v>
      </c>
      <c r="F278" s="1">
        <v>23</v>
      </c>
      <c r="G278" s="1" t="s">
        <v>13</v>
      </c>
      <c r="H278" s="1">
        <v>1407</v>
      </c>
      <c r="K278" s="1" t="s">
        <v>100</v>
      </c>
      <c r="L278" s="1" t="s">
        <v>245</v>
      </c>
      <c r="M278" s="1" t="s">
        <v>246</v>
      </c>
      <c r="N278" s="1" t="s">
        <v>253</v>
      </c>
      <c r="O278" s="1">
        <v>131.02000000000001</v>
      </c>
      <c r="P278" s="1" t="s">
        <v>120</v>
      </c>
    </row>
    <row r="279" spans="1:16">
      <c r="A279" s="7">
        <v>39849</v>
      </c>
      <c r="B279" s="1">
        <v>127</v>
      </c>
      <c r="C279" s="1" t="s">
        <v>235</v>
      </c>
      <c r="D279" s="1">
        <v>4</v>
      </c>
      <c r="E279" s="1">
        <v>736.72</v>
      </c>
      <c r="F279" s="1">
        <v>23</v>
      </c>
      <c r="G279" s="1" t="s">
        <v>13</v>
      </c>
      <c r="H279" s="1">
        <v>1107</v>
      </c>
      <c r="K279" s="1" t="s">
        <v>109</v>
      </c>
      <c r="L279" s="1" t="s">
        <v>245</v>
      </c>
      <c r="M279" s="1" t="s">
        <v>246</v>
      </c>
      <c r="N279" s="1" t="s">
        <v>253</v>
      </c>
      <c r="O279" s="1">
        <v>68.48</v>
      </c>
      <c r="P279" s="1" t="s">
        <v>120</v>
      </c>
    </row>
    <row r="280" spans="1:16">
      <c r="A280" s="7">
        <v>39849</v>
      </c>
      <c r="B280" s="1">
        <v>144</v>
      </c>
      <c r="C280" s="1" t="s">
        <v>234</v>
      </c>
      <c r="D280" s="1">
        <v>4</v>
      </c>
      <c r="E280" s="1">
        <v>219.45</v>
      </c>
      <c r="F280" s="1">
        <v>23</v>
      </c>
      <c r="G280" s="1" t="s">
        <v>13</v>
      </c>
      <c r="H280" s="1">
        <v>211</v>
      </c>
      <c r="K280" s="1" t="s">
        <v>77</v>
      </c>
      <c r="L280" s="1" t="s">
        <v>245</v>
      </c>
      <c r="M280" s="1" t="s">
        <v>246</v>
      </c>
      <c r="N280" s="1" t="s">
        <v>253</v>
      </c>
      <c r="O280" s="1">
        <v>328.56</v>
      </c>
      <c r="P280" s="1" t="s">
        <v>120</v>
      </c>
    </row>
    <row r="281" spans="1:16">
      <c r="A281" s="7">
        <v>39849</v>
      </c>
      <c r="B281" s="1">
        <v>146</v>
      </c>
      <c r="C281" s="1" t="s">
        <v>234</v>
      </c>
      <c r="D281" s="1">
        <v>4</v>
      </c>
      <c r="E281" s="1">
        <v>557.1</v>
      </c>
      <c r="F281" s="1">
        <v>23</v>
      </c>
      <c r="G281" s="1" t="s">
        <v>13</v>
      </c>
      <c r="H281" s="1">
        <v>1457</v>
      </c>
      <c r="K281" s="1" t="s">
        <v>77</v>
      </c>
      <c r="L281" s="1" t="s">
        <v>245</v>
      </c>
      <c r="M281" s="1" t="s">
        <v>246</v>
      </c>
      <c r="N281" s="1" t="s">
        <v>253</v>
      </c>
      <c r="O281" s="1">
        <v>159.04</v>
      </c>
      <c r="P281" s="1" t="s">
        <v>120</v>
      </c>
    </row>
    <row r="282" spans="1:16">
      <c r="A282" s="7">
        <v>39849</v>
      </c>
      <c r="B282" s="1">
        <v>148</v>
      </c>
      <c r="C282" s="1" t="s">
        <v>234</v>
      </c>
      <c r="D282" s="1">
        <v>3</v>
      </c>
      <c r="E282" s="1">
        <v>1004.94</v>
      </c>
      <c r="F282" s="1">
        <v>23</v>
      </c>
      <c r="G282" s="1" t="s">
        <v>13</v>
      </c>
      <c r="H282" s="1">
        <v>1403</v>
      </c>
      <c r="K282" s="1" t="s">
        <v>77</v>
      </c>
      <c r="L282" s="1" t="s">
        <v>245</v>
      </c>
      <c r="M282" s="1" t="s">
        <v>246</v>
      </c>
      <c r="N282" s="1" t="s">
        <v>253</v>
      </c>
      <c r="O282" s="1">
        <v>566.36</v>
      </c>
      <c r="P282" s="1" t="s">
        <v>120</v>
      </c>
    </row>
    <row r="283" spans="1:16">
      <c r="A283" s="7">
        <v>39849</v>
      </c>
      <c r="B283" s="1">
        <v>515</v>
      </c>
      <c r="C283" s="1" t="s">
        <v>234</v>
      </c>
      <c r="D283" s="1">
        <v>4</v>
      </c>
      <c r="E283" s="1">
        <v>863.42</v>
      </c>
      <c r="F283" s="1">
        <v>23</v>
      </c>
      <c r="G283" s="1" t="s">
        <v>13</v>
      </c>
      <c r="H283" s="1">
        <v>2011</v>
      </c>
      <c r="K283" s="1" t="s">
        <v>77</v>
      </c>
      <c r="L283" s="1" t="s">
        <v>245</v>
      </c>
      <c r="M283" s="1" t="s">
        <v>246</v>
      </c>
      <c r="N283" s="1" t="s">
        <v>253</v>
      </c>
      <c r="O283" s="1">
        <v>283.36</v>
      </c>
      <c r="P283" s="1" t="s">
        <v>120</v>
      </c>
    </row>
    <row r="284" spans="1:16">
      <c r="A284" s="7">
        <v>39849</v>
      </c>
      <c r="B284" s="1">
        <v>117</v>
      </c>
      <c r="C284" s="1" t="s">
        <v>235</v>
      </c>
      <c r="D284" s="1">
        <v>4</v>
      </c>
      <c r="E284" s="1">
        <v>877.8</v>
      </c>
      <c r="F284" s="1">
        <v>23</v>
      </c>
      <c r="G284" s="1" t="s">
        <v>3</v>
      </c>
      <c r="H284" s="1">
        <v>1335</v>
      </c>
      <c r="K284" s="1" t="s">
        <v>77</v>
      </c>
      <c r="L284" s="1" t="s">
        <v>245</v>
      </c>
      <c r="M284" s="1" t="s">
        <v>246</v>
      </c>
      <c r="N284" s="1" t="s">
        <v>253</v>
      </c>
      <c r="O284" s="1">
        <v>2542.04</v>
      </c>
      <c r="P284" s="1" t="s">
        <v>120</v>
      </c>
    </row>
    <row r="285" spans="1:16">
      <c r="A285" s="7">
        <v>39849</v>
      </c>
      <c r="B285" s="1">
        <v>145</v>
      </c>
      <c r="C285" s="1" t="s">
        <v>234</v>
      </c>
      <c r="D285" s="1">
        <v>4</v>
      </c>
      <c r="E285" s="1">
        <v>579.98</v>
      </c>
      <c r="F285" s="1">
        <v>23</v>
      </c>
      <c r="G285" s="1" t="s">
        <v>3</v>
      </c>
      <c r="H285" s="1">
        <v>1352</v>
      </c>
      <c r="K285" s="1" t="s">
        <v>78</v>
      </c>
      <c r="L285" s="1" t="s">
        <v>245</v>
      </c>
      <c r="M285" s="1" t="s">
        <v>246</v>
      </c>
      <c r="N285" s="1" t="s">
        <v>253</v>
      </c>
      <c r="O285" s="1">
        <v>790</v>
      </c>
      <c r="P285" s="1" t="s">
        <v>120</v>
      </c>
    </row>
    <row r="286" spans="1:16">
      <c r="A286" s="7">
        <v>39849</v>
      </c>
      <c r="B286" s="1">
        <v>147</v>
      </c>
      <c r="C286" s="1" t="s">
        <v>234</v>
      </c>
      <c r="D286" s="1">
        <v>3</v>
      </c>
      <c r="E286" s="1">
        <v>909.15</v>
      </c>
      <c r="F286" s="1">
        <v>23</v>
      </c>
      <c r="G286" s="1" t="s">
        <v>3</v>
      </c>
      <c r="H286" s="1">
        <v>1344</v>
      </c>
      <c r="K286" s="1" t="s">
        <v>78</v>
      </c>
      <c r="L286" s="1" t="s">
        <v>245</v>
      </c>
      <c r="M286" s="1" t="s">
        <v>246</v>
      </c>
      <c r="N286" s="1" t="s">
        <v>253</v>
      </c>
      <c r="O286" s="1">
        <v>200</v>
      </c>
      <c r="P286" s="1" t="s">
        <v>120</v>
      </c>
    </row>
    <row r="287" spans="1:16">
      <c r="A287" s="7">
        <v>39849</v>
      </c>
      <c r="B287" s="1">
        <v>115</v>
      </c>
      <c r="C287" s="1" t="s">
        <v>234</v>
      </c>
      <c r="D287" s="1">
        <v>4</v>
      </c>
      <c r="E287" s="1">
        <v>572.5</v>
      </c>
      <c r="F287" s="1">
        <v>23</v>
      </c>
      <c r="G287" s="1" t="s">
        <v>29</v>
      </c>
      <c r="H287" s="1">
        <v>352</v>
      </c>
      <c r="K287" s="1" t="s">
        <v>72</v>
      </c>
      <c r="L287" s="1" t="s">
        <v>245</v>
      </c>
      <c r="M287" s="1" t="s">
        <v>246</v>
      </c>
      <c r="N287" s="1" t="s">
        <v>253</v>
      </c>
      <c r="O287" s="1">
        <v>153.85</v>
      </c>
      <c r="P287" s="1" t="s">
        <v>120</v>
      </c>
    </row>
    <row r="288" spans="1:16">
      <c r="A288" s="7">
        <v>39849</v>
      </c>
      <c r="B288" s="1">
        <v>116</v>
      </c>
      <c r="C288" s="1" t="s">
        <v>234</v>
      </c>
      <c r="D288" s="1">
        <v>4</v>
      </c>
      <c r="E288" s="1">
        <v>532.99</v>
      </c>
      <c r="F288" s="1">
        <v>23</v>
      </c>
      <c r="G288" s="1" t="s">
        <v>29</v>
      </c>
      <c r="H288" s="1">
        <v>1373</v>
      </c>
      <c r="K288" s="1" t="s">
        <v>98</v>
      </c>
      <c r="L288" s="1" t="s">
        <v>245</v>
      </c>
      <c r="M288" s="1" t="s">
        <v>246</v>
      </c>
      <c r="N288" s="1" t="s">
        <v>253</v>
      </c>
      <c r="O288" s="1">
        <v>669.24</v>
      </c>
      <c r="P288" s="1" t="s">
        <v>120</v>
      </c>
    </row>
    <row r="289" spans="1:16">
      <c r="A289" s="7">
        <v>39849</v>
      </c>
      <c r="B289" s="1">
        <v>121</v>
      </c>
      <c r="C289" s="1" t="s">
        <v>234</v>
      </c>
      <c r="D289" s="1">
        <v>1</v>
      </c>
      <c r="E289" s="1">
        <v>202.78</v>
      </c>
      <c r="F289" s="1">
        <v>23</v>
      </c>
      <c r="G289" s="1" t="s">
        <v>29</v>
      </c>
      <c r="H289" s="1">
        <v>848</v>
      </c>
      <c r="K289" s="1" t="s">
        <v>109</v>
      </c>
      <c r="L289" s="1" t="s">
        <v>245</v>
      </c>
      <c r="M289" s="1" t="s">
        <v>246</v>
      </c>
      <c r="N289" s="1" t="s">
        <v>253</v>
      </c>
      <c r="O289" s="1">
        <v>86.4</v>
      </c>
      <c r="P289" s="1" t="s">
        <v>120</v>
      </c>
    </row>
    <row r="290" spans="1:16">
      <c r="A290" s="7">
        <v>39849</v>
      </c>
      <c r="B290" s="1">
        <v>122</v>
      </c>
      <c r="C290" s="1" t="s">
        <v>234</v>
      </c>
      <c r="D290" s="1">
        <v>1</v>
      </c>
      <c r="E290" s="1">
        <v>458.87</v>
      </c>
      <c r="F290" s="1">
        <v>23</v>
      </c>
      <c r="G290" s="1" t="s">
        <v>29</v>
      </c>
      <c r="H290" s="1">
        <v>1246</v>
      </c>
      <c r="K290" s="1" t="s">
        <v>127</v>
      </c>
      <c r="L290" s="1" t="s">
        <v>245</v>
      </c>
      <c r="M290" s="1" t="s">
        <v>246</v>
      </c>
      <c r="N290" s="1" t="s">
        <v>253</v>
      </c>
      <c r="O290" s="1">
        <v>520</v>
      </c>
      <c r="P290" s="1" t="s">
        <v>120</v>
      </c>
    </row>
    <row r="291" spans="1:16">
      <c r="A291" s="7">
        <v>39849</v>
      </c>
      <c r="B291" s="1">
        <v>149</v>
      </c>
      <c r="C291" s="1" t="s">
        <v>235</v>
      </c>
      <c r="D291" s="1">
        <v>1</v>
      </c>
      <c r="E291" s="1">
        <v>493.48</v>
      </c>
      <c r="F291" s="1">
        <v>23</v>
      </c>
      <c r="G291" s="1" t="s">
        <v>29</v>
      </c>
      <c r="H291" s="1">
        <v>882</v>
      </c>
      <c r="K291" s="1" t="s">
        <v>110</v>
      </c>
      <c r="L291" s="1" t="s">
        <v>245</v>
      </c>
      <c r="M291" s="1" t="s">
        <v>246</v>
      </c>
      <c r="N291" s="1" t="s">
        <v>253</v>
      </c>
      <c r="O291" s="1">
        <v>716</v>
      </c>
      <c r="P291" s="1" t="s">
        <v>120</v>
      </c>
    </row>
    <row r="292" spans="1:16">
      <c r="A292" s="7">
        <v>39849</v>
      </c>
      <c r="B292" s="1">
        <v>124</v>
      </c>
      <c r="C292" s="1" t="s">
        <v>234</v>
      </c>
      <c r="D292" s="1">
        <v>2</v>
      </c>
      <c r="E292" s="1">
        <v>75</v>
      </c>
      <c r="F292" s="1">
        <v>23</v>
      </c>
      <c r="G292" s="1" t="s">
        <v>21</v>
      </c>
      <c r="H292" s="1">
        <v>1764</v>
      </c>
      <c r="K292" s="1" t="s">
        <v>98</v>
      </c>
      <c r="L292" s="1" t="s">
        <v>245</v>
      </c>
      <c r="M292" s="1" t="s">
        <v>246</v>
      </c>
      <c r="N292" s="1" t="s">
        <v>253</v>
      </c>
      <c r="O292" s="1">
        <v>940</v>
      </c>
      <c r="P292" s="1" t="s">
        <v>120</v>
      </c>
    </row>
    <row r="293" spans="1:16">
      <c r="A293" s="7">
        <v>39849</v>
      </c>
      <c r="B293" s="1">
        <v>125</v>
      </c>
      <c r="C293" s="1" t="s">
        <v>234</v>
      </c>
      <c r="D293" s="1">
        <v>2</v>
      </c>
      <c r="E293" s="1">
        <v>75</v>
      </c>
      <c r="F293" s="1">
        <v>23</v>
      </c>
      <c r="G293" s="1" t="s">
        <v>21</v>
      </c>
      <c r="H293" s="1">
        <v>2010</v>
      </c>
      <c r="K293" s="1" t="s">
        <v>72</v>
      </c>
      <c r="L293" s="1" t="s">
        <v>245</v>
      </c>
      <c r="M293" s="1" t="s">
        <v>246</v>
      </c>
      <c r="N293" s="1" t="s">
        <v>253</v>
      </c>
      <c r="O293" s="1">
        <v>269.45999999999998</v>
      </c>
      <c r="P293" s="1" t="s">
        <v>120</v>
      </c>
    </row>
    <row r="294" spans="1:16">
      <c r="A294" s="7">
        <v>39877</v>
      </c>
      <c r="B294" s="1">
        <v>486</v>
      </c>
      <c r="C294" s="1" t="s">
        <v>234</v>
      </c>
      <c r="D294" s="1">
        <v>2</v>
      </c>
      <c r="E294" s="1">
        <v>75</v>
      </c>
      <c r="F294" s="1">
        <v>23</v>
      </c>
      <c r="G294" s="1" t="s">
        <v>21</v>
      </c>
      <c r="H294" s="1">
        <v>2032</v>
      </c>
      <c r="K294" s="1" t="s">
        <v>98</v>
      </c>
      <c r="L294" s="1" t="s">
        <v>245</v>
      </c>
      <c r="M294" s="1" t="s">
        <v>246</v>
      </c>
      <c r="N294" s="1" t="s">
        <v>253</v>
      </c>
      <c r="O294" s="1">
        <v>15.6</v>
      </c>
      <c r="P294" s="1" t="s">
        <v>120</v>
      </c>
    </row>
    <row r="295" spans="1:16">
      <c r="A295" s="7">
        <v>39877</v>
      </c>
      <c r="B295" s="1">
        <v>487</v>
      </c>
      <c r="C295" s="1" t="s">
        <v>235</v>
      </c>
      <c r="D295" s="1">
        <v>1</v>
      </c>
      <c r="E295" s="1">
        <v>34</v>
      </c>
      <c r="F295" s="1">
        <v>23</v>
      </c>
      <c r="G295" s="1" t="s">
        <v>32</v>
      </c>
      <c r="H295" s="1">
        <v>1763</v>
      </c>
      <c r="K295" s="1" t="s">
        <v>110</v>
      </c>
      <c r="L295" s="1" t="s">
        <v>245</v>
      </c>
      <c r="M295" s="1" t="s">
        <v>246</v>
      </c>
      <c r="N295" s="1" t="s">
        <v>253</v>
      </c>
      <c r="O295" s="1">
        <v>861.81</v>
      </c>
      <c r="P295" s="1" t="s">
        <v>120</v>
      </c>
    </row>
    <row r="296" spans="1:16">
      <c r="A296" s="7">
        <v>39938</v>
      </c>
      <c r="B296" s="1">
        <v>141</v>
      </c>
      <c r="C296" s="1" t="s">
        <v>234</v>
      </c>
      <c r="D296" s="1">
        <v>1</v>
      </c>
      <c r="E296" s="1">
        <v>735.44</v>
      </c>
      <c r="F296" s="1">
        <v>23</v>
      </c>
      <c r="G296" s="1" t="s">
        <v>6</v>
      </c>
      <c r="H296" s="1">
        <v>1953</v>
      </c>
      <c r="K296" s="1" t="s">
        <v>110</v>
      </c>
      <c r="L296" s="1" t="s">
        <v>245</v>
      </c>
      <c r="M296" s="1" t="s">
        <v>246</v>
      </c>
      <c r="N296" s="1" t="s">
        <v>253</v>
      </c>
      <c r="O296" s="1">
        <v>153</v>
      </c>
      <c r="P296" s="1" t="s">
        <v>120</v>
      </c>
    </row>
    <row r="297" spans="1:16">
      <c r="A297" s="7">
        <v>39938</v>
      </c>
      <c r="B297" s="1">
        <v>560</v>
      </c>
      <c r="C297" s="1" t="s">
        <v>234</v>
      </c>
      <c r="D297" s="1">
        <v>3</v>
      </c>
      <c r="E297" s="1">
        <v>200</v>
      </c>
      <c r="F297" s="1">
        <v>23</v>
      </c>
      <c r="G297" s="1" t="s">
        <v>35</v>
      </c>
      <c r="H297" s="1">
        <v>1668</v>
      </c>
      <c r="K297" s="1" t="s">
        <v>98</v>
      </c>
      <c r="L297" s="1" t="s">
        <v>245</v>
      </c>
      <c r="M297" s="1" t="s">
        <v>246</v>
      </c>
      <c r="N297" s="1" t="s">
        <v>253</v>
      </c>
      <c r="O297" s="1">
        <v>312.52</v>
      </c>
      <c r="P297" s="1" t="s">
        <v>120</v>
      </c>
    </row>
    <row r="298" spans="1:16">
      <c r="A298" s="7">
        <v>39938</v>
      </c>
      <c r="B298" s="1">
        <v>561</v>
      </c>
      <c r="C298" s="1" t="s">
        <v>234</v>
      </c>
      <c r="D298" s="1">
        <v>3</v>
      </c>
      <c r="E298" s="1">
        <v>200</v>
      </c>
      <c r="F298" s="1">
        <v>23</v>
      </c>
      <c r="G298" s="1" t="s">
        <v>35</v>
      </c>
      <c r="H298" s="1">
        <v>1669</v>
      </c>
      <c r="K298" s="1" t="s">
        <v>98</v>
      </c>
      <c r="L298" s="1" t="s">
        <v>245</v>
      </c>
      <c r="M298" s="1" t="s">
        <v>246</v>
      </c>
      <c r="N298" s="1" t="s">
        <v>253</v>
      </c>
      <c r="O298" s="1">
        <v>37.44</v>
      </c>
      <c r="P298" s="1" t="s">
        <v>120</v>
      </c>
    </row>
    <row r="299" spans="1:16">
      <c r="A299" s="7">
        <v>39938</v>
      </c>
      <c r="B299" s="1">
        <v>562</v>
      </c>
      <c r="C299" s="1" t="s">
        <v>234</v>
      </c>
      <c r="D299" s="1">
        <v>3</v>
      </c>
      <c r="E299" s="1">
        <v>200</v>
      </c>
      <c r="F299" s="1">
        <v>23</v>
      </c>
      <c r="G299" s="1" t="s">
        <v>35</v>
      </c>
      <c r="H299" s="1">
        <v>1679</v>
      </c>
      <c r="K299" s="1" t="s">
        <v>100</v>
      </c>
      <c r="L299" s="1" t="s">
        <v>245</v>
      </c>
      <c r="M299" s="1" t="s">
        <v>246</v>
      </c>
      <c r="N299" s="1" t="s">
        <v>253</v>
      </c>
      <c r="O299" s="1">
        <v>561</v>
      </c>
      <c r="P299" s="1" t="s">
        <v>120</v>
      </c>
    </row>
    <row r="300" spans="1:16">
      <c r="A300" s="7">
        <v>39969</v>
      </c>
      <c r="B300" s="1">
        <v>592</v>
      </c>
      <c r="C300" s="1" t="s">
        <v>234</v>
      </c>
      <c r="D300" s="1">
        <v>4</v>
      </c>
      <c r="E300" s="1">
        <v>116</v>
      </c>
      <c r="F300" s="1">
        <v>23</v>
      </c>
      <c r="G300" s="1" t="s">
        <v>16</v>
      </c>
      <c r="H300" s="1">
        <v>399</v>
      </c>
      <c r="K300" s="1" t="s">
        <v>100</v>
      </c>
      <c r="L300" s="1" t="s">
        <v>245</v>
      </c>
      <c r="M300" s="1" t="s">
        <v>246</v>
      </c>
      <c r="N300" s="1" t="s">
        <v>253</v>
      </c>
      <c r="O300" s="1">
        <v>364</v>
      </c>
      <c r="P300" s="1" t="s">
        <v>120</v>
      </c>
    </row>
    <row r="301" spans="1:16">
      <c r="A301" s="7">
        <v>39969</v>
      </c>
      <c r="B301" s="1">
        <v>597</v>
      </c>
      <c r="C301" s="1" t="s">
        <v>235</v>
      </c>
      <c r="D301" s="1">
        <v>4</v>
      </c>
      <c r="E301" s="1">
        <v>236.25</v>
      </c>
      <c r="F301" s="1">
        <v>23</v>
      </c>
      <c r="G301" s="1" t="s">
        <v>12</v>
      </c>
      <c r="H301" s="1">
        <v>642</v>
      </c>
      <c r="K301" s="1" t="s">
        <v>100</v>
      </c>
      <c r="L301" s="1" t="s">
        <v>245</v>
      </c>
      <c r="M301" s="1" t="s">
        <v>246</v>
      </c>
      <c r="N301" s="1" t="s">
        <v>253</v>
      </c>
      <c r="O301" s="1">
        <v>218.4</v>
      </c>
      <c r="P301" s="1" t="s">
        <v>120</v>
      </c>
    </row>
    <row r="302" spans="1:16">
      <c r="A302" s="7">
        <v>40030</v>
      </c>
      <c r="B302" s="1">
        <v>911</v>
      </c>
      <c r="C302" s="1" t="s">
        <v>234</v>
      </c>
      <c r="D302" s="1">
        <v>3</v>
      </c>
      <c r="E302" s="1">
        <v>180</v>
      </c>
      <c r="F302" s="1">
        <v>23</v>
      </c>
      <c r="G302" s="1" t="s">
        <v>36</v>
      </c>
      <c r="H302" s="1">
        <v>0</v>
      </c>
      <c r="K302" s="1" t="s">
        <v>89</v>
      </c>
      <c r="L302" s="1" t="s">
        <v>245</v>
      </c>
      <c r="M302" s="1" t="s">
        <v>246</v>
      </c>
      <c r="N302" s="1" t="s">
        <v>253</v>
      </c>
      <c r="O302" s="1">
        <v>52.21</v>
      </c>
      <c r="P302" s="1" t="s">
        <v>120</v>
      </c>
    </row>
    <row r="303" spans="1:16">
      <c r="A303" s="7">
        <v>40091</v>
      </c>
      <c r="B303" s="1">
        <v>1126</v>
      </c>
      <c r="C303" s="1" t="s">
        <v>234</v>
      </c>
      <c r="D303" s="1">
        <v>3</v>
      </c>
      <c r="E303" s="1">
        <v>-54.69</v>
      </c>
      <c r="F303" s="1">
        <v>23</v>
      </c>
      <c r="G303" s="1" t="s">
        <v>8</v>
      </c>
      <c r="H303" s="1">
        <v>1358</v>
      </c>
      <c r="K303" s="1" t="s">
        <v>110</v>
      </c>
      <c r="L303" s="1" t="s">
        <v>245</v>
      </c>
      <c r="M303" s="1" t="s">
        <v>246</v>
      </c>
      <c r="N303" s="1" t="s">
        <v>253</v>
      </c>
      <c r="O303" s="1">
        <v>312</v>
      </c>
      <c r="P303" s="1" t="s">
        <v>120</v>
      </c>
    </row>
    <row r="304" spans="1:16">
      <c r="A304" s="7">
        <v>40091</v>
      </c>
      <c r="B304" s="1">
        <v>1126</v>
      </c>
      <c r="C304" s="1" t="s">
        <v>234</v>
      </c>
      <c r="D304" s="1">
        <v>3</v>
      </c>
      <c r="E304" s="1">
        <v>188.29</v>
      </c>
      <c r="F304" s="1">
        <v>23</v>
      </c>
      <c r="G304" s="1" t="s">
        <v>8</v>
      </c>
      <c r="H304" s="1">
        <v>1358</v>
      </c>
      <c r="K304" s="1" t="s">
        <v>72</v>
      </c>
      <c r="L304" s="1" t="s">
        <v>245</v>
      </c>
      <c r="M304" s="1" t="s">
        <v>246</v>
      </c>
      <c r="N304" s="1" t="s">
        <v>253</v>
      </c>
      <c r="O304" s="1">
        <v>272.8</v>
      </c>
      <c r="P304" s="1" t="s">
        <v>120</v>
      </c>
    </row>
    <row r="305" spans="1:16">
      <c r="A305" s="7">
        <v>40091</v>
      </c>
      <c r="B305" s="1">
        <v>1126</v>
      </c>
      <c r="C305" s="1" t="s">
        <v>234</v>
      </c>
      <c r="D305" s="1">
        <v>3</v>
      </c>
      <c r="E305" s="1">
        <v>78</v>
      </c>
      <c r="F305" s="1">
        <v>23</v>
      </c>
      <c r="G305" s="1" t="s">
        <v>11</v>
      </c>
      <c r="H305" s="1">
        <v>1358</v>
      </c>
      <c r="K305" s="1" t="s">
        <v>128</v>
      </c>
      <c r="L305" s="1" t="s">
        <v>245</v>
      </c>
      <c r="M305" s="1" t="s">
        <v>246</v>
      </c>
      <c r="N305" s="1" t="s">
        <v>253</v>
      </c>
      <c r="O305" s="1">
        <v>310</v>
      </c>
      <c r="P305" s="1" t="s">
        <v>120</v>
      </c>
    </row>
    <row r="306" spans="1:16">
      <c r="A306" s="7">
        <v>40091</v>
      </c>
      <c r="B306" s="1">
        <v>1414</v>
      </c>
      <c r="C306" s="1" t="s">
        <v>234</v>
      </c>
      <c r="D306" s="1">
        <v>4</v>
      </c>
      <c r="E306" s="1">
        <v>575</v>
      </c>
      <c r="F306" s="1">
        <v>23</v>
      </c>
      <c r="G306" s="1" t="s">
        <v>17</v>
      </c>
      <c r="H306" s="1">
        <v>2166</v>
      </c>
      <c r="K306" s="1" t="s">
        <v>82</v>
      </c>
      <c r="L306" s="1" t="s">
        <v>245</v>
      </c>
      <c r="M306" s="1" t="s">
        <v>246</v>
      </c>
      <c r="N306" s="1" t="s">
        <v>253</v>
      </c>
      <c r="O306" s="1">
        <v>65.37</v>
      </c>
      <c r="P306" s="1" t="s">
        <v>120</v>
      </c>
    </row>
    <row r="307" spans="1:16">
      <c r="A307" s="7">
        <v>40091</v>
      </c>
      <c r="B307" s="1">
        <v>1415</v>
      </c>
      <c r="C307" s="1" t="s">
        <v>234</v>
      </c>
      <c r="D307" s="1">
        <v>4</v>
      </c>
      <c r="E307" s="1">
        <v>575</v>
      </c>
      <c r="F307" s="1">
        <v>23</v>
      </c>
      <c r="G307" s="1" t="s">
        <v>17</v>
      </c>
      <c r="H307" s="1">
        <v>2167</v>
      </c>
      <c r="K307" s="1" t="s">
        <v>127</v>
      </c>
      <c r="L307" s="1" t="s">
        <v>245</v>
      </c>
      <c r="M307" s="1" t="s">
        <v>246</v>
      </c>
      <c r="N307" s="1" t="s">
        <v>253</v>
      </c>
      <c r="O307" s="1">
        <v>2743.1</v>
      </c>
      <c r="P307" s="1" t="s">
        <v>120</v>
      </c>
    </row>
    <row r="308" spans="1:16">
      <c r="A308" s="7">
        <v>40091</v>
      </c>
      <c r="B308" s="1">
        <v>1416</v>
      </c>
      <c r="C308" s="1" t="s">
        <v>234</v>
      </c>
      <c r="D308" s="1">
        <v>4</v>
      </c>
      <c r="E308" s="1">
        <v>575</v>
      </c>
      <c r="F308" s="1">
        <v>23</v>
      </c>
      <c r="G308" s="1" t="s">
        <v>17</v>
      </c>
      <c r="H308" s="1">
        <v>2168</v>
      </c>
      <c r="K308" s="1" t="s">
        <v>127</v>
      </c>
      <c r="L308" s="1" t="s">
        <v>245</v>
      </c>
      <c r="M308" s="1" t="s">
        <v>246</v>
      </c>
      <c r="N308" s="1" t="s">
        <v>253</v>
      </c>
      <c r="O308" s="1">
        <v>327.60000000000002</v>
      </c>
      <c r="P308" s="1" t="s">
        <v>120</v>
      </c>
    </row>
    <row r="309" spans="1:16">
      <c r="A309" s="7">
        <v>40091</v>
      </c>
      <c r="B309" s="1">
        <v>1417</v>
      </c>
      <c r="C309" s="1" t="s">
        <v>234</v>
      </c>
      <c r="D309" s="1">
        <v>4</v>
      </c>
      <c r="E309" s="1">
        <v>575</v>
      </c>
      <c r="F309" s="1">
        <v>23</v>
      </c>
      <c r="G309" s="1" t="s">
        <v>17</v>
      </c>
      <c r="H309" s="1">
        <v>2169</v>
      </c>
      <c r="K309" s="1" t="s">
        <v>98</v>
      </c>
      <c r="L309" s="1" t="s">
        <v>245</v>
      </c>
      <c r="M309" s="1" t="s">
        <v>246</v>
      </c>
      <c r="N309" s="1" t="s">
        <v>253</v>
      </c>
      <c r="O309" s="1">
        <v>33.159999999999997</v>
      </c>
      <c r="P309" s="1" t="s">
        <v>120</v>
      </c>
    </row>
    <row r="310" spans="1:16">
      <c r="A310" s="7">
        <v>40091</v>
      </c>
      <c r="B310" s="1">
        <v>1418</v>
      </c>
      <c r="C310" s="1" t="s">
        <v>234</v>
      </c>
      <c r="D310" s="1">
        <v>1</v>
      </c>
      <c r="E310" s="1">
        <v>575</v>
      </c>
      <c r="F310" s="1">
        <v>23</v>
      </c>
      <c r="G310" s="1" t="s">
        <v>17</v>
      </c>
      <c r="H310" s="1">
        <v>2170</v>
      </c>
      <c r="K310" s="1" t="s">
        <v>110</v>
      </c>
      <c r="L310" s="1" t="s">
        <v>245</v>
      </c>
      <c r="M310" s="1" t="s">
        <v>246</v>
      </c>
      <c r="N310" s="1" t="s">
        <v>253</v>
      </c>
      <c r="O310" s="1">
        <v>78</v>
      </c>
      <c r="P310" s="1" t="s">
        <v>120</v>
      </c>
    </row>
    <row r="311" spans="1:16">
      <c r="A311" s="7">
        <v>40091</v>
      </c>
      <c r="B311" s="1">
        <v>1419</v>
      </c>
      <c r="C311" s="1" t="s">
        <v>234</v>
      </c>
      <c r="D311" s="1">
        <v>1</v>
      </c>
      <c r="E311" s="1">
        <v>575</v>
      </c>
      <c r="F311" s="1">
        <v>23</v>
      </c>
      <c r="G311" s="1" t="s">
        <v>17</v>
      </c>
      <c r="H311" s="1">
        <v>2171</v>
      </c>
      <c r="K311" s="1" t="s">
        <v>110</v>
      </c>
      <c r="L311" s="1" t="s">
        <v>245</v>
      </c>
      <c r="M311" s="1" t="s">
        <v>246</v>
      </c>
      <c r="N311" s="1" t="s">
        <v>253</v>
      </c>
      <c r="O311" s="1">
        <v>5040</v>
      </c>
      <c r="P311" s="1" t="s">
        <v>120</v>
      </c>
    </row>
    <row r="312" spans="1:16">
      <c r="A312" s="7">
        <v>40091</v>
      </c>
      <c r="B312" s="1">
        <v>1421</v>
      </c>
      <c r="C312" s="1" t="s">
        <v>235</v>
      </c>
      <c r="D312" s="1">
        <v>1</v>
      </c>
      <c r="E312" s="1">
        <v>575</v>
      </c>
      <c r="F312" s="1">
        <v>23</v>
      </c>
      <c r="G312" s="1" t="s">
        <v>17</v>
      </c>
      <c r="H312" s="1">
        <v>2172</v>
      </c>
      <c r="K312" s="1" t="s">
        <v>80</v>
      </c>
      <c r="L312" s="1" t="s">
        <v>245</v>
      </c>
      <c r="M312" s="1" t="s">
        <v>246</v>
      </c>
      <c r="N312" s="1" t="s">
        <v>254</v>
      </c>
      <c r="O312" s="1">
        <v>700</v>
      </c>
      <c r="P312" s="1" t="s">
        <v>129</v>
      </c>
    </row>
    <row r="313" spans="1:16">
      <c r="A313" s="7">
        <v>40091</v>
      </c>
      <c r="B313" s="1">
        <v>1422</v>
      </c>
      <c r="C313" s="1" t="s">
        <v>235</v>
      </c>
      <c r="D313" s="1">
        <v>1</v>
      </c>
      <c r="E313" s="1">
        <v>287.5</v>
      </c>
      <c r="F313" s="1">
        <v>23</v>
      </c>
      <c r="G313" s="1" t="s">
        <v>17</v>
      </c>
      <c r="H313" s="1">
        <v>2173</v>
      </c>
      <c r="K313" s="1" t="s">
        <v>76</v>
      </c>
      <c r="L313" s="1" t="s">
        <v>242</v>
      </c>
      <c r="M313" s="1" t="s">
        <v>243</v>
      </c>
      <c r="N313" s="1" t="s">
        <v>261</v>
      </c>
      <c r="O313" s="1">
        <v>17.18</v>
      </c>
      <c r="P313" s="1" t="s">
        <v>130</v>
      </c>
    </row>
    <row r="314" spans="1:16">
      <c r="A314" s="7">
        <v>40091</v>
      </c>
      <c r="B314" s="1">
        <v>1424</v>
      </c>
      <c r="C314" s="1" t="s">
        <v>234</v>
      </c>
      <c r="D314" s="1">
        <v>4</v>
      </c>
      <c r="E314" s="1">
        <v>575</v>
      </c>
      <c r="F314" s="1">
        <v>23</v>
      </c>
      <c r="G314" s="1" t="s">
        <v>17</v>
      </c>
      <c r="H314" s="1">
        <v>569</v>
      </c>
      <c r="K314" s="1" t="s">
        <v>76</v>
      </c>
      <c r="L314" s="1" t="s">
        <v>242</v>
      </c>
      <c r="M314" s="1" t="s">
        <v>243</v>
      </c>
      <c r="N314" s="1" t="s">
        <v>261</v>
      </c>
      <c r="O314" s="1">
        <v>18.36</v>
      </c>
      <c r="P314" s="1" t="s">
        <v>130</v>
      </c>
    </row>
    <row r="315" spans="1:16">
      <c r="A315" s="7">
        <v>40091</v>
      </c>
      <c r="B315" s="1">
        <v>1426</v>
      </c>
      <c r="C315" s="1" t="s">
        <v>234</v>
      </c>
      <c r="D315" s="1">
        <v>1</v>
      </c>
      <c r="E315" s="1">
        <v>287.5</v>
      </c>
      <c r="F315" s="1">
        <v>23</v>
      </c>
      <c r="G315" s="1" t="s">
        <v>17</v>
      </c>
      <c r="H315" s="1">
        <v>892</v>
      </c>
      <c r="K315" s="1" t="s">
        <v>76</v>
      </c>
      <c r="L315" s="1" t="s">
        <v>242</v>
      </c>
      <c r="M315" s="1" t="s">
        <v>243</v>
      </c>
      <c r="N315" s="1" t="s">
        <v>261</v>
      </c>
      <c r="O315" s="1">
        <v>43.68</v>
      </c>
      <c r="P315" s="1" t="s">
        <v>130</v>
      </c>
    </row>
    <row r="316" spans="1:16">
      <c r="A316" s="7">
        <v>40091</v>
      </c>
      <c r="B316" s="1">
        <v>1429</v>
      </c>
      <c r="C316" s="1" t="s">
        <v>234</v>
      </c>
      <c r="D316" s="1">
        <v>3</v>
      </c>
      <c r="E316" s="1">
        <v>287.5</v>
      </c>
      <c r="F316" s="1">
        <v>23</v>
      </c>
      <c r="G316" s="1" t="s">
        <v>17</v>
      </c>
      <c r="H316" s="1">
        <v>2173</v>
      </c>
      <c r="K316" s="1" t="s">
        <v>76</v>
      </c>
      <c r="L316" s="1" t="s">
        <v>242</v>
      </c>
      <c r="M316" s="1" t="s">
        <v>243</v>
      </c>
      <c r="N316" s="1" t="s">
        <v>261</v>
      </c>
      <c r="O316" s="1">
        <v>53.38</v>
      </c>
      <c r="P316" s="1" t="s">
        <v>130</v>
      </c>
    </row>
    <row r="317" spans="1:16">
      <c r="A317" s="7">
        <v>40091</v>
      </c>
      <c r="B317" s="1">
        <v>1430</v>
      </c>
      <c r="C317" s="1" t="s">
        <v>234</v>
      </c>
      <c r="D317" s="1">
        <v>3</v>
      </c>
      <c r="E317" s="1">
        <v>287.5</v>
      </c>
      <c r="F317" s="1">
        <v>23</v>
      </c>
      <c r="G317" s="1" t="s">
        <v>17</v>
      </c>
      <c r="H317" s="1">
        <v>1504</v>
      </c>
      <c r="K317" s="1" t="s">
        <v>76</v>
      </c>
      <c r="L317" s="1" t="s">
        <v>242</v>
      </c>
      <c r="M317" s="1" t="s">
        <v>243</v>
      </c>
      <c r="N317" s="1" t="s">
        <v>261</v>
      </c>
      <c r="O317" s="1">
        <v>4.16</v>
      </c>
      <c r="P317" s="1" t="s">
        <v>130</v>
      </c>
    </row>
    <row r="318" spans="1:16">
      <c r="A318" s="7">
        <v>40091</v>
      </c>
      <c r="B318" s="1">
        <v>1420</v>
      </c>
      <c r="C318" s="1" t="s">
        <v>234</v>
      </c>
      <c r="D318" s="1">
        <v>4</v>
      </c>
      <c r="E318" s="1">
        <v>80</v>
      </c>
      <c r="F318" s="1">
        <v>23</v>
      </c>
      <c r="G318" s="1" t="s">
        <v>18</v>
      </c>
      <c r="H318" s="1">
        <v>1544</v>
      </c>
      <c r="K318" s="1" t="s">
        <v>76</v>
      </c>
      <c r="L318" s="1" t="s">
        <v>242</v>
      </c>
      <c r="M318" s="1" t="s">
        <v>243</v>
      </c>
      <c r="N318" s="1" t="s">
        <v>261</v>
      </c>
      <c r="O318" s="1">
        <v>17.12</v>
      </c>
      <c r="P318" s="1" t="s">
        <v>130</v>
      </c>
    </row>
    <row r="319" spans="1:16">
      <c r="A319" s="7">
        <v>40091</v>
      </c>
      <c r="B319" s="1">
        <v>1425</v>
      </c>
      <c r="C319" s="1" t="s">
        <v>234</v>
      </c>
      <c r="D319" s="1">
        <v>4</v>
      </c>
      <c r="E319" s="1">
        <v>80</v>
      </c>
      <c r="F319" s="1">
        <v>23</v>
      </c>
      <c r="G319" s="1" t="s">
        <v>18</v>
      </c>
      <c r="H319" s="1">
        <v>1870</v>
      </c>
      <c r="K319" s="1" t="s">
        <v>76</v>
      </c>
      <c r="L319" s="1" t="s">
        <v>242</v>
      </c>
      <c r="M319" s="1" t="s">
        <v>243</v>
      </c>
      <c r="N319" s="1" t="s">
        <v>261</v>
      </c>
      <c r="O319" s="1">
        <v>12.48</v>
      </c>
      <c r="P319" s="1" t="s">
        <v>130</v>
      </c>
    </row>
    <row r="320" spans="1:16">
      <c r="A320" s="7">
        <v>40091</v>
      </c>
      <c r="B320" s="1">
        <v>1413</v>
      </c>
      <c r="C320" s="1" t="s">
        <v>234</v>
      </c>
      <c r="D320" s="1">
        <v>2</v>
      </c>
      <c r="E320" s="1">
        <v>300</v>
      </c>
      <c r="F320" s="1">
        <v>23</v>
      </c>
      <c r="G320" s="1" t="s">
        <v>20</v>
      </c>
      <c r="H320" s="1">
        <v>2165</v>
      </c>
      <c r="K320" s="1" t="s">
        <v>76</v>
      </c>
      <c r="L320" s="1" t="s">
        <v>242</v>
      </c>
      <c r="M320" s="1" t="s">
        <v>243</v>
      </c>
      <c r="N320" s="1" t="s">
        <v>261</v>
      </c>
      <c r="O320" s="1">
        <v>9.98</v>
      </c>
      <c r="P320" s="1" t="s">
        <v>130</v>
      </c>
    </row>
    <row r="321" spans="1:16">
      <c r="A321" s="7">
        <v>40091</v>
      </c>
      <c r="B321" s="1">
        <v>1428</v>
      </c>
      <c r="C321" s="1" t="s">
        <v>235</v>
      </c>
      <c r="D321" s="1">
        <v>1</v>
      </c>
      <c r="E321" s="1">
        <v>4.5</v>
      </c>
      <c r="F321" s="1">
        <v>23</v>
      </c>
      <c r="G321" s="1" t="s">
        <v>37</v>
      </c>
      <c r="H321" s="1">
        <v>666</v>
      </c>
      <c r="K321" s="1" t="s">
        <v>76</v>
      </c>
      <c r="L321" s="1" t="s">
        <v>242</v>
      </c>
      <c r="M321" s="1" t="s">
        <v>243</v>
      </c>
      <c r="N321" s="1" t="s">
        <v>261</v>
      </c>
      <c r="O321" s="1">
        <v>8.32</v>
      </c>
      <c r="P321" s="1" t="s">
        <v>130</v>
      </c>
    </row>
    <row r="322" spans="1:16">
      <c r="A322" s="7">
        <v>40091</v>
      </c>
      <c r="B322" s="1">
        <v>132</v>
      </c>
      <c r="C322" s="1" t="s">
        <v>234</v>
      </c>
      <c r="D322" s="1">
        <v>1</v>
      </c>
      <c r="E322" s="1">
        <v>16068.12</v>
      </c>
      <c r="F322" s="1">
        <v>23</v>
      </c>
      <c r="G322" s="1" t="s">
        <v>38</v>
      </c>
      <c r="H322" s="1">
        <v>0</v>
      </c>
      <c r="K322" s="1" t="s">
        <v>76</v>
      </c>
      <c r="L322" s="1" t="s">
        <v>242</v>
      </c>
      <c r="M322" s="1" t="s">
        <v>243</v>
      </c>
      <c r="N322" s="1" t="s">
        <v>261</v>
      </c>
      <c r="O322" s="1">
        <v>20</v>
      </c>
      <c r="P322" s="1" t="s">
        <v>130</v>
      </c>
    </row>
    <row r="323" spans="1:16">
      <c r="A323" s="7">
        <v>40122</v>
      </c>
      <c r="B323" s="1">
        <v>1423</v>
      </c>
      <c r="C323" s="1" t="s">
        <v>234</v>
      </c>
      <c r="D323" s="1">
        <v>4</v>
      </c>
      <c r="E323" s="1">
        <v>3880</v>
      </c>
      <c r="F323" s="1">
        <v>23</v>
      </c>
      <c r="G323" s="1" t="s">
        <v>39</v>
      </c>
      <c r="H323" s="1">
        <v>0</v>
      </c>
      <c r="K323" s="1" t="s">
        <v>76</v>
      </c>
      <c r="L323" s="1" t="s">
        <v>242</v>
      </c>
      <c r="M323" s="1" t="s">
        <v>243</v>
      </c>
      <c r="N323" s="1" t="s">
        <v>261</v>
      </c>
      <c r="O323" s="1">
        <v>34.36</v>
      </c>
      <c r="P323" s="1" t="s">
        <v>130</v>
      </c>
    </row>
    <row r="324" spans="1:16">
      <c r="A324" s="7">
        <v>40122</v>
      </c>
      <c r="B324" s="1">
        <v>1507</v>
      </c>
      <c r="C324" s="1" t="s">
        <v>234</v>
      </c>
      <c r="D324" s="1">
        <v>4</v>
      </c>
      <c r="E324" s="1">
        <v>80</v>
      </c>
      <c r="F324" s="1">
        <v>23</v>
      </c>
      <c r="G324" s="1" t="s">
        <v>18</v>
      </c>
      <c r="H324" s="1">
        <v>2191</v>
      </c>
      <c r="K324" s="1" t="s">
        <v>76</v>
      </c>
      <c r="L324" s="1" t="s">
        <v>242</v>
      </c>
      <c r="M324" s="1" t="s">
        <v>243</v>
      </c>
      <c r="N324" s="1" t="s">
        <v>261</v>
      </c>
      <c r="O324" s="1">
        <v>24.96</v>
      </c>
      <c r="P324" s="1" t="s">
        <v>130</v>
      </c>
    </row>
    <row r="325" spans="1:16">
      <c r="A325" s="7">
        <v>40122</v>
      </c>
      <c r="B325" s="1">
        <v>1508</v>
      </c>
      <c r="C325" s="1" t="s">
        <v>234</v>
      </c>
      <c r="D325" s="1">
        <v>4</v>
      </c>
      <c r="E325" s="1">
        <v>80</v>
      </c>
      <c r="F325" s="1">
        <v>23</v>
      </c>
      <c r="G325" s="1" t="s">
        <v>18</v>
      </c>
      <c r="H325" s="1">
        <v>2192</v>
      </c>
      <c r="K325" s="1" t="s">
        <v>76</v>
      </c>
      <c r="L325" s="1" t="s">
        <v>242</v>
      </c>
      <c r="M325" s="1" t="s">
        <v>243</v>
      </c>
      <c r="N325" s="1" t="s">
        <v>261</v>
      </c>
      <c r="O325" s="1">
        <v>39.94</v>
      </c>
      <c r="P325" s="1" t="s">
        <v>130</v>
      </c>
    </row>
    <row r="326" spans="1:16">
      <c r="A326" s="7">
        <v>40122</v>
      </c>
      <c r="B326" s="1">
        <v>1509</v>
      </c>
      <c r="C326" s="1" t="s">
        <v>234</v>
      </c>
      <c r="D326" s="1">
        <v>4</v>
      </c>
      <c r="E326" s="1">
        <v>65</v>
      </c>
      <c r="F326" s="1">
        <v>23</v>
      </c>
      <c r="G326" s="1" t="s">
        <v>18</v>
      </c>
      <c r="H326" s="1">
        <v>2193</v>
      </c>
      <c r="K326" s="1" t="s">
        <v>76</v>
      </c>
      <c r="L326" s="1" t="s">
        <v>242</v>
      </c>
      <c r="M326" s="1" t="s">
        <v>243</v>
      </c>
      <c r="N326" s="1" t="s">
        <v>261</v>
      </c>
      <c r="O326" s="1">
        <v>12.16</v>
      </c>
      <c r="P326" s="1" t="s">
        <v>130</v>
      </c>
    </row>
    <row r="327" spans="1:16">
      <c r="A327" s="7">
        <v>40122</v>
      </c>
      <c r="B327" s="1">
        <v>1510</v>
      </c>
      <c r="C327" s="1" t="s">
        <v>234</v>
      </c>
      <c r="D327" s="1">
        <v>4</v>
      </c>
      <c r="E327" s="1">
        <v>80</v>
      </c>
      <c r="F327" s="1">
        <v>23</v>
      </c>
      <c r="G327" s="1" t="s">
        <v>18</v>
      </c>
      <c r="H327" s="1">
        <v>2194</v>
      </c>
      <c r="K327" s="1" t="s">
        <v>76</v>
      </c>
      <c r="L327" s="1" t="s">
        <v>242</v>
      </c>
      <c r="M327" s="1" t="s">
        <v>243</v>
      </c>
      <c r="N327" s="1" t="s">
        <v>261</v>
      </c>
      <c r="O327" s="1">
        <v>57.6</v>
      </c>
      <c r="P327" s="1" t="s">
        <v>130</v>
      </c>
    </row>
    <row r="328" spans="1:16">
      <c r="A328" s="7">
        <v>40122</v>
      </c>
      <c r="B328" s="1">
        <v>1511</v>
      </c>
      <c r="C328" s="1" t="s">
        <v>234</v>
      </c>
      <c r="D328" s="1">
        <v>4</v>
      </c>
      <c r="E328" s="1">
        <v>80</v>
      </c>
      <c r="F328" s="1">
        <v>23</v>
      </c>
      <c r="G328" s="1" t="s">
        <v>18</v>
      </c>
      <c r="H328" s="1">
        <v>2195</v>
      </c>
      <c r="K328" s="1" t="s">
        <v>80</v>
      </c>
      <c r="L328" s="1" t="s">
        <v>245</v>
      </c>
      <c r="M328" s="1" t="s">
        <v>246</v>
      </c>
      <c r="N328" s="1" t="s">
        <v>260</v>
      </c>
      <c r="O328" s="1">
        <v>-546.26</v>
      </c>
      <c r="P328" s="1" t="s">
        <v>130</v>
      </c>
    </row>
    <row r="329" spans="1:16">
      <c r="A329" s="7">
        <v>39850</v>
      </c>
      <c r="B329" s="1">
        <v>163</v>
      </c>
      <c r="C329" s="1" t="s">
        <v>234</v>
      </c>
      <c r="D329" s="1">
        <v>4</v>
      </c>
      <c r="E329" s="1">
        <v>636.85</v>
      </c>
      <c r="F329" s="1">
        <v>23</v>
      </c>
      <c r="G329" s="1" t="s">
        <v>12</v>
      </c>
      <c r="H329" s="1">
        <v>820</v>
      </c>
      <c r="K329" s="1" t="s">
        <v>76</v>
      </c>
      <c r="L329" s="1" t="s">
        <v>248</v>
      </c>
      <c r="M329" s="1" t="s">
        <v>249</v>
      </c>
      <c r="N329" s="1" t="s">
        <v>250</v>
      </c>
      <c r="O329" s="1">
        <v>429.5</v>
      </c>
      <c r="P329" s="1" t="s">
        <v>130</v>
      </c>
    </row>
    <row r="330" spans="1:16">
      <c r="A330" s="7">
        <v>39850</v>
      </c>
      <c r="B330" s="1">
        <v>167</v>
      </c>
      <c r="C330" s="1" t="s">
        <v>234</v>
      </c>
      <c r="D330" s="1">
        <v>4</v>
      </c>
      <c r="E330" s="1">
        <v>808.44</v>
      </c>
      <c r="F330" s="1">
        <v>23</v>
      </c>
      <c r="G330" s="1" t="s">
        <v>12</v>
      </c>
      <c r="H330" s="1">
        <v>1128</v>
      </c>
      <c r="K330" s="1" t="s">
        <v>79</v>
      </c>
      <c r="L330" s="1" t="s">
        <v>245</v>
      </c>
      <c r="M330" s="1" t="s">
        <v>246</v>
      </c>
      <c r="N330" s="1" t="s">
        <v>251</v>
      </c>
      <c r="O330" s="1">
        <v>6</v>
      </c>
      <c r="P330" s="1" t="s">
        <v>130</v>
      </c>
    </row>
    <row r="331" spans="1:16">
      <c r="A331" s="7">
        <v>39850</v>
      </c>
      <c r="B331" s="1">
        <v>173</v>
      </c>
      <c r="C331" s="1" t="s">
        <v>235</v>
      </c>
      <c r="D331" s="1">
        <v>4</v>
      </c>
      <c r="E331" s="1">
        <v>772.35</v>
      </c>
      <c r="F331" s="1">
        <v>23</v>
      </c>
      <c r="G331" s="1" t="s">
        <v>12</v>
      </c>
      <c r="H331" s="1">
        <v>177</v>
      </c>
      <c r="K331" s="1" t="s">
        <v>79</v>
      </c>
      <c r="L331" s="1" t="s">
        <v>245</v>
      </c>
      <c r="M331" s="1" t="s">
        <v>246</v>
      </c>
      <c r="N331" s="1" t="s">
        <v>251</v>
      </c>
      <c r="O331" s="1">
        <v>26.01</v>
      </c>
      <c r="P331" s="1" t="s">
        <v>130</v>
      </c>
    </row>
    <row r="332" spans="1:16">
      <c r="A332" s="7">
        <v>39850</v>
      </c>
      <c r="B332" s="1">
        <v>174</v>
      </c>
      <c r="C332" s="1" t="s">
        <v>235</v>
      </c>
      <c r="D332" s="1">
        <v>4</v>
      </c>
      <c r="E332" s="1">
        <v>433.6</v>
      </c>
      <c r="F332" s="1">
        <v>23</v>
      </c>
      <c r="G332" s="1" t="s">
        <v>12</v>
      </c>
      <c r="H332" s="1">
        <v>1396</v>
      </c>
      <c r="K332" s="1" t="s">
        <v>100</v>
      </c>
      <c r="L332" s="1" t="s">
        <v>245</v>
      </c>
      <c r="M332" s="1" t="s">
        <v>246</v>
      </c>
      <c r="N332" s="1" t="s">
        <v>252</v>
      </c>
      <c r="O332" s="1">
        <v>30</v>
      </c>
      <c r="P332" s="1" t="s">
        <v>130</v>
      </c>
    </row>
    <row r="333" spans="1:16">
      <c r="A333" s="7">
        <v>39850</v>
      </c>
      <c r="B333" s="1">
        <v>182</v>
      </c>
      <c r="C333" s="1" t="s">
        <v>234</v>
      </c>
      <c r="D333" s="1">
        <v>1</v>
      </c>
      <c r="E333" s="1">
        <v>230.35</v>
      </c>
      <c r="F333" s="1">
        <v>23</v>
      </c>
      <c r="G333" s="1" t="s">
        <v>12</v>
      </c>
      <c r="H333" s="1">
        <v>835</v>
      </c>
      <c r="K333" s="1" t="s">
        <v>86</v>
      </c>
      <c r="L333" s="1" t="s">
        <v>242</v>
      </c>
      <c r="M333" s="1" t="s">
        <v>243</v>
      </c>
      <c r="N333" s="1" t="s">
        <v>254</v>
      </c>
      <c r="O333" s="1">
        <v>66.290000000000006</v>
      </c>
      <c r="P333" s="1" t="s">
        <v>130</v>
      </c>
    </row>
    <row r="334" spans="1:16">
      <c r="A334" s="7">
        <v>39850</v>
      </c>
      <c r="B334" s="1">
        <v>150</v>
      </c>
      <c r="C334" s="1" t="s">
        <v>235</v>
      </c>
      <c r="D334" s="1">
        <v>4</v>
      </c>
      <c r="E334" s="1">
        <v>282.14999999999998</v>
      </c>
      <c r="F334" s="1">
        <v>23</v>
      </c>
      <c r="G334" s="1" t="s">
        <v>13</v>
      </c>
      <c r="H334" s="1">
        <v>403</v>
      </c>
      <c r="K334" s="1" t="s">
        <v>88</v>
      </c>
      <c r="L334" s="1" t="s">
        <v>242</v>
      </c>
      <c r="M334" s="1" t="s">
        <v>243</v>
      </c>
      <c r="N334" s="1" t="s">
        <v>254</v>
      </c>
      <c r="O334" s="1">
        <v>10.5</v>
      </c>
      <c r="P334" s="1" t="s">
        <v>130</v>
      </c>
    </row>
    <row r="335" spans="1:16">
      <c r="A335" s="7">
        <v>39850</v>
      </c>
      <c r="B335" s="1">
        <v>153</v>
      </c>
      <c r="C335" s="1" t="s">
        <v>234</v>
      </c>
      <c r="D335" s="1">
        <v>1</v>
      </c>
      <c r="E335" s="1">
        <v>474.65</v>
      </c>
      <c r="F335" s="1">
        <v>23</v>
      </c>
      <c r="G335" s="1" t="s">
        <v>13</v>
      </c>
      <c r="H335" s="1">
        <v>1428</v>
      </c>
      <c r="K335" s="1" t="s">
        <v>81</v>
      </c>
      <c r="L335" s="1" t="s">
        <v>242</v>
      </c>
      <c r="M335" s="1" t="s">
        <v>243</v>
      </c>
      <c r="N335" s="1" t="s">
        <v>254</v>
      </c>
      <c r="O335" s="1">
        <v>21.55</v>
      </c>
      <c r="P335" s="1" t="s">
        <v>130</v>
      </c>
    </row>
    <row r="336" spans="1:16">
      <c r="A336" s="7">
        <v>39850</v>
      </c>
      <c r="B336" s="1">
        <v>156</v>
      </c>
      <c r="C336" s="1" t="s">
        <v>234</v>
      </c>
      <c r="D336" s="1">
        <v>1</v>
      </c>
      <c r="E336" s="1">
        <v>125.4</v>
      </c>
      <c r="F336" s="1">
        <v>23</v>
      </c>
      <c r="G336" s="1" t="s">
        <v>13</v>
      </c>
      <c r="H336" s="1">
        <v>423</v>
      </c>
      <c r="K336" s="1" t="s">
        <v>104</v>
      </c>
      <c r="L336" s="1" t="s">
        <v>242</v>
      </c>
      <c r="M336" s="1" t="s">
        <v>243</v>
      </c>
      <c r="N336" s="1" t="s">
        <v>254</v>
      </c>
      <c r="O336" s="1">
        <v>9.33</v>
      </c>
      <c r="P336" s="1" t="s">
        <v>130</v>
      </c>
    </row>
    <row r="337" spans="1:16">
      <c r="A337" s="7">
        <v>39850</v>
      </c>
      <c r="B337" s="1">
        <v>157</v>
      </c>
      <c r="C337" s="1" t="s">
        <v>235</v>
      </c>
      <c r="D337" s="1">
        <v>3</v>
      </c>
      <c r="E337" s="1">
        <v>408.19</v>
      </c>
      <c r="F337" s="1">
        <v>23</v>
      </c>
      <c r="G337" s="1" t="s">
        <v>13</v>
      </c>
      <c r="H337" s="1">
        <v>1798</v>
      </c>
      <c r="K337" s="1" t="s">
        <v>109</v>
      </c>
      <c r="L337" s="1" t="s">
        <v>242</v>
      </c>
      <c r="M337" s="1" t="s">
        <v>243</v>
      </c>
      <c r="N337" s="1" t="s">
        <v>254</v>
      </c>
      <c r="O337" s="1">
        <v>7</v>
      </c>
      <c r="P337" s="1" t="s">
        <v>130</v>
      </c>
    </row>
    <row r="338" spans="1:16">
      <c r="A338" s="7">
        <v>39850</v>
      </c>
      <c r="B338" s="1">
        <v>162</v>
      </c>
      <c r="C338" s="1" t="s">
        <v>234</v>
      </c>
      <c r="D338" s="1">
        <v>4</v>
      </c>
      <c r="E338" s="1">
        <v>204.42</v>
      </c>
      <c r="F338" s="1">
        <v>23</v>
      </c>
      <c r="G338" s="1" t="s">
        <v>13</v>
      </c>
      <c r="H338" s="1">
        <v>841</v>
      </c>
      <c r="K338" s="1" t="s">
        <v>122</v>
      </c>
      <c r="L338" s="1" t="s">
        <v>245</v>
      </c>
      <c r="M338" s="1" t="s">
        <v>246</v>
      </c>
      <c r="N338" s="1" t="s">
        <v>250</v>
      </c>
      <c r="O338" s="1">
        <v>821.9</v>
      </c>
      <c r="P338" s="1" t="s">
        <v>130</v>
      </c>
    </row>
    <row r="339" spans="1:16">
      <c r="A339" s="7">
        <v>39850</v>
      </c>
      <c r="B339" s="1">
        <v>166</v>
      </c>
      <c r="C339" s="1" t="s">
        <v>234</v>
      </c>
      <c r="D339" s="1">
        <v>4</v>
      </c>
      <c r="E339" s="1">
        <v>832.06</v>
      </c>
      <c r="F339" s="1">
        <v>23</v>
      </c>
      <c r="G339" s="1" t="s">
        <v>13</v>
      </c>
      <c r="H339" s="1">
        <v>1500</v>
      </c>
      <c r="K339" s="1" t="s">
        <v>63</v>
      </c>
      <c r="L339" s="1" t="s">
        <v>242</v>
      </c>
      <c r="M339" s="1" t="s">
        <v>243</v>
      </c>
      <c r="N339" s="1" t="s">
        <v>244</v>
      </c>
      <c r="O339" s="1">
        <v>21518.07</v>
      </c>
      <c r="P339" s="1" t="s">
        <v>131</v>
      </c>
    </row>
    <row r="340" spans="1:16">
      <c r="A340" s="7">
        <v>39850</v>
      </c>
      <c r="B340" s="1">
        <v>170</v>
      </c>
      <c r="C340" s="1" t="s">
        <v>234</v>
      </c>
      <c r="D340" s="1">
        <v>3</v>
      </c>
      <c r="E340" s="1">
        <v>219.45</v>
      </c>
      <c r="F340" s="1">
        <v>23</v>
      </c>
      <c r="G340" s="1" t="s">
        <v>13</v>
      </c>
      <c r="H340" s="1">
        <v>0</v>
      </c>
      <c r="K340" s="1" t="s">
        <v>63</v>
      </c>
      <c r="L340" s="1" t="s">
        <v>242</v>
      </c>
      <c r="M340" s="1" t="s">
        <v>243</v>
      </c>
      <c r="N340" s="1" t="s">
        <v>244</v>
      </c>
      <c r="O340" s="1">
        <v>13076.52</v>
      </c>
      <c r="P340" s="1" t="s">
        <v>131</v>
      </c>
    </row>
    <row r="341" spans="1:16">
      <c r="A341" s="7">
        <v>39850</v>
      </c>
      <c r="B341" s="1">
        <v>171</v>
      </c>
      <c r="C341" s="1" t="s">
        <v>234</v>
      </c>
      <c r="D341" s="1">
        <v>4</v>
      </c>
      <c r="E341" s="1">
        <v>557.1</v>
      </c>
      <c r="F341" s="1">
        <v>23</v>
      </c>
      <c r="G341" s="1" t="s">
        <v>13</v>
      </c>
      <c r="H341" s="1">
        <v>1465</v>
      </c>
      <c r="K341" s="1" t="s">
        <v>63</v>
      </c>
      <c r="L341" s="1" t="s">
        <v>242</v>
      </c>
      <c r="M341" s="1" t="s">
        <v>243</v>
      </c>
      <c r="N341" s="1" t="s">
        <v>244</v>
      </c>
      <c r="O341" s="1">
        <v>-823.63</v>
      </c>
      <c r="P341" s="1" t="s">
        <v>131</v>
      </c>
    </row>
    <row r="342" spans="1:16">
      <c r="A342" s="7">
        <v>39850</v>
      </c>
      <c r="B342" s="1">
        <v>172</v>
      </c>
      <c r="C342" s="1" t="s">
        <v>235</v>
      </c>
      <c r="D342" s="1">
        <v>4</v>
      </c>
      <c r="E342" s="1">
        <v>18</v>
      </c>
      <c r="F342" s="1">
        <v>23</v>
      </c>
      <c r="G342" s="1" t="s">
        <v>13</v>
      </c>
      <c r="H342" s="1">
        <v>177</v>
      </c>
      <c r="K342" s="1" t="s">
        <v>63</v>
      </c>
      <c r="L342" s="1" t="s">
        <v>242</v>
      </c>
      <c r="M342" s="1" t="s">
        <v>243</v>
      </c>
      <c r="N342" s="1" t="s">
        <v>244</v>
      </c>
      <c r="O342" s="1">
        <v>31979.62</v>
      </c>
      <c r="P342" s="1" t="s">
        <v>131</v>
      </c>
    </row>
    <row r="343" spans="1:16">
      <c r="A343" s="7">
        <v>39850</v>
      </c>
      <c r="B343" s="1">
        <v>180</v>
      </c>
      <c r="C343" s="1" t="s">
        <v>234</v>
      </c>
      <c r="D343" s="1">
        <v>1</v>
      </c>
      <c r="E343" s="1">
        <v>1020.16</v>
      </c>
      <c r="F343" s="1">
        <v>23</v>
      </c>
      <c r="G343" s="1" t="s">
        <v>13</v>
      </c>
      <c r="H343" s="1">
        <v>0</v>
      </c>
      <c r="K343" s="1" t="s">
        <v>63</v>
      </c>
      <c r="L343" s="1" t="s">
        <v>242</v>
      </c>
      <c r="M343" s="1" t="s">
        <v>243</v>
      </c>
      <c r="N343" s="1" t="s">
        <v>244</v>
      </c>
      <c r="O343" s="1">
        <v>12342.79</v>
      </c>
      <c r="P343" s="1" t="s">
        <v>131</v>
      </c>
    </row>
    <row r="344" spans="1:16">
      <c r="A344" s="7">
        <v>39850</v>
      </c>
      <c r="B344" s="1">
        <v>181</v>
      </c>
      <c r="C344" s="1" t="s">
        <v>234</v>
      </c>
      <c r="D344" s="1">
        <v>1</v>
      </c>
      <c r="E344" s="1">
        <v>816.39</v>
      </c>
      <c r="F344" s="1">
        <v>23</v>
      </c>
      <c r="G344" s="1" t="s">
        <v>13</v>
      </c>
      <c r="H344" s="1">
        <v>1825</v>
      </c>
      <c r="K344" s="1" t="s">
        <v>65</v>
      </c>
      <c r="L344" s="1" t="s">
        <v>242</v>
      </c>
      <c r="M344" s="1" t="s">
        <v>243</v>
      </c>
      <c r="N344" s="1" t="s">
        <v>244</v>
      </c>
      <c r="O344" s="1">
        <v>9221.1200000000008</v>
      </c>
      <c r="P344" s="1" t="s">
        <v>131</v>
      </c>
    </row>
    <row r="345" spans="1:16">
      <c r="A345" s="7">
        <v>39850</v>
      </c>
      <c r="B345" s="1">
        <v>154</v>
      </c>
      <c r="C345" s="1" t="s">
        <v>234</v>
      </c>
      <c r="D345" s="1">
        <v>4</v>
      </c>
      <c r="E345" s="1">
        <v>517.23</v>
      </c>
      <c r="F345" s="1">
        <v>23</v>
      </c>
      <c r="G345" s="1" t="s">
        <v>3</v>
      </c>
      <c r="H345" s="1">
        <v>1485</v>
      </c>
      <c r="K345" s="1" t="s">
        <v>66</v>
      </c>
      <c r="L345" s="1" t="s">
        <v>242</v>
      </c>
      <c r="M345" s="1" t="s">
        <v>243</v>
      </c>
      <c r="N345" s="1" t="s">
        <v>244</v>
      </c>
      <c r="O345" s="1">
        <v>7630.49</v>
      </c>
      <c r="P345" s="1" t="s">
        <v>131</v>
      </c>
    </row>
    <row r="346" spans="1:16">
      <c r="A346" s="7">
        <v>39850</v>
      </c>
      <c r="B346" s="1">
        <v>155</v>
      </c>
      <c r="C346" s="1" t="s">
        <v>234</v>
      </c>
      <c r="D346" s="1">
        <v>4</v>
      </c>
      <c r="E346" s="1">
        <v>909.15</v>
      </c>
      <c r="F346" s="1">
        <v>23</v>
      </c>
      <c r="G346" s="1" t="s">
        <v>3</v>
      </c>
      <c r="H346" s="1">
        <v>1814</v>
      </c>
      <c r="K346" s="1" t="s">
        <v>66</v>
      </c>
      <c r="L346" s="1" t="s">
        <v>242</v>
      </c>
      <c r="M346" s="1" t="s">
        <v>243</v>
      </c>
      <c r="N346" s="1" t="s">
        <v>244</v>
      </c>
      <c r="O346" s="1">
        <v>5889.25</v>
      </c>
      <c r="P346" s="1" t="s">
        <v>131</v>
      </c>
    </row>
    <row r="347" spans="1:16">
      <c r="A347" s="7">
        <v>39850</v>
      </c>
      <c r="B347" s="1">
        <v>158</v>
      </c>
      <c r="C347" s="1" t="s">
        <v>234</v>
      </c>
      <c r="D347" s="1">
        <v>3</v>
      </c>
      <c r="E347" s="1">
        <v>909.15</v>
      </c>
      <c r="F347" s="1">
        <v>23</v>
      </c>
      <c r="G347" s="1" t="s">
        <v>3</v>
      </c>
      <c r="H347" s="1">
        <v>1821</v>
      </c>
      <c r="K347" s="1" t="s">
        <v>66</v>
      </c>
      <c r="L347" s="1" t="s">
        <v>242</v>
      </c>
      <c r="M347" s="1" t="s">
        <v>243</v>
      </c>
      <c r="N347" s="1" t="s">
        <v>244</v>
      </c>
      <c r="O347" s="1">
        <v>19378.75</v>
      </c>
      <c r="P347" s="1" t="s">
        <v>131</v>
      </c>
    </row>
    <row r="348" spans="1:16">
      <c r="A348" s="7">
        <v>39850</v>
      </c>
      <c r="B348" s="1">
        <v>159</v>
      </c>
      <c r="C348" s="1" t="s">
        <v>234</v>
      </c>
      <c r="D348" s="1">
        <v>3</v>
      </c>
      <c r="E348" s="1">
        <v>909.15</v>
      </c>
      <c r="F348" s="1">
        <v>23</v>
      </c>
      <c r="G348" s="1" t="s">
        <v>3</v>
      </c>
      <c r="H348" s="1">
        <v>1800</v>
      </c>
      <c r="K348" s="1" t="s">
        <v>66</v>
      </c>
      <c r="L348" s="1" t="s">
        <v>242</v>
      </c>
      <c r="M348" s="1" t="s">
        <v>243</v>
      </c>
      <c r="N348" s="1" t="s">
        <v>244</v>
      </c>
      <c r="O348" s="1">
        <v>5819.4</v>
      </c>
      <c r="P348" s="1" t="s">
        <v>131</v>
      </c>
    </row>
    <row r="349" spans="1:16">
      <c r="A349" s="7">
        <v>39850</v>
      </c>
      <c r="B349" s="1">
        <v>160</v>
      </c>
      <c r="C349" s="1" t="s">
        <v>234</v>
      </c>
      <c r="D349" s="1">
        <v>3</v>
      </c>
      <c r="E349" s="1">
        <v>1097.25</v>
      </c>
      <c r="F349" s="1">
        <v>23</v>
      </c>
      <c r="G349" s="1" t="s">
        <v>3</v>
      </c>
      <c r="H349" s="1">
        <v>1368</v>
      </c>
      <c r="K349" s="1" t="s">
        <v>67</v>
      </c>
      <c r="L349" s="1" t="s">
        <v>242</v>
      </c>
      <c r="M349" s="1" t="s">
        <v>243</v>
      </c>
      <c r="N349" s="1" t="s">
        <v>244</v>
      </c>
      <c r="O349" s="1">
        <v>1781.67</v>
      </c>
      <c r="P349" s="1" t="s">
        <v>131</v>
      </c>
    </row>
    <row r="350" spans="1:16">
      <c r="A350" s="7">
        <v>39850</v>
      </c>
      <c r="B350" s="1">
        <v>164</v>
      </c>
      <c r="C350" s="1" t="s">
        <v>234</v>
      </c>
      <c r="D350" s="1">
        <v>4</v>
      </c>
      <c r="E350" s="1">
        <v>517.28</v>
      </c>
      <c r="F350" s="1">
        <v>23</v>
      </c>
      <c r="G350" s="1" t="s">
        <v>3</v>
      </c>
      <c r="H350" s="1">
        <v>1360</v>
      </c>
      <c r="K350" s="1" t="s">
        <v>67</v>
      </c>
      <c r="L350" s="1" t="s">
        <v>242</v>
      </c>
      <c r="M350" s="1" t="s">
        <v>243</v>
      </c>
      <c r="N350" s="1" t="s">
        <v>244</v>
      </c>
      <c r="O350" s="1">
        <v>948.89</v>
      </c>
      <c r="P350" s="1" t="s">
        <v>131</v>
      </c>
    </row>
    <row r="351" spans="1:16">
      <c r="A351" s="7">
        <v>39850</v>
      </c>
      <c r="B351" s="1">
        <v>165</v>
      </c>
      <c r="C351" s="1" t="s">
        <v>234</v>
      </c>
      <c r="D351" s="1">
        <v>4</v>
      </c>
      <c r="E351" s="1">
        <v>909.15</v>
      </c>
      <c r="F351" s="1">
        <v>23</v>
      </c>
      <c r="G351" s="1" t="s">
        <v>3</v>
      </c>
      <c r="H351" s="1">
        <v>1789</v>
      </c>
      <c r="K351" s="1" t="s">
        <v>67</v>
      </c>
      <c r="L351" s="1" t="s">
        <v>242</v>
      </c>
      <c r="M351" s="1" t="s">
        <v>243</v>
      </c>
      <c r="N351" s="1" t="s">
        <v>244</v>
      </c>
      <c r="O351" s="1">
        <v>-225.36</v>
      </c>
      <c r="P351" s="1" t="s">
        <v>131</v>
      </c>
    </row>
    <row r="352" spans="1:16">
      <c r="A352" s="7">
        <v>39850</v>
      </c>
      <c r="B352" s="1">
        <v>168</v>
      </c>
      <c r="C352" s="1" t="s">
        <v>234</v>
      </c>
      <c r="D352" s="1">
        <v>4</v>
      </c>
      <c r="E352" s="1">
        <v>454.58</v>
      </c>
      <c r="F352" s="1">
        <v>23</v>
      </c>
      <c r="G352" s="1" t="s">
        <v>3</v>
      </c>
      <c r="H352" s="1">
        <v>1795</v>
      </c>
      <c r="K352" s="1" t="s">
        <v>67</v>
      </c>
      <c r="L352" s="1" t="s">
        <v>242</v>
      </c>
      <c r="M352" s="1" t="s">
        <v>243</v>
      </c>
      <c r="N352" s="1" t="s">
        <v>244</v>
      </c>
      <c r="O352" s="1">
        <v>4137.8500000000004</v>
      </c>
      <c r="P352" s="1" t="s">
        <v>131</v>
      </c>
    </row>
    <row r="353" spans="1:16">
      <c r="A353" s="7">
        <v>39850</v>
      </c>
      <c r="B353" s="1">
        <v>169</v>
      </c>
      <c r="C353" s="1" t="s">
        <v>234</v>
      </c>
      <c r="D353" s="1">
        <v>4</v>
      </c>
      <c r="E353" s="1">
        <v>846.45</v>
      </c>
      <c r="F353" s="1">
        <v>23</v>
      </c>
      <c r="G353" s="1" t="s">
        <v>3</v>
      </c>
      <c r="H353" s="1">
        <v>1837</v>
      </c>
      <c r="K353" s="1" t="s">
        <v>67</v>
      </c>
      <c r="L353" s="1" t="s">
        <v>242</v>
      </c>
      <c r="M353" s="1" t="s">
        <v>243</v>
      </c>
      <c r="N353" s="1" t="s">
        <v>244</v>
      </c>
      <c r="O353" s="1">
        <v>466.9</v>
      </c>
      <c r="P353" s="1" t="s">
        <v>131</v>
      </c>
    </row>
    <row r="354" spans="1:16">
      <c r="A354" s="7">
        <v>39850</v>
      </c>
      <c r="B354" s="1">
        <v>179</v>
      </c>
      <c r="C354" s="1" t="s">
        <v>234</v>
      </c>
      <c r="D354" s="1">
        <v>3</v>
      </c>
      <c r="E354" s="1">
        <v>846.45</v>
      </c>
      <c r="F354" s="1">
        <v>23</v>
      </c>
      <c r="G354" s="1" t="s">
        <v>3</v>
      </c>
      <c r="H354" s="1">
        <v>1816</v>
      </c>
      <c r="K354" s="1" t="s">
        <v>68</v>
      </c>
      <c r="L354" s="1" t="s">
        <v>242</v>
      </c>
      <c r="M354" s="1" t="s">
        <v>243</v>
      </c>
      <c r="N354" s="1" t="s">
        <v>244</v>
      </c>
      <c r="O354" s="1">
        <v>3029.06</v>
      </c>
      <c r="P354" s="1" t="s">
        <v>131</v>
      </c>
    </row>
    <row r="355" spans="1:16">
      <c r="A355" s="7">
        <v>39850</v>
      </c>
      <c r="B355" s="1">
        <v>151</v>
      </c>
      <c r="C355" s="1" t="s">
        <v>235</v>
      </c>
      <c r="D355" s="1">
        <v>1</v>
      </c>
      <c r="E355" s="1">
        <v>493.48</v>
      </c>
      <c r="F355" s="1">
        <v>23</v>
      </c>
      <c r="G355" s="1" t="s">
        <v>29</v>
      </c>
      <c r="H355" s="1">
        <v>1173</v>
      </c>
      <c r="K355" s="1" t="s">
        <v>68</v>
      </c>
      <c r="L355" s="1" t="s">
        <v>242</v>
      </c>
      <c r="M355" s="1" t="s">
        <v>243</v>
      </c>
      <c r="N355" s="1" t="s">
        <v>244</v>
      </c>
      <c r="O355" s="1">
        <v>1686.99</v>
      </c>
      <c r="P355" s="1" t="s">
        <v>131</v>
      </c>
    </row>
    <row r="356" spans="1:16">
      <c r="A356" s="7">
        <v>39850</v>
      </c>
      <c r="B356" s="1">
        <v>152</v>
      </c>
      <c r="C356" s="1" t="s">
        <v>235</v>
      </c>
      <c r="D356" s="1">
        <v>1</v>
      </c>
      <c r="E356" s="1">
        <v>796.39</v>
      </c>
      <c r="F356" s="1">
        <v>23</v>
      </c>
      <c r="G356" s="1" t="s">
        <v>29</v>
      </c>
      <c r="H356" s="1">
        <v>364</v>
      </c>
      <c r="K356" s="1" t="s">
        <v>68</v>
      </c>
      <c r="L356" s="1" t="s">
        <v>242</v>
      </c>
      <c r="M356" s="1" t="s">
        <v>243</v>
      </c>
      <c r="N356" s="1" t="s">
        <v>244</v>
      </c>
      <c r="O356" s="1">
        <v>4695.3599999999997</v>
      </c>
      <c r="P356" s="1" t="s">
        <v>131</v>
      </c>
    </row>
    <row r="357" spans="1:16">
      <c r="A357" s="7">
        <v>39850</v>
      </c>
      <c r="B357" s="1">
        <v>175</v>
      </c>
      <c r="C357" s="1" t="s">
        <v>234</v>
      </c>
      <c r="D357" s="1">
        <v>4</v>
      </c>
      <c r="E357" s="1">
        <v>651.52</v>
      </c>
      <c r="F357" s="1">
        <v>23</v>
      </c>
      <c r="G357" s="1" t="s">
        <v>29</v>
      </c>
      <c r="H357" s="1">
        <v>174</v>
      </c>
      <c r="K357" s="1" t="s">
        <v>68</v>
      </c>
      <c r="L357" s="1" t="s">
        <v>242</v>
      </c>
      <c r="M357" s="1" t="s">
        <v>243</v>
      </c>
      <c r="N357" s="1" t="s">
        <v>244</v>
      </c>
      <c r="O357" s="1">
        <v>1665.3</v>
      </c>
      <c r="P357" s="1" t="s">
        <v>131</v>
      </c>
    </row>
    <row r="358" spans="1:16">
      <c r="A358" s="7">
        <v>39850</v>
      </c>
      <c r="B358" s="1">
        <v>178</v>
      </c>
      <c r="C358" s="1" t="s">
        <v>234</v>
      </c>
      <c r="D358" s="1">
        <v>4</v>
      </c>
      <c r="E358" s="1">
        <v>888.58</v>
      </c>
      <c r="F358" s="1">
        <v>23</v>
      </c>
      <c r="G358" s="1" t="s">
        <v>29</v>
      </c>
      <c r="H358" s="1">
        <v>616</v>
      </c>
      <c r="K358" s="1" t="s">
        <v>69</v>
      </c>
      <c r="L358" s="1" t="s">
        <v>242</v>
      </c>
      <c r="M358" s="1" t="s">
        <v>243</v>
      </c>
      <c r="N358" s="1" t="s">
        <v>244</v>
      </c>
      <c r="O358" s="1">
        <v>1198.76</v>
      </c>
      <c r="P358" s="1" t="s">
        <v>131</v>
      </c>
    </row>
    <row r="359" spans="1:16">
      <c r="A359" s="7">
        <v>39850</v>
      </c>
      <c r="B359" s="1">
        <v>183</v>
      </c>
      <c r="C359" s="1" t="s">
        <v>234</v>
      </c>
      <c r="D359" s="1">
        <v>1</v>
      </c>
      <c r="E359" s="1">
        <v>651.52</v>
      </c>
      <c r="F359" s="1">
        <v>23</v>
      </c>
      <c r="G359" s="1" t="s">
        <v>29</v>
      </c>
      <c r="H359" s="1">
        <v>729</v>
      </c>
      <c r="K359" s="1" t="s">
        <v>70</v>
      </c>
      <c r="L359" s="1" t="s">
        <v>242</v>
      </c>
      <c r="M359" s="1" t="s">
        <v>243</v>
      </c>
      <c r="N359" s="1" t="s">
        <v>244</v>
      </c>
      <c r="O359" s="1">
        <v>992.02</v>
      </c>
      <c r="P359" s="1" t="s">
        <v>131</v>
      </c>
    </row>
    <row r="360" spans="1:16">
      <c r="A360" s="7">
        <v>39850</v>
      </c>
      <c r="B360" s="1">
        <v>186</v>
      </c>
      <c r="C360" s="1" t="s">
        <v>235</v>
      </c>
      <c r="D360" s="1">
        <v>1</v>
      </c>
      <c r="E360" s="1">
        <v>244.8</v>
      </c>
      <c r="F360" s="1">
        <v>23</v>
      </c>
      <c r="G360" s="1" t="s">
        <v>40</v>
      </c>
      <c r="H360" s="1">
        <v>1104</v>
      </c>
      <c r="K360" s="1" t="s">
        <v>70</v>
      </c>
      <c r="L360" s="1" t="s">
        <v>242</v>
      </c>
      <c r="M360" s="1" t="s">
        <v>243</v>
      </c>
      <c r="N360" s="1" t="s">
        <v>244</v>
      </c>
      <c r="O360" s="1">
        <v>765.62</v>
      </c>
      <c r="P360" s="1" t="s">
        <v>131</v>
      </c>
    </row>
    <row r="361" spans="1:16">
      <c r="A361" s="7">
        <v>39850</v>
      </c>
      <c r="B361" s="1">
        <v>161</v>
      </c>
      <c r="C361" s="1" t="s">
        <v>234</v>
      </c>
      <c r="D361" s="1">
        <v>3</v>
      </c>
      <c r="E361" s="1">
        <v>150</v>
      </c>
      <c r="F361" s="1">
        <v>23</v>
      </c>
      <c r="G361" s="1" t="s">
        <v>41</v>
      </c>
      <c r="H361" s="1">
        <v>2012</v>
      </c>
      <c r="K361" s="1" t="s">
        <v>70</v>
      </c>
      <c r="L361" s="1" t="s">
        <v>242</v>
      </c>
      <c r="M361" s="1" t="s">
        <v>243</v>
      </c>
      <c r="N361" s="1" t="s">
        <v>244</v>
      </c>
      <c r="O361" s="1">
        <v>2519.27</v>
      </c>
      <c r="P361" s="1" t="s">
        <v>131</v>
      </c>
    </row>
    <row r="362" spans="1:16">
      <c r="A362" s="7">
        <v>39878</v>
      </c>
      <c r="B362" s="1">
        <v>489</v>
      </c>
      <c r="C362" s="1" t="s">
        <v>234</v>
      </c>
      <c r="D362" s="1">
        <v>3</v>
      </c>
      <c r="E362" s="1">
        <v>39.51</v>
      </c>
      <c r="F362" s="1">
        <v>23</v>
      </c>
      <c r="G362" s="1" t="s">
        <v>29</v>
      </c>
      <c r="H362" s="1">
        <v>666</v>
      </c>
      <c r="K362" s="1" t="s">
        <v>70</v>
      </c>
      <c r="L362" s="1" t="s">
        <v>242</v>
      </c>
      <c r="M362" s="1" t="s">
        <v>243</v>
      </c>
      <c r="N362" s="1" t="s">
        <v>244</v>
      </c>
      <c r="O362" s="1">
        <v>756.66</v>
      </c>
      <c r="P362" s="1" t="s">
        <v>131</v>
      </c>
    </row>
    <row r="363" spans="1:16">
      <c r="A363" s="7">
        <v>39878</v>
      </c>
      <c r="B363" s="1">
        <v>488</v>
      </c>
      <c r="C363" s="1" t="s">
        <v>235</v>
      </c>
      <c r="D363" s="1">
        <v>1</v>
      </c>
      <c r="E363" s="1">
        <v>34</v>
      </c>
      <c r="F363" s="1">
        <v>23</v>
      </c>
      <c r="G363" s="1" t="s">
        <v>32</v>
      </c>
      <c r="H363" s="1">
        <v>2013</v>
      </c>
      <c r="K363" s="1" t="s">
        <v>71</v>
      </c>
      <c r="L363" s="1" t="s">
        <v>242</v>
      </c>
      <c r="M363" s="1" t="s">
        <v>243</v>
      </c>
      <c r="N363" s="1" t="s">
        <v>244</v>
      </c>
      <c r="O363" s="1">
        <v>325.14999999999998</v>
      </c>
      <c r="P363" s="1" t="s">
        <v>131</v>
      </c>
    </row>
    <row r="364" spans="1:16">
      <c r="A364" s="7">
        <v>39939</v>
      </c>
      <c r="B364" s="1">
        <v>559</v>
      </c>
      <c r="C364" s="1" t="s">
        <v>236</v>
      </c>
      <c r="D364" s="1">
        <v>1</v>
      </c>
      <c r="E364" s="1">
        <v>-595.48</v>
      </c>
      <c r="F364" s="1">
        <v>23</v>
      </c>
      <c r="G364" s="1" t="s">
        <v>28</v>
      </c>
      <c r="H364" s="1">
        <v>1969</v>
      </c>
      <c r="K364" s="1" t="s">
        <v>71</v>
      </c>
      <c r="L364" s="1" t="s">
        <v>242</v>
      </c>
      <c r="M364" s="1" t="s">
        <v>243</v>
      </c>
      <c r="N364" s="1" t="s">
        <v>244</v>
      </c>
      <c r="O364" s="1">
        <v>129.74</v>
      </c>
      <c r="P364" s="1" t="s">
        <v>131</v>
      </c>
    </row>
    <row r="365" spans="1:16">
      <c r="A365" s="7">
        <v>39939</v>
      </c>
      <c r="B365" s="1">
        <v>565</v>
      </c>
      <c r="C365" s="1" t="s">
        <v>234</v>
      </c>
      <c r="D365" s="1">
        <v>3</v>
      </c>
      <c r="E365" s="1">
        <v>200</v>
      </c>
      <c r="F365" s="1">
        <v>23</v>
      </c>
      <c r="G365" s="1" t="s">
        <v>35</v>
      </c>
      <c r="H365" s="1">
        <v>1573</v>
      </c>
      <c r="K365" s="1" t="s">
        <v>71</v>
      </c>
      <c r="L365" s="1" t="s">
        <v>242</v>
      </c>
      <c r="M365" s="1" t="s">
        <v>243</v>
      </c>
      <c r="N365" s="1" t="s">
        <v>244</v>
      </c>
      <c r="O365" s="1">
        <v>361.12</v>
      </c>
      <c r="P365" s="1" t="s">
        <v>131</v>
      </c>
    </row>
    <row r="366" spans="1:16">
      <c r="A366" s="7">
        <v>39939</v>
      </c>
      <c r="B366" s="1">
        <v>566</v>
      </c>
      <c r="C366" s="1" t="s">
        <v>234</v>
      </c>
      <c r="D366" s="1">
        <v>3</v>
      </c>
      <c r="E366" s="1">
        <v>200</v>
      </c>
      <c r="F366" s="1">
        <v>23</v>
      </c>
      <c r="G366" s="1" t="s">
        <v>35</v>
      </c>
      <c r="H366" s="1">
        <v>1275</v>
      </c>
      <c r="K366" s="1" t="s">
        <v>71</v>
      </c>
      <c r="L366" s="1" t="s">
        <v>242</v>
      </c>
      <c r="M366" s="1" t="s">
        <v>243</v>
      </c>
      <c r="N366" s="1" t="s">
        <v>244</v>
      </c>
      <c r="O366" s="1">
        <v>128.08000000000001</v>
      </c>
      <c r="P366" s="1" t="s">
        <v>131</v>
      </c>
    </row>
    <row r="367" spans="1:16">
      <c r="A367" s="7">
        <v>39939</v>
      </c>
      <c r="B367" s="1">
        <v>567</v>
      </c>
      <c r="C367" s="1" t="s">
        <v>234</v>
      </c>
      <c r="D367" s="1">
        <v>3</v>
      </c>
      <c r="E367" s="1">
        <v>200</v>
      </c>
      <c r="F367" s="1">
        <v>23</v>
      </c>
      <c r="G367" s="1" t="s">
        <v>35</v>
      </c>
      <c r="H367" s="1">
        <v>1691</v>
      </c>
      <c r="K367" s="1" t="s">
        <v>132</v>
      </c>
      <c r="L367" s="1" t="s">
        <v>245</v>
      </c>
      <c r="M367" s="1" t="s">
        <v>246</v>
      </c>
      <c r="N367" s="1" t="s">
        <v>255</v>
      </c>
      <c r="O367" s="1">
        <v>82.65</v>
      </c>
      <c r="P367" s="1" t="s">
        <v>133</v>
      </c>
    </row>
    <row r="368" spans="1:16">
      <c r="A368" s="7">
        <v>39970</v>
      </c>
      <c r="B368" s="1">
        <v>511</v>
      </c>
      <c r="C368" s="1" t="s">
        <v>234</v>
      </c>
      <c r="D368" s="1">
        <v>4</v>
      </c>
      <c r="E368" s="1">
        <v>497622.59</v>
      </c>
      <c r="F368" s="1">
        <v>23</v>
      </c>
      <c r="G368" s="1" t="s">
        <v>26</v>
      </c>
      <c r="H368" s="1">
        <v>253</v>
      </c>
      <c r="K368" s="1" t="s">
        <v>132</v>
      </c>
      <c r="L368" s="1" t="s">
        <v>245</v>
      </c>
      <c r="M368" s="1" t="s">
        <v>246</v>
      </c>
      <c r="N368" s="1" t="s">
        <v>255</v>
      </c>
      <c r="O368" s="1">
        <v>-82.65</v>
      </c>
      <c r="P368" s="1" t="s">
        <v>134</v>
      </c>
    </row>
    <row r="369" spans="1:16">
      <c r="A369" s="7">
        <v>39970</v>
      </c>
      <c r="B369" s="1">
        <v>512</v>
      </c>
      <c r="C369" s="1" t="s">
        <v>234</v>
      </c>
      <c r="D369" s="1">
        <v>4</v>
      </c>
      <c r="E369" s="1">
        <v>164077.47</v>
      </c>
      <c r="F369" s="1">
        <v>23</v>
      </c>
      <c r="G369" s="1" t="s">
        <v>26</v>
      </c>
      <c r="H369" s="1">
        <v>254</v>
      </c>
      <c r="K369" s="1" t="s">
        <v>116</v>
      </c>
      <c r="L369" s="1" t="s">
        <v>245</v>
      </c>
      <c r="M369" s="1" t="s">
        <v>246</v>
      </c>
      <c r="N369" s="1" t="s">
        <v>255</v>
      </c>
      <c r="O369" s="1">
        <v>82.65</v>
      </c>
      <c r="P369" s="1" t="s">
        <v>130</v>
      </c>
    </row>
    <row r="370" spans="1:16">
      <c r="A370" s="7">
        <v>40000</v>
      </c>
      <c r="B370" s="1">
        <v>633</v>
      </c>
      <c r="C370" s="1" t="s">
        <v>234</v>
      </c>
      <c r="D370" s="1">
        <v>1</v>
      </c>
      <c r="E370" s="1">
        <v>901.5</v>
      </c>
      <c r="F370" s="1">
        <v>23</v>
      </c>
      <c r="G370" s="1" t="s">
        <v>7</v>
      </c>
      <c r="H370" s="1">
        <v>1475</v>
      </c>
      <c r="K370" s="1" t="s">
        <v>90</v>
      </c>
      <c r="L370" s="1" t="s">
        <v>245</v>
      </c>
      <c r="M370" s="1" t="s">
        <v>246</v>
      </c>
      <c r="N370" s="1" t="s">
        <v>255</v>
      </c>
      <c r="O370" s="1">
        <v>442.1</v>
      </c>
      <c r="P370" s="1" t="s">
        <v>135</v>
      </c>
    </row>
    <row r="371" spans="1:16">
      <c r="A371" s="7">
        <v>40000</v>
      </c>
      <c r="B371" s="1">
        <v>633</v>
      </c>
      <c r="C371" s="1" t="s">
        <v>234</v>
      </c>
      <c r="D371" s="1">
        <v>1</v>
      </c>
      <c r="E371" s="1">
        <v>78</v>
      </c>
      <c r="F371" s="1">
        <v>23</v>
      </c>
      <c r="G371" s="1" t="s">
        <v>11</v>
      </c>
      <c r="H371" s="1">
        <v>1475</v>
      </c>
      <c r="K371" s="1" t="s">
        <v>92</v>
      </c>
      <c r="L371" s="1" t="s">
        <v>245</v>
      </c>
      <c r="M371" s="1" t="s">
        <v>246</v>
      </c>
      <c r="N371" s="1" t="s">
        <v>255</v>
      </c>
      <c r="O371" s="1">
        <v>3613.61</v>
      </c>
      <c r="P371" s="1" t="s">
        <v>136</v>
      </c>
    </row>
    <row r="372" spans="1:16">
      <c r="A372" s="7">
        <v>40000</v>
      </c>
      <c r="B372" s="1">
        <v>635</v>
      </c>
      <c r="C372" s="1" t="s">
        <v>234</v>
      </c>
      <c r="D372" s="1">
        <v>4</v>
      </c>
      <c r="E372" s="1">
        <v>240.08</v>
      </c>
      <c r="F372" s="1">
        <v>23</v>
      </c>
      <c r="G372" s="1" t="s">
        <v>6</v>
      </c>
      <c r="H372" s="1">
        <v>71</v>
      </c>
      <c r="K372" s="1" t="s">
        <v>94</v>
      </c>
      <c r="L372" s="1" t="s">
        <v>245</v>
      </c>
      <c r="M372" s="1" t="s">
        <v>246</v>
      </c>
      <c r="N372" s="1" t="s">
        <v>255</v>
      </c>
      <c r="O372" s="1">
        <v>1434.16</v>
      </c>
      <c r="P372" s="1" t="s">
        <v>137</v>
      </c>
    </row>
    <row r="373" spans="1:16">
      <c r="A373" s="7">
        <v>40000</v>
      </c>
      <c r="B373" s="1">
        <v>634</v>
      </c>
      <c r="C373" s="1" t="s">
        <v>234</v>
      </c>
      <c r="D373" s="1">
        <v>2</v>
      </c>
      <c r="E373" s="1">
        <v>300</v>
      </c>
      <c r="F373" s="1">
        <v>23</v>
      </c>
      <c r="G373" s="1" t="s">
        <v>20</v>
      </c>
      <c r="H373" s="1">
        <v>790</v>
      </c>
      <c r="K373" s="1" t="s">
        <v>90</v>
      </c>
      <c r="L373" s="1" t="s">
        <v>245</v>
      </c>
      <c r="M373" s="1" t="s">
        <v>246</v>
      </c>
      <c r="N373" s="1" t="s">
        <v>255</v>
      </c>
      <c r="O373" s="1">
        <v>312.13</v>
      </c>
      <c r="P373" s="1" t="s">
        <v>138</v>
      </c>
    </row>
    <row r="374" spans="1:16">
      <c r="A374" s="7">
        <v>40031</v>
      </c>
      <c r="B374" s="1">
        <v>860</v>
      </c>
      <c r="C374" s="1" t="s">
        <v>234</v>
      </c>
      <c r="D374" s="1">
        <v>4</v>
      </c>
      <c r="E374" s="1">
        <v>987.52</v>
      </c>
      <c r="F374" s="1">
        <v>23</v>
      </c>
      <c r="G374" s="1" t="s">
        <v>3</v>
      </c>
      <c r="H374" s="1">
        <v>1800</v>
      </c>
      <c r="K374" s="1" t="s">
        <v>74</v>
      </c>
      <c r="L374" s="1" t="s">
        <v>245</v>
      </c>
      <c r="M374" s="1" t="s">
        <v>246</v>
      </c>
      <c r="N374" s="1" t="s">
        <v>247</v>
      </c>
      <c r="O374" s="1">
        <v>75</v>
      </c>
      <c r="P374" s="1" t="s">
        <v>139</v>
      </c>
    </row>
    <row r="375" spans="1:16">
      <c r="A375" s="7">
        <v>40031</v>
      </c>
      <c r="B375" s="1">
        <v>861</v>
      </c>
      <c r="C375" s="1" t="s">
        <v>235</v>
      </c>
      <c r="D375" s="1">
        <v>1</v>
      </c>
      <c r="E375" s="1">
        <v>592.12</v>
      </c>
      <c r="F375" s="1">
        <v>23</v>
      </c>
      <c r="G375" s="1" t="s">
        <v>6</v>
      </c>
      <c r="H375" s="1">
        <v>2018</v>
      </c>
      <c r="K375" s="1" t="s">
        <v>98</v>
      </c>
      <c r="L375" s="1" t="s">
        <v>245</v>
      </c>
      <c r="M375" s="1" t="s">
        <v>246</v>
      </c>
      <c r="N375" s="1" t="s">
        <v>247</v>
      </c>
      <c r="O375" s="1">
        <v>6000</v>
      </c>
      <c r="P375" s="1" t="s">
        <v>139</v>
      </c>
    </row>
    <row r="376" spans="1:16">
      <c r="A376" s="7">
        <v>40031</v>
      </c>
      <c r="B376" s="1">
        <v>862</v>
      </c>
      <c r="C376" s="1" t="s">
        <v>234</v>
      </c>
      <c r="D376" s="1">
        <v>1</v>
      </c>
      <c r="E376" s="1">
        <v>532.99</v>
      </c>
      <c r="F376" s="1">
        <v>23</v>
      </c>
      <c r="G376" s="1" t="s">
        <v>6</v>
      </c>
      <c r="H376" s="1">
        <v>723</v>
      </c>
      <c r="K376" s="1" t="s">
        <v>80</v>
      </c>
      <c r="L376" s="1" t="s">
        <v>245</v>
      </c>
      <c r="M376" s="1" t="s">
        <v>246</v>
      </c>
      <c r="N376" s="1" t="s">
        <v>247</v>
      </c>
      <c r="O376" s="1">
        <v>330</v>
      </c>
      <c r="P376" s="1" t="s">
        <v>139</v>
      </c>
    </row>
    <row r="377" spans="1:16">
      <c r="A377" s="7">
        <v>40092</v>
      </c>
      <c r="B377" s="1">
        <v>1433</v>
      </c>
      <c r="C377" s="1" t="s">
        <v>234</v>
      </c>
      <c r="D377" s="1">
        <v>3</v>
      </c>
      <c r="E377" s="1">
        <v>406.5</v>
      </c>
      <c r="F377" s="1">
        <v>23</v>
      </c>
      <c r="G377" s="1" t="s">
        <v>12</v>
      </c>
      <c r="H377" s="1">
        <v>2174</v>
      </c>
      <c r="K377" s="1" t="s">
        <v>80</v>
      </c>
      <c r="L377" s="1" t="s">
        <v>245</v>
      </c>
      <c r="M377" s="1" t="s">
        <v>246</v>
      </c>
      <c r="N377" s="1" t="s">
        <v>247</v>
      </c>
      <c r="O377" s="1">
        <v>492</v>
      </c>
      <c r="P377" s="1" t="s">
        <v>139</v>
      </c>
    </row>
    <row r="378" spans="1:16">
      <c r="A378" s="7">
        <v>40092</v>
      </c>
      <c r="B378" s="1">
        <v>1380</v>
      </c>
      <c r="C378" s="1" t="s">
        <v>234</v>
      </c>
      <c r="D378" s="1">
        <v>2</v>
      </c>
      <c r="E378" s="1">
        <v>470.25</v>
      </c>
      <c r="F378" s="1">
        <v>23</v>
      </c>
      <c r="G378" s="1" t="s">
        <v>3</v>
      </c>
      <c r="H378" s="1">
        <v>2095</v>
      </c>
      <c r="K378" s="1" t="s">
        <v>126</v>
      </c>
      <c r="L378" s="1" t="s">
        <v>245</v>
      </c>
      <c r="M378" s="1" t="s">
        <v>246</v>
      </c>
      <c r="N378" s="1" t="s">
        <v>247</v>
      </c>
      <c r="O378" s="1">
        <v>640</v>
      </c>
      <c r="P378" s="1" t="s">
        <v>140</v>
      </c>
    </row>
    <row r="379" spans="1:16">
      <c r="A379" s="7">
        <v>40092</v>
      </c>
      <c r="B379" s="1">
        <v>1067</v>
      </c>
      <c r="C379" s="1" t="s">
        <v>234</v>
      </c>
      <c r="D379" s="1">
        <v>4</v>
      </c>
      <c r="E379" s="1">
        <v>314.68</v>
      </c>
      <c r="F379" s="1">
        <v>23</v>
      </c>
      <c r="G379" s="1" t="s">
        <v>6</v>
      </c>
      <c r="H379" s="1">
        <v>349</v>
      </c>
      <c r="K379" s="1" t="s">
        <v>141</v>
      </c>
      <c r="L379" s="1" t="s">
        <v>245</v>
      </c>
      <c r="M379" s="1" t="s">
        <v>246</v>
      </c>
      <c r="N379" s="1" t="s">
        <v>247</v>
      </c>
      <c r="O379" s="1">
        <v>-640</v>
      </c>
      <c r="P379" s="1" t="s">
        <v>142</v>
      </c>
    </row>
    <row r="380" spans="1:16">
      <c r="A380" s="7">
        <v>40092</v>
      </c>
      <c r="B380" s="1">
        <v>1431</v>
      </c>
      <c r="C380" s="1" t="s">
        <v>235</v>
      </c>
      <c r="D380" s="1">
        <v>1</v>
      </c>
      <c r="E380" s="1">
        <v>287.5</v>
      </c>
      <c r="F380" s="1">
        <v>23</v>
      </c>
      <c r="G380" s="1" t="s">
        <v>17</v>
      </c>
      <c r="H380" s="1">
        <v>1899</v>
      </c>
      <c r="K380" s="1" t="s">
        <v>76</v>
      </c>
      <c r="L380" s="1" t="s">
        <v>248</v>
      </c>
      <c r="M380" s="1" t="s">
        <v>249</v>
      </c>
      <c r="N380" s="1" t="s">
        <v>250</v>
      </c>
      <c r="O380" s="1">
        <v>429.5</v>
      </c>
      <c r="P380" s="1" t="s">
        <v>139</v>
      </c>
    </row>
    <row r="381" spans="1:16">
      <c r="A381" s="7">
        <v>40092</v>
      </c>
      <c r="B381" s="1">
        <v>1432</v>
      </c>
      <c r="C381" s="1" t="s">
        <v>234</v>
      </c>
      <c r="D381" s="1">
        <v>1</v>
      </c>
      <c r="E381" s="1">
        <v>287.5</v>
      </c>
      <c r="F381" s="1">
        <v>23</v>
      </c>
      <c r="G381" s="1" t="s">
        <v>17</v>
      </c>
      <c r="H381" s="1">
        <v>874</v>
      </c>
      <c r="K381" s="1" t="s">
        <v>76</v>
      </c>
      <c r="L381" s="1" t="s">
        <v>248</v>
      </c>
      <c r="M381" s="1" t="s">
        <v>249</v>
      </c>
      <c r="N381" s="1" t="s">
        <v>250</v>
      </c>
      <c r="O381" s="1">
        <v>859</v>
      </c>
      <c r="P381" s="1" t="s">
        <v>139</v>
      </c>
    </row>
    <row r="382" spans="1:16">
      <c r="A382" s="7">
        <v>39820</v>
      </c>
      <c r="B382" s="1">
        <v>1</v>
      </c>
      <c r="C382" s="1" t="s">
        <v>234</v>
      </c>
      <c r="D382" s="1">
        <v>4</v>
      </c>
      <c r="E382" s="1">
        <v>397.94</v>
      </c>
      <c r="F382" s="1">
        <v>23</v>
      </c>
      <c r="G382" s="1" t="s">
        <v>28</v>
      </c>
      <c r="H382" s="1">
        <v>1978</v>
      </c>
      <c r="K382" s="1" t="s">
        <v>76</v>
      </c>
      <c r="L382" s="1" t="s">
        <v>248</v>
      </c>
      <c r="M382" s="1" t="s">
        <v>249</v>
      </c>
      <c r="N382" s="1" t="s">
        <v>250</v>
      </c>
      <c r="O382" s="1">
        <v>3006.5</v>
      </c>
      <c r="P382" s="1" t="s">
        <v>139</v>
      </c>
    </row>
    <row r="383" spans="1:16">
      <c r="A383" s="7">
        <v>39851</v>
      </c>
      <c r="B383" s="1">
        <v>177</v>
      </c>
      <c r="C383" s="1" t="s">
        <v>234</v>
      </c>
      <c r="D383" s="1">
        <v>3</v>
      </c>
      <c r="E383" s="1">
        <v>572.5</v>
      </c>
      <c r="F383" s="1">
        <v>23</v>
      </c>
      <c r="G383" s="1" t="s">
        <v>29</v>
      </c>
      <c r="H383" s="1">
        <v>949</v>
      </c>
      <c r="K383" s="1" t="s">
        <v>72</v>
      </c>
      <c r="L383" s="1" t="s">
        <v>248</v>
      </c>
      <c r="M383" s="1" t="s">
        <v>249</v>
      </c>
      <c r="N383" s="1" t="s">
        <v>250</v>
      </c>
      <c r="O383" s="1">
        <v>429.5</v>
      </c>
      <c r="P383" s="1" t="s">
        <v>139</v>
      </c>
    </row>
    <row r="384" spans="1:16">
      <c r="A384" s="7">
        <v>39851</v>
      </c>
      <c r="B384" s="1">
        <v>184</v>
      </c>
      <c r="C384" s="1" t="s">
        <v>234</v>
      </c>
      <c r="D384" s="1">
        <v>1</v>
      </c>
      <c r="E384" s="1">
        <v>407.83</v>
      </c>
      <c r="F384" s="1">
        <v>23</v>
      </c>
      <c r="G384" s="1" t="s">
        <v>29</v>
      </c>
      <c r="H384" s="1">
        <v>619</v>
      </c>
      <c r="K384" s="1" t="s">
        <v>76</v>
      </c>
      <c r="L384" s="1" t="s">
        <v>248</v>
      </c>
      <c r="M384" s="1" t="s">
        <v>249</v>
      </c>
      <c r="N384" s="1" t="s">
        <v>250</v>
      </c>
      <c r="O384" s="1">
        <v>330</v>
      </c>
      <c r="P384" s="1" t="s">
        <v>139</v>
      </c>
    </row>
    <row r="385" spans="1:16">
      <c r="A385" s="7">
        <v>40001</v>
      </c>
      <c r="B385" s="1">
        <v>646</v>
      </c>
      <c r="C385" s="1" t="s">
        <v>235</v>
      </c>
      <c r="D385" s="1">
        <v>4</v>
      </c>
      <c r="E385" s="1">
        <v>470.25</v>
      </c>
      <c r="F385" s="1">
        <v>23</v>
      </c>
      <c r="G385" s="1" t="s">
        <v>3</v>
      </c>
      <c r="H385" s="1">
        <v>2054</v>
      </c>
      <c r="K385" s="1" t="s">
        <v>75</v>
      </c>
      <c r="L385" s="1" t="s">
        <v>245</v>
      </c>
      <c r="M385" s="1" t="s">
        <v>246</v>
      </c>
      <c r="N385" s="1" t="s">
        <v>250</v>
      </c>
      <c r="O385" s="1">
        <v>44.56</v>
      </c>
      <c r="P385" s="1" t="s">
        <v>139</v>
      </c>
    </row>
    <row r="386" spans="1:16">
      <c r="A386" s="7">
        <v>40001</v>
      </c>
      <c r="B386" s="1">
        <v>645</v>
      </c>
      <c r="C386" s="1" t="s">
        <v>234</v>
      </c>
      <c r="D386" s="1">
        <v>4</v>
      </c>
      <c r="E386" s="1">
        <v>572.5</v>
      </c>
      <c r="F386" s="1">
        <v>23</v>
      </c>
      <c r="G386" s="1" t="s">
        <v>5</v>
      </c>
      <c r="H386" s="1">
        <v>65</v>
      </c>
      <c r="K386" s="1" t="s">
        <v>77</v>
      </c>
      <c r="L386" s="1" t="s">
        <v>245</v>
      </c>
      <c r="M386" s="1" t="s">
        <v>246</v>
      </c>
      <c r="N386" s="1" t="s">
        <v>250</v>
      </c>
      <c r="O386" s="1">
        <v>155</v>
      </c>
      <c r="P386" s="1" t="s">
        <v>139</v>
      </c>
    </row>
    <row r="387" spans="1:16">
      <c r="A387" s="7">
        <v>40001</v>
      </c>
      <c r="B387" s="1">
        <v>644</v>
      </c>
      <c r="C387" s="1" t="s">
        <v>235</v>
      </c>
      <c r="D387" s="1">
        <v>1</v>
      </c>
      <c r="E387" s="1">
        <v>115.04</v>
      </c>
      <c r="F387" s="1">
        <v>23</v>
      </c>
      <c r="G387" s="1" t="s">
        <v>6</v>
      </c>
      <c r="H387" s="1">
        <v>1636</v>
      </c>
      <c r="K387" s="1" t="s">
        <v>74</v>
      </c>
      <c r="L387" s="1" t="s">
        <v>245</v>
      </c>
      <c r="M387" s="1" t="s">
        <v>246</v>
      </c>
      <c r="N387" s="1" t="s">
        <v>250</v>
      </c>
      <c r="O387" s="1">
        <v>958.23</v>
      </c>
      <c r="P387" s="1" t="s">
        <v>139</v>
      </c>
    </row>
    <row r="388" spans="1:16">
      <c r="A388" s="7">
        <v>40001</v>
      </c>
      <c r="B388" s="1">
        <v>648</v>
      </c>
      <c r="C388" s="1" t="s">
        <v>234</v>
      </c>
      <c r="D388" s="1">
        <v>3</v>
      </c>
      <c r="E388" s="1">
        <v>256.42</v>
      </c>
      <c r="F388" s="1">
        <v>23</v>
      </c>
      <c r="G388" s="1" t="s">
        <v>6</v>
      </c>
      <c r="H388" s="1">
        <v>666</v>
      </c>
      <c r="K388" s="1" t="s">
        <v>76</v>
      </c>
      <c r="L388" s="1" t="s">
        <v>245</v>
      </c>
      <c r="M388" s="1" t="s">
        <v>246</v>
      </c>
      <c r="N388" s="1" t="s">
        <v>250</v>
      </c>
      <c r="O388" s="1">
        <v>520</v>
      </c>
      <c r="P388" s="1" t="s">
        <v>139</v>
      </c>
    </row>
    <row r="389" spans="1:16">
      <c r="A389" s="7">
        <v>40001</v>
      </c>
      <c r="B389" s="1">
        <v>649</v>
      </c>
      <c r="C389" s="1" t="s">
        <v>234</v>
      </c>
      <c r="D389" s="1">
        <v>4</v>
      </c>
      <c r="E389" s="1">
        <v>216.9</v>
      </c>
      <c r="F389" s="1">
        <v>23</v>
      </c>
      <c r="G389" s="1" t="s">
        <v>6</v>
      </c>
      <c r="H389" s="1">
        <v>1978</v>
      </c>
      <c r="K389" s="1" t="s">
        <v>76</v>
      </c>
      <c r="L389" s="1" t="s">
        <v>245</v>
      </c>
      <c r="M389" s="1" t="s">
        <v>246</v>
      </c>
      <c r="N389" s="1" t="s">
        <v>250</v>
      </c>
      <c r="O389" s="1">
        <v>812</v>
      </c>
      <c r="P389" s="1" t="s">
        <v>139</v>
      </c>
    </row>
    <row r="390" spans="1:16">
      <c r="A390" s="7">
        <v>40001</v>
      </c>
      <c r="B390" s="1">
        <v>639</v>
      </c>
      <c r="C390" s="1" t="s">
        <v>234</v>
      </c>
      <c r="D390" s="1">
        <v>2</v>
      </c>
      <c r="E390" s="1">
        <v>300</v>
      </c>
      <c r="F390" s="1">
        <v>23</v>
      </c>
      <c r="G390" s="1" t="s">
        <v>20</v>
      </c>
      <c r="H390" s="1">
        <v>2050</v>
      </c>
      <c r="K390" s="1" t="s">
        <v>76</v>
      </c>
      <c r="L390" s="1" t="s">
        <v>245</v>
      </c>
      <c r="M390" s="1" t="s">
        <v>246</v>
      </c>
      <c r="N390" s="1" t="s">
        <v>250</v>
      </c>
      <c r="O390" s="1">
        <v>998.4</v>
      </c>
      <c r="P390" s="1" t="s">
        <v>139</v>
      </c>
    </row>
    <row r="391" spans="1:16">
      <c r="A391" s="7">
        <v>40001</v>
      </c>
      <c r="B391" s="1">
        <v>640</v>
      </c>
      <c r="C391" s="1" t="s">
        <v>234</v>
      </c>
      <c r="D391" s="1">
        <v>2</v>
      </c>
      <c r="E391" s="1">
        <v>300</v>
      </c>
      <c r="F391" s="1">
        <v>23</v>
      </c>
      <c r="G391" s="1" t="s">
        <v>20</v>
      </c>
      <c r="H391" s="1">
        <v>2051</v>
      </c>
      <c r="K391" s="1" t="s">
        <v>100</v>
      </c>
      <c r="L391" s="1" t="s">
        <v>245</v>
      </c>
      <c r="M391" s="1" t="s">
        <v>246</v>
      </c>
      <c r="N391" s="1" t="s">
        <v>250</v>
      </c>
      <c r="O391" s="1">
        <v>900</v>
      </c>
      <c r="P391" s="1" t="s">
        <v>139</v>
      </c>
    </row>
    <row r="392" spans="1:16">
      <c r="A392" s="7">
        <v>40001</v>
      </c>
      <c r="B392" s="1">
        <v>641</v>
      </c>
      <c r="C392" s="1" t="s">
        <v>234</v>
      </c>
      <c r="D392" s="1">
        <v>2</v>
      </c>
      <c r="E392" s="1">
        <v>300</v>
      </c>
      <c r="F392" s="1">
        <v>23</v>
      </c>
      <c r="G392" s="1" t="s">
        <v>20</v>
      </c>
      <c r="H392" s="1">
        <v>2052</v>
      </c>
      <c r="K392" s="1" t="s">
        <v>79</v>
      </c>
      <c r="L392" s="1" t="s">
        <v>256</v>
      </c>
      <c r="M392" s="1" t="s">
        <v>257</v>
      </c>
      <c r="N392" s="1" t="s">
        <v>251</v>
      </c>
      <c r="O392" s="1">
        <v>2.1</v>
      </c>
      <c r="P392" s="1" t="s">
        <v>139</v>
      </c>
    </row>
    <row r="393" spans="1:16">
      <c r="A393" s="7">
        <v>40001</v>
      </c>
      <c r="B393" s="1">
        <v>642</v>
      </c>
      <c r="C393" s="1" t="s">
        <v>234</v>
      </c>
      <c r="D393" s="1">
        <v>2</v>
      </c>
      <c r="E393" s="1">
        <v>300</v>
      </c>
      <c r="F393" s="1">
        <v>23</v>
      </c>
      <c r="G393" s="1" t="s">
        <v>20</v>
      </c>
      <c r="H393" s="1">
        <v>2053</v>
      </c>
      <c r="K393" s="1" t="s">
        <v>79</v>
      </c>
      <c r="L393" s="1" t="s">
        <v>256</v>
      </c>
      <c r="M393" s="1" t="s">
        <v>257</v>
      </c>
      <c r="N393" s="1" t="s">
        <v>251</v>
      </c>
      <c r="O393" s="1">
        <v>0.9</v>
      </c>
      <c r="P393" s="1" t="s">
        <v>139</v>
      </c>
    </row>
    <row r="394" spans="1:16">
      <c r="A394" s="7">
        <v>40001</v>
      </c>
      <c r="B394" s="1">
        <v>647</v>
      </c>
      <c r="C394" s="1" t="s">
        <v>234</v>
      </c>
      <c r="D394" s="1">
        <v>2</v>
      </c>
      <c r="E394" s="1">
        <v>300</v>
      </c>
      <c r="F394" s="1">
        <v>23</v>
      </c>
      <c r="G394" s="1" t="s">
        <v>20</v>
      </c>
      <c r="H394" s="1">
        <v>739</v>
      </c>
      <c r="K394" s="1" t="s">
        <v>79</v>
      </c>
      <c r="L394" s="1" t="s">
        <v>256</v>
      </c>
      <c r="M394" s="1" t="s">
        <v>257</v>
      </c>
      <c r="N394" s="1" t="s">
        <v>251</v>
      </c>
      <c r="O394" s="1">
        <v>0.6</v>
      </c>
      <c r="P394" s="1" t="s">
        <v>139</v>
      </c>
    </row>
    <row r="395" spans="1:16">
      <c r="A395" s="7">
        <v>40032</v>
      </c>
      <c r="B395" s="1">
        <v>863</v>
      </c>
      <c r="C395" s="1" t="s">
        <v>234</v>
      </c>
      <c r="D395" s="1">
        <v>3</v>
      </c>
      <c r="E395" s="1">
        <v>32.78</v>
      </c>
      <c r="F395" s="1">
        <v>23</v>
      </c>
      <c r="G395" s="1" t="s">
        <v>6</v>
      </c>
      <c r="H395" s="1">
        <v>970</v>
      </c>
      <c r="K395" s="1" t="s">
        <v>79</v>
      </c>
      <c r="L395" s="1" t="s">
        <v>256</v>
      </c>
      <c r="M395" s="1" t="s">
        <v>257</v>
      </c>
      <c r="N395" s="1" t="s">
        <v>251</v>
      </c>
      <c r="O395" s="1">
        <v>31.36</v>
      </c>
      <c r="P395" s="1" t="s">
        <v>139</v>
      </c>
    </row>
    <row r="396" spans="1:16">
      <c r="A396" s="7">
        <v>40063</v>
      </c>
      <c r="B396" s="1">
        <v>992</v>
      </c>
      <c r="C396" s="1" t="s">
        <v>234</v>
      </c>
      <c r="D396" s="1">
        <v>4</v>
      </c>
      <c r="E396" s="1">
        <v>230.5</v>
      </c>
      <c r="F396" s="1">
        <v>23</v>
      </c>
      <c r="G396" s="1" t="s">
        <v>42</v>
      </c>
      <c r="H396" s="1">
        <v>2092</v>
      </c>
      <c r="K396" s="1" t="s">
        <v>79</v>
      </c>
      <c r="L396" s="1" t="s">
        <v>245</v>
      </c>
      <c r="M396" s="1" t="s">
        <v>246</v>
      </c>
      <c r="N396" s="1" t="s">
        <v>251</v>
      </c>
      <c r="O396" s="1">
        <v>6</v>
      </c>
      <c r="P396" s="1" t="s">
        <v>139</v>
      </c>
    </row>
    <row r="397" spans="1:16">
      <c r="A397" s="7">
        <v>40063</v>
      </c>
      <c r="B397" s="1">
        <v>993</v>
      </c>
      <c r="C397" s="1" t="s">
        <v>234</v>
      </c>
      <c r="D397" s="1">
        <v>4</v>
      </c>
      <c r="E397" s="1">
        <v>218.5</v>
      </c>
      <c r="F397" s="1">
        <v>23</v>
      </c>
      <c r="G397" s="1" t="s">
        <v>42</v>
      </c>
      <c r="H397" s="1">
        <v>0</v>
      </c>
      <c r="K397" s="1" t="s">
        <v>88</v>
      </c>
      <c r="L397" s="1" t="s">
        <v>245</v>
      </c>
      <c r="M397" s="1" t="s">
        <v>246</v>
      </c>
      <c r="N397" s="1" t="s">
        <v>252</v>
      </c>
      <c r="O397" s="1">
        <v>33.5</v>
      </c>
      <c r="P397" s="1" t="s">
        <v>139</v>
      </c>
    </row>
    <row r="398" spans="1:16">
      <c r="A398" s="7">
        <v>40063</v>
      </c>
      <c r="B398" s="1">
        <v>980</v>
      </c>
      <c r="C398" s="1" t="s">
        <v>235</v>
      </c>
      <c r="D398" s="1">
        <v>3</v>
      </c>
      <c r="E398" s="1">
        <v>1475.92</v>
      </c>
      <c r="F398" s="1">
        <v>23</v>
      </c>
      <c r="G398" s="1" t="s">
        <v>7</v>
      </c>
      <c r="H398" s="1">
        <v>2063</v>
      </c>
      <c r="K398" s="1" t="s">
        <v>80</v>
      </c>
      <c r="L398" s="1" t="s">
        <v>245</v>
      </c>
      <c r="M398" s="1" t="s">
        <v>246</v>
      </c>
      <c r="N398" s="1" t="s">
        <v>252</v>
      </c>
      <c r="O398" s="1">
        <v>13.75</v>
      </c>
      <c r="P398" s="1" t="s">
        <v>139</v>
      </c>
    </row>
    <row r="399" spans="1:16">
      <c r="A399" s="7">
        <v>40063</v>
      </c>
      <c r="B399" s="1">
        <v>991</v>
      </c>
      <c r="C399" s="1" t="s">
        <v>234</v>
      </c>
      <c r="D399" s="1">
        <v>4</v>
      </c>
      <c r="E399" s="1">
        <v>887.33</v>
      </c>
      <c r="F399" s="1">
        <v>23</v>
      </c>
      <c r="G399" s="1" t="s">
        <v>7</v>
      </c>
      <c r="H399" s="1">
        <v>2091</v>
      </c>
      <c r="K399" s="1" t="s">
        <v>75</v>
      </c>
      <c r="L399" s="1" t="s">
        <v>245</v>
      </c>
      <c r="M399" s="1" t="s">
        <v>246</v>
      </c>
      <c r="N399" s="1" t="s">
        <v>252</v>
      </c>
      <c r="O399" s="1">
        <v>5.2</v>
      </c>
      <c r="P399" s="1" t="s">
        <v>139</v>
      </c>
    </row>
    <row r="400" spans="1:16">
      <c r="A400" s="7">
        <v>40063</v>
      </c>
      <c r="B400" s="1">
        <v>980</v>
      </c>
      <c r="C400" s="1" t="s">
        <v>235</v>
      </c>
      <c r="D400" s="1">
        <v>3</v>
      </c>
      <c r="E400" s="1">
        <v>78</v>
      </c>
      <c r="F400" s="1">
        <v>23</v>
      </c>
      <c r="G400" s="1" t="s">
        <v>11</v>
      </c>
      <c r="H400" s="1">
        <v>2063</v>
      </c>
      <c r="K400" s="1" t="s">
        <v>75</v>
      </c>
      <c r="L400" s="1" t="s">
        <v>245</v>
      </c>
      <c r="M400" s="1" t="s">
        <v>246</v>
      </c>
      <c r="N400" s="1" t="s">
        <v>252</v>
      </c>
      <c r="O400" s="1">
        <v>0.74</v>
      </c>
      <c r="P400" s="1" t="s">
        <v>139</v>
      </c>
    </row>
    <row r="401" spans="1:16">
      <c r="A401" s="7">
        <v>40063</v>
      </c>
      <c r="B401" s="1">
        <v>991</v>
      </c>
      <c r="C401" s="1" t="s">
        <v>234</v>
      </c>
      <c r="D401" s="1">
        <v>4</v>
      </c>
      <c r="E401" s="1">
        <v>78</v>
      </c>
      <c r="F401" s="1">
        <v>23</v>
      </c>
      <c r="G401" s="1" t="s">
        <v>11</v>
      </c>
      <c r="H401" s="1">
        <v>2091</v>
      </c>
      <c r="K401" s="1" t="s">
        <v>75</v>
      </c>
      <c r="L401" s="1" t="s">
        <v>245</v>
      </c>
      <c r="M401" s="1" t="s">
        <v>246</v>
      </c>
      <c r="N401" s="1" t="s">
        <v>252</v>
      </c>
      <c r="O401" s="1">
        <v>3.71</v>
      </c>
      <c r="P401" s="1" t="s">
        <v>139</v>
      </c>
    </row>
    <row r="402" spans="1:16">
      <c r="A402" s="7">
        <v>40063</v>
      </c>
      <c r="B402" s="1">
        <v>981</v>
      </c>
      <c r="C402" s="1" t="s">
        <v>235</v>
      </c>
      <c r="D402" s="1">
        <v>4</v>
      </c>
      <c r="E402" s="1">
        <v>813</v>
      </c>
      <c r="F402" s="1">
        <v>23</v>
      </c>
      <c r="G402" s="1" t="s">
        <v>12</v>
      </c>
      <c r="H402" s="1">
        <v>0</v>
      </c>
      <c r="K402" s="1" t="s">
        <v>75</v>
      </c>
      <c r="L402" s="1" t="s">
        <v>245</v>
      </c>
      <c r="M402" s="1" t="s">
        <v>246</v>
      </c>
      <c r="N402" s="1" t="s">
        <v>252</v>
      </c>
      <c r="O402" s="1">
        <v>7.77</v>
      </c>
      <c r="P402" s="1" t="s">
        <v>139</v>
      </c>
    </row>
    <row r="403" spans="1:16">
      <c r="A403" s="7">
        <v>40063</v>
      </c>
      <c r="B403" s="1">
        <v>982</v>
      </c>
      <c r="C403" s="1" t="s">
        <v>235</v>
      </c>
      <c r="D403" s="1">
        <v>4</v>
      </c>
      <c r="E403" s="1">
        <v>455.86</v>
      </c>
      <c r="F403" s="1">
        <v>23</v>
      </c>
      <c r="G403" s="1" t="s">
        <v>13</v>
      </c>
      <c r="H403" s="1">
        <v>797</v>
      </c>
      <c r="K403" s="1" t="s">
        <v>75</v>
      </c>
      <c r="L403" s="1" t="s">
        <v>245</v>
      </c>
      <c r="M403" s="1" t="s">
        <v>246</v>
      </c>
      <c r="N403" s="1" t="s">
        <v>252</v>
      </c>
      <c r="O403" s="1">
        <v>4.5199999999999996</v>
      </c>
      <c r="P403" s="1" t="s">
        <v>139</v>
      </c>
    </row>
    <row r="404" spans="1:16">
      <c r="A404" s="7">
        <v>40063</v>
      </c>
      <c r="B404" s="1">
        <v>997</v>
      </c>
      <c r="C404" s="1" t="s">
        <v>234</v>
      </c>
      <c r="D404" s="1">
        <v>3</v>
      </c>
      <c r="E404" s="1">
        <v>236.08</v>
      </c>
      <c r="F404" s="1">
        <v>23</v>
      </c>
      <c r="G404" s="1" t="s">
        <v>13</v>
      </c>
      <c r="H404" s="1">
        <v>410</v>
      </c>
      <c r="K404" s="1" t="s">
        <v>75</v>
      </c>
      <c r="L404" s="1" t="s">
        <v>245</v>
      </c>
      <c r="M404" s="1" t="s">
        <v>246</v>
      </c>
      <c r="N404" s="1" t="s">
        <v>252</v>
      </c>
      <c r="O404" s="1">
        <v>5.27</v>
      </c>
      <c r="P404" s="1" t="s">
        <v>139</v>
      </c>
    </row>
    <row r="405" spans="1:16">
      <c r="A405" s="7">
        <v>40063</v>
      </c>
      <c r="B405" s="1">
        <v>989</v>
      </c>
      <c r="C405" s="1" t="s">
        <v>234</v>
      </c>
      <c r="D405" s="1">
        <v>4</v>
      </c>
      <c r="E405" s="1">
        <v>470.25</v>
      </c>
      <c r="F405" s="1">
        <v>23</v>
      </c>
      <c r="G405" s="1" t="s">
        <v>3</v>
      </c>
      <c r="H405" s="1">
        <v>2090</v>
      </c>
      <c r="K405" s="1" t="s">
        <v>75</v>
      </c>
      <c r="L405" s="1" t="s">
        <v>245</v>
      </c>
      <c r="M405" s="1" t="s">
        <v>246</v>
      </c>
      <c r="N405" s="1" t="s">
        <v>252</v>
      </c>
      <c r="O405" s="1">
        <v>0.75</v>
      </c>
      <c r="P405" s="1" t="s">
        <v>139</v>
      </c>
    </row>
    <row r="406" spans="1:16">
      <c r="A406" s="7">
        <v>40063</v>
      </c>
      <c r="B406" s="1">
        <v>990</v>
      </c>
      <c r="C406" s="1" t="s">
        <v>234</v>
      </c>
      <c r="D406" s="1">
        <v>2</v>
      </c>
      <c r="E406" s="1">
        <v>862.12</v>
      </c>
      <c r="F406" s="1">
        <v>23</v>
      </c>
      <c r="G406" s="1" t="s">
        <v>3</v>
      </c>
      <c r="H406" s="1">
        <v>2021</v>
      </c>
      <c r="K406" s="1" t="s">
        <v>75</v>
      </c>
      <c r="L406" s="1" t="s">
        <v>245</v>
      </c>
      <c r="M406" s="1" t="s">
        <v>246</v>
      </c>
      <c r="N406" s="1" t="s">
        <v>252</v>
      </c>
      <c r="O406" s="1">
        <v>2.2000000000000002</v>
      </c>
      <c r="P406" s="1" t="s">
        <v>139</v>
      </c>
    </row>
    <row r="407" spans="1:16">
      <c r="A407" s="7">
        <v>40063</v>
      </c>
      <c r="B407" s="1">
        <v>994</v>
      </c>
      <c r="C407" s="1" t="s">
        <v>234</v>
      </c>
      <c r="D407" s="1">
        <v>4</v>
      </c>
      <c r="E407" s="1">
        <v>815.1</v>
      </c>
      <c r="F407" s="1">
        <v>23</v>
      </c>
      <c r="G407" s="1" t="s">
        <v>3</v>
      </c>
      <c r="H407" s="1">
        <v>1837</v>
      </c>
      <c r="K407" s="1" t="s">
        <v>75</v>
      </c>
      <c r="L407" s="1" t="s">
        <v>245</v>
      </c>
      <c r="M407" s="1" t="s">
        <v>246</v>
      </c>
      <c r="N407" s="1" t="s">
        <v>252</v>
      </c>
      <c r="O407" s="1">
        <v>15.15</v>
      </c>
      <c r="P407" s="1" t="s">
        <v>139</v>
      </c>
    </row>
    <row r="408" spans="1:16">
      <c r="A408" s="7">
        <v>40063</v>
      </c>
      <c r="B408" s="1">
        <v>995</v>
      </c>
      <c r="C408" s="1" t="s">
        <v>234</v>
      </c>
      <c r="D408" s="1">
        <v>4</v>
      </c>
      <c r="E408" s="1">
        <v>595.65</v>
      </c>
      <c r="F408" s="1">
        <v>23</v>
      </c>
      <c r="G408" s="1" t="s">
        <v>3</v>
      </c>
      <c r="H408" s="1">
        <v>1383</v>
      </c>
      <c r="K408" s="1" t="s">
        <v>75</v>
      </c>
      <c r="L408" s="1" t="s">
        <v>245</v>
      </c>
      <c r="M408" s="1" t="s">
        <v>246</v>
      </c>
      <c r="N408" s="1" t="s">
        <v>252</v>
      </c>
      <c r="O408" s="1">
        <v>7.56</v>
      </c>
      <c r="P408" s="1" t="s">
        <v>139</v>
      </c>
    </row>
    <row r="409" spans="1:16">
      <c r="A409" s="7">
        <v>40063</v>
      </c>
      <c r="B409" s="1">
        <v>1470</v>
      </c>
      <c r="C409" s="1" t="s">
        <v>234</v>
      </c>
      <c r="D409" s="1">
        <v>4</v>
      </c>
      <c r="E409" s="1">
        <v>846.45</v>
      </c>
      <c r="F409" s="1">
        <v>23</v>
      </c>
      <c r="G409" s="1" t="s">
        <v>3</v>
      </c>
      <c r="H409" s="1">
        <v>1336</v>
      </c>
      <c r="K409" s="1" t="s">
        <v>75</v>
      </c>
      <c r="L409" s="1" t="s">
        <v>245</v>
      </c>
      <c r="M409" s="1" t="s">
        <v>246</v>
      </c>
      <c r="N409" s="1" t="s">
        <v>252</v>
      </c>
      <c r="O409" s="1">
        <v>6.83</v>
      </c>
      <c r="P409" s="1" t="s">
        <v>139</v>
      </c>
    </row>
    <row r="410" spans="1:16">
      <c r="A410" s="7">
        <v>40063</v>
      </c>
      <c r="B410" s="1">
        <v>996</v>
      </c>
      <c r="C410" s="1" t="s">
        <v>235</v>
      </c>
      <c r="D410" s="1">
        <v>4</v>
      </c>
      <c r="E410" s="1">
        <v>45</v>
      </c>
      <c r="F410" s="1">
        <v>23</v>
      </c>
      <c r="G410" s="1" t="s">
        <v>15</v>
      </c>
      <c r="H410" s="1">
        <v>2093</v>
      </c>
      <c r="K410" s="1" t="s">
        <v>75</v>
      </c>
      <c r="L410" s="1" t="s">
        <v>245</v>
      </c>
      <c r="M410" s="1" t="s">
        <v>246</v>
      </c>
      <c r="N410" s="1" t="s">
        <v>252</v>
      </c>
      <c r="O410" s="1">
        <v>27.76</v>
      </c>
      <c r="P410" s="1" t="s">
        <v>139</v>
      </c>
    </row>
    <row r="411" spans="1:16">
      <c r="A411" s="7">
        <v>40063</v>
      </c>
      <c r="B411" s="1">
        <v>985</v>
      </c>
      <c r="C411" s="1" t="s">
        <v>234</v>
      </c>
      <c r="D411" s="1">
        <v>1</v>
      </c>
      <c r="E411" s="1">
        <v>374.95</v>
      </c>
      <c r="F411" s="1">
        <v>23</v>
      </c>
      <c r="G411" s="1" t="s">
        <v>6</v>
      </c>
      <c r="H411" s="1">
        <v>40</v>
      </c>
      <c r="K411" s="1" t="s">
        <v>80</v>
      </c>
      <c r="L411" s="1" t="s">
        <v>245</v>
      </c>
      <c r="M411" s="1" t="s">
        <v>246</v>
      </c>
      <c r="N411" s="1" t="s">
        <v>252</v>
      </c>
      <c r="O411" s="1">
        <v>216</v>
      </c>
      <c r="P411" s="1" t="s">
        <v>139</v>
      </c>
    </row>
    <row r="412" spans="1:16">
      <c r="A412" s="7">
        <v>40063</v>
      </c>
      <c r="B412" s="1">
        <v>977</v>
      </c>
      <c r="C412" s="1" t="s">
        <v>234</v>
      </c>
      <c r="D412" s="1">
        <v>4</v>
      </c>
      <c r="E412" s="1">
        <v>80</v>
      </c>
      <c r="F412" s="1">
        <v>23</v>
      </c>
      <c r="G412" s="1" t="s">
        <v>18</v>
      </c>
      <c r="H412" s="1">
        <v>2088</v>
      </c>
      <c r="K412" s="1" t="s">
        <v>89</v>
      </c>
      <c r="L412" s="1" t="s">
        <v>245</v>
      </c>
      <c r="M412" s="1" t="s">
        <v>246</v>
      </c>
      <c r="N412" s="1" t="s">
        <v>253</v>
      </c>
      <c r="O412" s="1">
        <v>30.86</v>
      </c>
      <c r="P412" s="1" t="s">
        <v>139</v>
      </c>
    </row>
    <row r="413" spans="1:16">
      <c r="A413" s="7">
        <v>40093</v>
      </c>
      <c r="B413" s="1">
        <v>1325</v>
      </c>
      <c r="C413" s="1" t="s">
        <v>234</v>
      </c>
      <c r="D413" s="1">
        <v>8</v>
      </c>
      <c r="E413" s="1">
        <v>321.24</v>
      </c>
      <c r="F413" s="1">
        <v>23</v>
      </c>
      <c r="G413" s="1" t="s">
        <v>8</v>
      </c>
      <c r="H413" s="1">
        <v>1758</v>
      </c>
      <c r="K413" s="1" t="s">
        <v>84</v>
      </c>
      <c r="L413" s="1" t="s">
        <v>245</v>
      </c>
      <c r="M413" s="1" t="s">
        <v>246</v>
      </c>
      <c r="N413" s="1" t="s">
        <v>253</v>
      </c>
      <c r="O413" s="1">
        <v>573.14</v>
      </c>
      <c r="P413" s="1" t="s">
        <v>139</v>
      </c>
    </row>
    <row r="414" spans="1:16">
      <c r="A414" s="7">
        <v>40093</v>
      </c>
      <c r="B414" s="1">
        <v>1434</v>
      </c>
      <c r="C414" s="1" t="s">
        <v>234</v>
      </c>
      <c r="D414" s="1">
        <v>3</v>
      </c>
      <c r="E414" s="1">
        <v>0.27</v>
      </c>
      <c r="F414" s="1">
        <v>23</v>
      </c>
      <c r="G414" s="1" t="s">
        <v>9</v>
      </c>
      <c r="H414" s="1">
        <v>1492</v>
      </c>
      <c r="K414" s="1" t="s">
        <v>80</v>
      </c>
      <c r="L414" s="1" t="s">
        <v>245</v>
      </c>
      <c r="M414" s="1" t="s">
        <v>246</v>
      </c>
      <c r="N414" s="1" t="s">
        <v>253</v>
      </c>
      <c r="O414" s="1">
        <v>90</v>
      </c>
      <c r="P414" s="1" t="s">
        <v>139</v>
      </c>
    </row>
    <row r="415" spans="1:16">
      <c r="A415" s="7">
        <v>40093</v>
      </c>
      <c r="B415" s="1">
        <v>1434</v>
      </c>
      <c r="C415" s="1" t="s">
        <v>234</v>
      </c>
      <c r="D415" s="1">
        <v>3</v>
      </c>
      <c r="E415" s="1">
        <v>292.73</v>
      </c>
      <c r="F415" s="1">
        <v>23</v>
      </c>
      <c r="G415" s="1" t="s">
        <v>9</v>
      </c>
      <c r="H415" s="1">
        <v>1492</v>
      </c>
      <c r="K415" s="1" t="s">
        <v>80</v>
      </c>
      <c r="L415" s="1" t="s">
        <v>245</v>
      </c>
      <c r="M415" s="1" t="s">
        <v>246</v>
      </c>
      <c r="N415" s="1" t="s">
        <v>253</v>
      </c>
      <c r="O415" s="1">
        <v>26</v>
      </c>
      <c r="P415" s="1" t="s">
        <v>139</v>
      </c>
    </row>
    <row r="416" spans="1:16">
      <c r="A416" s="7">
        <v>40093</v>
      </c>
      <c r="B416" s="1">
        <v>1434</v>
      </c>
      <c r="C416" s="1" t="s">
        <v>234</v>
      </c>
      <c r="D416" s="1">
        <v>3</v>
      </c>
      <c r="E416" s="1">
        <v>39</v>
      </c>
      <c r="F416" s="1">
        <v>23</v>
      </c>
      <c r="G416" s="1" t="s">
        <v>11</v>
      </c>
      <c r="H416" s="1">
        <v>1492</v>
      </c>
      <c r="K416" s="1" t="s">
        <v>110</v>
      </c>
      <c r="L416" s="1" t="s">
        <v>245</v>
      </c>
      <c r="M416" s="1" t="s">
        <v>246</v>
      </c>
      <c r="N416" s="1" t="s">
        <v>253</v>
      </c>
      <c r="O416" s="1">
        <v>1454.06</v>
      </c>
      <c r="P416" s="1" t="s">
        <v>139</v>
      </c>
    </row>
    <row r="417" spans="1:16">
      <c r="A417" s="7">
        <v>40093</v>
      </c>
      <c r="B417" s="1">
        <v>1444</v>
      </c>
      <c r="C417" s="1" t="s">
        <v>234</v>
      </c>
      <c r="D417" s="1">
        <v>1</v>
      </c>
      <c r="E417" s="1">
        <v>575</v>
      </c>
      <c r="F417" s="1">
        <v>23</v>
      </c>
      <c r="G417" s="1" t="s">
        <v>17</v>
      </c>
      <c r="H417" s="1">
        <v>2177</v>
      </c>
      <c r="K417" s="1" t="s">
        <v>101</v>
      </c>
      <c r="L417" s="1" t="s">
        <v>245</v>
      </c>
      <c r="M417" s="1" t="s">
        <v>246</v>
      </c>
      <c r="N417" s="1" t="s">
        <v>253</v>
      </c>
      <c r="O417" s="1">
        <v>3055.48</v>
      </c>
      <c r="P417" s="1" t="s">
        <v>139</v>
      </c>
    </row>
    <row r="418" spans="1:16">
      <c r="A418" s="7">
        <v>40093</v>
      </c>
      <c r="B418" s="1">
        <v>1446</v>
      </c>
      <c r="C418" s="1" t="s">
        <v>235</v>
      </c>
      <c r="D418" s="1">
        <v>1</v>
      </c>
      <c r="E418" s="1">
        <v>575</v>
      </c>
      <c r="F418" s="1">
        <v>23</v>
      </c>
      <c r="G418" s="1" t="s">
        <v>17</v>
      </c>
      <c r="H418" s="1">
        <v>2178</v>
      </c>
      <c r="K418" s="1" t="s">
        <v>75</v>
      </c>
      <c r="L418" s="1" t="s">
        <v>245</v>
      </c>
      <c r="M418" s="1" t="s">
        <v>246</v>
      </c>
      <c r="N418" s="1" t="s">
        <v>253</v>
      </c>
      <c r="O418" s="1">
        <v>305</v>
      </c>
      <c r="P418" s="1" t="s">
        <v>139</v>
      </c>
    </row>
    <row r="419" spans="1:16">
      <c r="A419" s="7">
        <v>40093</v>
      </c>
      <c r="B419" s="1">
        <v>1445</v>
      </c>
      <c r="C419" s="1" t="s">
        <v>234</v>
      </c>
      <c r="D419" s="1">
        <v>4</v>
      </c>
      <c r="E419" s="1">
        <v>80</v>
      </c>
      <c r="F419" s="1">
        <v>23</v>
      </c>
      <c r="G419" s="1" t="s">
        <v>18</v>
      </c>
      <c r="H419" s="1">
        <v>985</v>
      </c>
      <c r="K419" s="1" t="s">
        <v>98</v>
      </c>
      <c r="L419" s="1" t="s">
        <v>245</v>
      </c>
      <c r="M419" s="1" t="s">
        <v>246</v>
      </c>
      <c r="N419" s="1" t="s">
        <v>253</v>
      </c>
      <c r="O419" s="1">
        <v>1740</v>
      </c>
      <c r="P419" s="1" t="s">
        <v>139</v>
      </c>
    </row>
    <row r="420" spans="1:16">
      <c r="A420" s="7">
        <v>40093</v>
      </c>
      <c r="B420" s="1">
        <v>1440</v>
      </c>
      <c r="C420" s="1" t="s">
        <v>234</v>
      </c>
      <c r="D420" s="1">
        <v>2</v>
      </c>
      <c r="E420" s="1">
        <v>188.1</v>
      </c>
      <c r="F420" s="1">
        <v>23</v>
      </c>
      <c r="G420" s="1" t="s">
        <v>20</v>
      </c>
      <c r="H420" s="1">
        <v>645</v>
      </c>
      <c r="K420" s="1" t="s">
        <v>103</v>
      </c>
      <c r="L420" s="1" t="s">
        <v>245</v>
      </c>
      <c r="M420" s="1" t="s">
        <v>246</v>
      </c>
      <c r="N420" s="1" t="s">
        <v>253</v>
      </c>
      <c r="O420" s="1">
        <v>341.07</v>
      </c>
      <c r="P420" s="1" t="s">
        <v>139</v>
      </c>
    </row>
    <row r="421" spans="1:16">
      <c r="A421" s="7">
        <v>40093</v>
      </c>
      <c r="B421" s="1">
        <v>1442</v>
      </c>
      <c r="C421" s="1" t="s">
        <v>235</v>
      </c>
      <c r="D421" s="1">
        <v>2</v>
      </c>
      <c r="E421" s="1">
        <v>300</v>
      </c>
      <c r="F421" s="1">
        <v>23</v>
      </c>
      <c r="G421" s="1" t="s">
        <v>20</v>
      </c>
      <c r="H421" s="1">
        <v>2175</v>
      </c>
      <c r="K421" s="1" t="s">
        <v>103</v>
      </c>
      <c r="L421" s="1" t="s">
        <v>245</v>
      </c>
      <c r="M421" s="1" t="s">
        <v>246</v>
      </c>
      <c r="N421" s="1" t="s">
        <v>253</v>
      </c>
      <c r="O421" s="1">
        <v>39.24</v>
      </c>
      <c r="P421" s="1" t="s">
        <v>139</v>
      </c>
    </row>
    <row r="422" spans="1:16">
      <c r="A422" s="7">
        <v>40093</v>
      </c>
      <c r="B422" s="1">
        <v>1443</v>
      </c>
      <c r="C422" s="1" t="s">
        <v>235</v>
      </c>
      <c r="D422" s="1">
        <v>2</v>
      </c>
      <c r="E422" s="1">
        <v>300</v>
      </c>
      <c r="F422" s="1">
        <v>23</v>
      </c>
      <c r="G422" s="1" t="s">
        <v>20</v>
      </c>
      <c r="H422" s="1">
        <v>2176</v>
      </c>
      <c r="K422" s="1" t="s">
        <v>77</v>
      </c>
      <c r="L422" s="1" t="s">
        <v>245</v>
      </c>
      <c r="M422" s="1" t="s">
        <v>246</v>
      </c>
      <c r="N422" s="1" t="s">
        <v>253</v>
      </c>
      <c r="O422" s="1">
        <v>331.66</v>
      </c>
      <c r="P422" s="1" t="s">
        <v>139</v>
      </c>
    </row>
    <row r="423" spans="1:16">
      <c r="A423" s="7">
        <v>39941</v>
      </c>
      <c r="B423" s="1">
        <v>526</v>
      </c>
      <c r="C423" s="1" t="s">
        <v>234</v>
      </c>
      <c r="D423" s="1">
        <v>4</v>
      </c>
      <c r="E423" s="1">
        <v>2064.41</v>
      </c>
      <c r="F423" s="1">
        <v>23</v>
      </c>
      <c r="G423" s="1" t="s">
        <v>16</v>
      </c>
      <c r="H423" s="1">
        <v>0</v>
      </c>
      <c r="K423" s="1" t="s">
        <v>100</v>
      </c>
      <c r="L423" s="1" t="s">
        <v>245</v>
      </c>
      <c r="M423" s="1" t="s">
        <v>246</v>
      </c>
      <c r="N423" s="1" t="s">
        <v>253</v>
      </c>
      <c r="O423" s="1">
        <v>520.23</v>
      </c>
      <c r="P423" s="1" t="s">
        <v>139</v>
      </c>
    </row>
    <row r="424" spans="1:16">
      <c r="A424" s="7">
        <v>39972</v>
      </c>
      <c r="B424" s="1">
        <v>593</v>
      </c>
      <c r="C424" s="1" t="s">
        <v>235</v>
      </c>
      <c r="D424" s="1">
        <v>4</v>
      </c>
      <c r="E424" s="1">
        <v>116</v>
      </c>
      <c r="F424" s="1">
        <v>23</v>
      </c>
      <c r="G424" s="1" t="s">
        <v>16</v>
      </c>
      <c r="H424" s="1">
        <v>417</v>
      </c>
      <c r="K424" s="1" t="s">
        <v>100</v>
      </c>
      <c r="L424" s="1" t="s">
        <v>245</v>
      </c>
      <c r="M424" s="1" t="s">
        <v>246</v>
      </c>
      <c r="N424" s="1" t="s">
        <v>253</v>
      </c>
      <c r="O424" s="1">
        <v>536</v>
      </c>
      <c r="P424" s="1" t="s">
        <v>139</v>
      </c>
    </row>
    <row r="425" spans="1:16">
      <c r="A425" s="7">
        <v>40002</v>
      </c>
      <c r="B425" s="1">
        <v>660</v>
      </c>
      <c r="C425" s="1" t="s">
        <v>234</v>
      </c>
      <c r="D425" s="1">
        <v>4</v>
      </c>
      <c r="E425" s="1">
        <v>822</v>
      </c>
      <c r="F425" s="1">
        <v>23</v>
      </c>
      <c r="G425" s="1" t="s">
        <v>7</v>
      </c>
      <c r="H425" s="1">
        <v>2058</v>
      </c>
      <c r="K425" s="1" t="s">
        <v>80</v>
      </c>
      <c r="L425" s="1" t="s">
        <v>245</v>
      </c>
      <c r="M425" s="1" t="s">
        <v>246</v>
      </c>
      <c r="N425" s="1" t="s">
        <v>253</v>
      </c>
      <c r="O425" s="1">
        <v>576</v>
      </c>
      <c r="P425" s="1" t="s">
        <v>139</v>
      </c>
    </row>
    <row r="426" spans="1:16">
      <c r="A426" s="7">
        <v>40002</v>
      </c>
      <c r="B426" s="1">
        <v>660</v>
      </c>
      <c r="C426" s="1" t="s">
        <v>234</v>
      </c>
      <c r="D426" s="1">
        <v>4</v>
      </c>
      <c r="E426" s="1">
        <v>78</v>
      </c>
      <c r="F426" s="1">
        <v>23</v>
      </c>
      <c r="G426" s="1" t="s">
        <v>11</v>
      </c>
      <c r="H426" s="1">
        <v>2058</v>
      </c>
      <c r="K426" s="1" t="s">
        <v>80</v>
      </c>
      <c r="L426" s="1" t="s">
        <v>245</v>
      </c>
      <c r="M426" s="1" t="s">
        <v>246</v>
      </c>
      <c r="N426" s="1" t="s">
        <v>253</v>
      </c>
      <c r="O426" s="1">
        <v>29.1</v>
      </c>
      <c r="P426" s="1" t="s">
        <v>139</v>
      </c>
    </row>
    <row r="427" spans="1:16">
      <c r="A427" s="7">
        <v>40002</v>
      </c>
      <c r="B427" s="1">
        <v>656</v>
      </c>
      <c r="C427" s="1" t="s">
        <v>234</v>
      </c>
      <c r="D427" s="1">
        <v>4</v>
      </c>
      <c r="E427" s="1">
        <v>406.5</v>
      </c>
      <c r="F427" s="1">
        <v>23</v>
      </c>
      <c r="G427" s="1" t="s">
        <v>12</v>
      </c>
      <c r="H427" s="1">
        <v>2059</v>
      </c>
      <c r="K427" s="1" t="s">
        <v>100</v>
      </c>
      <c r="L427" s="1" t="s">
        <v>245</v>
      </c>
      <c r="M427" s="1" t="s">
        <v>246</v>
      </c>
      <c r="N427" s="1" t="s">
        <v>253</v>
      </c>
      <c r="O427" s="1">
        <v>427.84</v>
      </c>
      <c r="P427" s="1" t="s">
        <v>139</v>
      </c>
    </row>
    <row r="428" spans="1:16">
      <c r="A428" s="7">
        <v>40002</v>
      </c>
      <c r="B428" s="1">
        <v>653</v>
      </c>
      <c r="C428" s="1" t="s">
        <v>235</v>
      </c>
      <c r="D428" s="1">
        <v>4</v>
      </c>
      <c r="E428" s="1">
        <v>470.25</v>
      </c>
      <c r="F428" s="1">
        <v>23</v>
      </c>
      <c r="G428" s="1" t="s">
        <v>13</v>
      </c>
      <c r="H428" s="1">
        <v>2057</v>
      </c>
      <c r="K428" s="1" t="s">
        <v>124</v>
      </c>
      <c r="L428" s="1" t="s">
        <v>245</v>
      </c>
      <c r="M428" s="1" t="s">
        <v>246</v>
      </c>
      <c r="N428" s="1" t="s">
        <v>253</v>
      </c>
      <c r="O428" s="1">
        <v>519.41999999999996</v>
      </c>
      <c r="P428" s="1" t="s">
        <v>139</v>
      </c>
    </row>
    <row r="429" spans="1:16">
      <c r="A429" s="7">
        <v>40002</v>
      </c>
      <c r="B429" s="1">
        <v>282</v>
      </c>
      <c r="C429" s="1" t="s">
        <v>236</v>
      </c>
      <c r="D429" s="1">
        <v>4</v>
      </c>
      <c r="E429" s="1">
        <v>-94.05</v>
      </c>
      <c r="F429" s="1">
        <v>23</v>
      </c>
      <c r="G429" s="1" t="s">
        <v>3</v>
      </c>
      <c r="H429" s="1">
        <v>98</v>
      </c>
      <c r="K429" s="1" t="s">
        <v>123</v>
      </c>
      <c r="L429" s="1" t="s">
        <v>245</v>
      </c>
      <c r="M429" s="1" t="s">
        <v>246</v>
      </c>
      <c r="N429" s="1" t="s">
        <v>253</v>
      </c>
      <c r="O429" s="1">
        <v>145</v>
      </c>
      <c r="P429" s="1" t="s">
        <v>139</v>
      </c>
    </row>
    <row r="430" spans="1:16">
      <c r="A430" s="7">
        <v>40002</v>
      </c>
      <c r="B430" s="1">
        <v>309</v>
      </c>
      <c r="C430" s="1" t="s">
        <v>236</v>
      </c>
      <c r="D430" s="1">
        <v>4</v>
      </c>
      <c r="E430" s="1">
        <v>-94.05</v>
      </c>
      <c r="F430" s="1">
        <v>23</v>
      </c>
      <c r="G430" s="1" t="s">
        <v>3</v>
      </c>
      <c r="H430" s="1">
        <v>1336</v>
      </c>
      <c r="K430" s="1" t="s">
        <v>98</v>
      </c>
      <c r="L430" s="1" t="s">
        <v>245</v>
      </c>
      <c r="M430" s="1" t="s">
        <v>246</v>
      </c>
      <c r="N430" s="1" t="s">
        <v>253</v>
      </c>
      <c r="O430" s="1">
        <v>12.43</v>
      </c>
      <c r="P430" s="1" t="s">
        <v>139</v>
      </c>
    </row>
    <row r="431" spans="1:16">
      <c r="A431" s="7">
        <v>40002</v>
      </c>
      <c r="B431" s="1">
        <v>655</v>
      </c>
      <c r="C431" s="1" t="s">
        <v>234</v>
      </c>
      <c r="D431" s="1">
        <v>4</v>
      </c>
      <c r="E431" s="1">
        <v>1159.95</v>
      </c>
      <c r="F431" s="1">
        <v>23</v>
      </c>
      <c r="G431" s="1" t="s">
        <v>3</v>
      </c>
      <c r="H431" s="1">
        <v>1814</v>
      </c>
      <c r="K431" s="1" t="s">
        <v>72</v>
      </c>
      <c r="L431" s="1" t="s">
        <v>245</v>
      </c>
      <c r="M431" s="1" t="s">
        <v>246</v>
      </c>
      <c r="N431" s="1" t="s">
        <v>253</v>
      </c>
      <c r="O431" s="1">
        <v>397.12</v>
      </c>
      <c r="P431" s="1" t="s">
        <v>139</v>
      </c>
    </row>
    <row r="432" spans="1:16">
      <c r="A432" s="7">
        <v>40002</v>
      </c>
      <c r="B432" s="1">
        <v>652</v>
      </c>
      <c r="C432" s="1" t="s">
        <v>235</v>
      </c>
      <c r="D432" s="1">
        <v>4</v>
      </c>
      <c r="E432" s="1">
        <v>45</v>
      </c>
      <c r="F432" s="1">
        <v>23</v>
      </c>
      <c r="G432" s="1" t="s">
        <v>15</v>
      </c>
      <c r="H432" s="1">
        <v>2056</v>
      </c>
      <c r="K432" s="1" t="s">
        <v>72</v>
      </c>
      <c r="L432" s="1" t="s">
        <v>245</v>
      </c>
      <c r="M432" s="1" t="s">
        <v>246</v>
      </c>
      <c r="N432" s="1" t="s">
        <v>253</v>
      </c>
      <c r="O432" s="1">
        <v>68.88</v>
      </c>
      <c r="P432" s="1" t="s">
        <v>139</v>
      </c>
    </row>
    <row r="433" spans="1:16">
      <c r="A433" s="7">
        <v>40002</v>
      </c>
      <c r="B433" s="1">
        <v>650</v>
      </c>
      <c r="C433" s="1" t="s">
        <v>234</v>
      </c>
      <c r="D433" s="1">
        <v>4</v>
      </c>
      <c r="E433" s="1">
        <v>374.95</v>
      </c>
      <c r="F433" s="1">
        <v>23</v>
      </c>
      <c r="G433" s="1" t="s">
        <v>6</v>
      </c>
      <c r="H433" s="1">
        <v>12</v>
      </c>
      <c r="K433" s="1" t="s">
        <v>106</v>
      </c>
      <c r="L433" s="1" t="s">
        <v>245</v>
      </c>
      <c r="M433" s="1" t="s">
        <v>246</v>
      </c>
      <c r="N433" s="1" t="s">
        <v>253</v>
      </c>
      <c r="O433" s="1">
        <v>1066.8800000000001</v>
      </c>
      <c r="P433" s="1" t="s">
        <v>139</v>
      </c>
    </row>
    <row r="434" spans="1:16">
      <c r="A434" s="7">
        <v>40002</v>
      </c>
      <c r="B434" s="1">
        <v>651</v>
      </c>
      <c r="C434" s="1" t="s">
        <v>234</v>
      </c>
      <c r="D434" s="1">
        <v>2</v>
      </c>
      <c r="E434" s="1">
        <v>300</v>
      </c>
      <c r="F434" s="1">
        <v>23</v>
      </c>
      <c r="G434" s="1" t="s">
        <v>20</v>
      </c>
      <c r="H434" s="1">
        <v>2055</v>
      </c>
      <c r="K434" s="1" t="s">
        <v>81</v>
      </c>
      <c r="L434" s="1" t="s">
        <v>245</v>
      </c>
      <c r="M434" s="1" t="s">
        <v>246</v>
      </c>
      <c r="N434" s="1" t="s">
        <v>253</v>
      </c>
      <c r="O434" s="1">
        <v>90</v>
      </c>
      <c r="P434" s="1" t="s">
        <v>139</v>
      </c>
    </row>
    <row r="435" spans="1:16">
      <c r="A435" s="7">
        <v>40002</v>
      </c>
      <c r="B435" s="1">
        <v>696</v>
      </c>
      <c r="C435" s="1" t="s">
        <v>234</v>
      </c>
      <c r="D435" s="1">
        <v>1</v>
      </c>
      <c r="E435" s="1">
        <v>16068.12</v>
      </c>
      <c r="F435" s="1">
        <v>23</v>
      </c>
      <c r="G435" s="1" t="s">
        <v>38</v>
      </c>
      <c r="H435" s="1">
        <v>0</v>
      </c>
      <c r="K435" s="1" t="s">
        <v>81</v>
      </c>
      <c r="L435" s="1" t="s">
        <v>245</v>
      </c>
      <c r="M435" s="1" t="s">
        <v>246</v>
      </c>
      <c r="N435" s="1" t="s">
        <v>253</v>
      </c>
      <c r="O435" s="1">
        <v>16.5</v>
      </c>
      <c r="P435" s="1" t="s">
        <v>139</v>
      </c>
    </row>
    <row r="436" spans="1:16">
      <c r="A436" s="7">
        <v>40094</v>
      </c>
      <c r="B436" s="1">
        <v>1359</v>
      </c>
      <c r="C436" s="1" t="s">
        <v>234</v>
      </c>
      <c r="D436" s="1">
        <v>1</v>
      </c>
      <c r="E436" s="1">
        <v>489.96</v>
      </c>
      <c r="F436" s="1">
        <v>23</v>
      </c>
      <c r="G436" s="1" t="s">
        <v>9</v>
      </c>
      <c r="H436" s="1">
        <v>1829</v>
      </c>
      <c r="K436" s="1" t="s">
        <v>81</v>
      </c>
      <c r="L436" s="1" t="s">
        <v>245</v>
      </c>
      <c r="M436" s="1" t="s">
        <v>246</v>
      </c>
      <c r="N436" s="1" t="s">
        <v>253</v>
      </c>
      <c r="O436" s="1">
        <v>57.95</v>
      </c>
      <c r="P436" s="1" t="s">
        <v>139</v>
      </c>
    </row>
    <row r="437" spans="1:16">
      <c r="A437" s="7">
        <v>40094</v>
      </c>
      <c r="B437" s="1">
        <v>1368</v>
      </c>
      <c r="C437" s="1" t="s">
        <v>234</v>
      </c>
      <c r="D437" s="1">
        <v>1</v>
      </c>
      <c r="E437" s="1">
        <v>489.95</v>
      </c>
      <c r="F437" s="1">
        <v>23</v>
      </c>
      <c r="G437" s="1" t="s">
        <v>9</v>
      </c>
      <c r="H437" s="1">
        <v>1829</v>
      </c>
      <c r="K437" s="1" t="s">
        <v>81</v>
      </c>
      <c r="L437" s="1" t="s">
        <v>245</v>
      </c>
      <c r="M437" s="1" t="s">
        <v>246</v>
      </c>
      <c r="N437" s="1" t="s">
        <v>253</v>
      </c>
      <c r="O437" s="1">
        <v>45</v>
      </c>
      <c r="P437" s="1" t="s">
        <v>139</v>
      </c>
    </row>
    <row r="438" spans="1:16">
      <c r="A438" s="7">
        <v>40094</v>
      </c>
      <c r="B438" s="1">
        <v>1224</v>
      </c>
      <c r="C438" s="1" t="s">
        <v>235</v>
      </c>
      <c r="D438" s="1">
        <v>4</v>
      </c>
      <c r="E438" s="1">
        <v>27.1</v>
      </c>
      <c r="F438" s="1">
        <v>23</v>
      </c>
      <c r="G438" s="1" t="s">
        <v>12</v>
      </c>
      <c r="H438" s="1">
        <v>1651</v>
      </c>
      <c r="K438" s="1" t="s">
        <v>81</v>
      </c>
      <c r="L438" s="1" t="s">
        <v>245</v>
      </c>
      <c r="M438" s="1" t="s">
        <v>246</v>
      </c>
      <c r="N438" s="1" t="s">
        <v>253</v>
      </c>
      <c r="O438" s="1">
        <v>22.5</v>
      </c>
      <c r="P438" s="1" t="s">
        <v>139</v>
      </c>
    </row>
    <row r="439" spans="1:16">
      <c r="A439" s="7">
        <v>40094</v>
      </c>
      <c r="B439" s="1">
        <v>1447</v>
      </c>
      <c r="C439" s="1" t="s">
        <v>234</v>
      </c>
      <c r="D439" s="1">
        <v>4</v>
      </c>
      <c r="E439" s="1">
        <v>855.45</v>
      </c>
      <c r="F439" s="1">
        <v>23</v>
      </c>
      <c r="G439" s="1" t="s">
        <v>13</v>
      </c>
      <c r="H439" s="1">
        <v>2135</v>
      </c>
      <c r="K439" s="1" t="s">
        <v>106</v>
      </c>
      <c r="L439" s="1" t="s">
        <v>245</v>
      </c>
      <c r="M439" s="1" t="s">
        <v>246</v>
      </c>
      <c r="N439" s="1" t="s">
        <v>253</v>
      </c>
      <c r="O439" s="1">
        <v>1096.19</v>
      </c>
      <c r="P439" s="1" t="s">
        <v>139</v>
      </c>
    </row>
    <row r="440" spans="1:16">
      <c r="A440" s="7">
        <v>40094</v>
      </c>
      <c r="B440" s="1">
        <v>1448</v>
      </c>
      <c r="C440" s="1" t="s">
        <v>234</v>
      </c>
      <c r="D440" s="1">
        <v>4</v>
      </c>
      <c r="E440" s="1">
        <v>287.5</v>
      </c>
      <c r="F440" s="1">
        <v>23</v>
      </c>
      <c r="G440" s="1" t="s">
        <v>17</v>
      </c>
      <c r="H440" s="1">
        <v>1154</v>
      </c>
      <c r="K440" s="1" t="s">
        <v>81</v>
      </c>
      <c r="L440" s="1" t="s">
        <v>245</v>
      </c>
      <c r="M440" s="1" t="s">
        <v>246</v>
      </c>
      <c r="N440" s="1" t="s">
        <v>253</v>
      </c>
      <c r="O440" s="1">
        <v>85</v>
      </c>
      <c r="P440" s="1" t="s">
        <v>139</v>
      </c>
    </row>
    <row r="441" spans="1:16">
      <c r="A441" s="7">
        <v>40094</v>
      </c>
      <c r="B441" s="1">
        <v>1452</v>
      </c>
      <c r="C441" s="1" t="s">
        <v>234</v>
      </c>
      <c r="D441" s="1">
        <v>4</v>
      </c>
      <c r="E441" s="1">
        <v>575</v>
      </c>
      <c r="F441" s="1">
        <v>23</v>
      </c>
      <c r="G441" s="1" t="s">
        <v>17</v>
      </c>
      <c r="H441" s="1">
        <v>2179</v>
      </c>
      <c r="K441" s="1" t="s">
        <v>104</v>
      </c>
      <c r="L441" s="1" t="s">
        <v>245</v>
      </c>
      <c r="M441" s="1" t="s">
        <v>246</v>
      </c>
      <c r="N441" s="1" t="s">
        <v>253</v>
      </c>
      <c r="O441" s="1">
        <v>76.400000000000006</v>
      </c>
      <c r="P441" s="1" t="s">
        <v>139</v>
      </c>
    </row>
    <row r="442" spans="1:16">
      <c r="A442" s="7">
        <v>39822</v>
      </c>
      <c r="B442" s="1">
        <v>10</v>
      </c>
      <c r="C442" s="1" t="s">
        <v>235</v>
      </c>
      <c r="D442" s="1">
        <v>1</v>
      </c>
      <c r="E442" s="1">
        <v>516.47</v>
      </c>
      <c r="F442" s="1">
        <v>23</v>
      </c>
      <c r="G442" s="1" t="s">
        <v>28</v>
      </c>
      <c r="H442" s="1">
        <v>1985</v>
      </c>
      <c r="K442" s="1" t="s">
        <v>104</v>
      </c>
      <c r="L442" s="1" t="s">
        <v>245</v>
      </c>
      <c r="M442" s="1" t="s">
        <v>246</v>
      </c>
      <c r="N442" s="1" t="s">
        <v>253</v>
      </c>
      <c r="O442" s="1">
        <v>64.8</v>
      </c>
      <c r="P442" s="1" t="s">
        <v>139</v>
      </c>
    </row>
    <row r="443" spans="1:16">
      <c r="A443" s="7">
        <v>39822</v>
      </c>
      <c r="B443" s="1">
        <v>2</v>
      </c>
      <c r="C443" s="1" t="s">
        <v>234</v>
      </c>
      <c r="D443" s="1">
        <v>4</v>
      </c>
      <c r="E443" s="1">
        <v>150</v>
      </c>
      <c r="F443" s="1">
        <v>23</v>
      </c>
      <c r="G443" s="1" t="s">
        <v>41</v>
      </c>
      <c r="H443" s="1">
        <v>1979</v>
      </c>
      <c r="K443" s="1" t="s">
        <v>126</v>
      </c>
      <c r="L443" s="1" t="s">
        <v>245</v>
      </c>
      <c r="M443" s="1" t="s">
        <v>246</v>
      </c>
      <c r="N443" s="1" t="s">
        <v>253</v>
      </c>
      <c r="O443" s="1">
        <v>240</v>
      </c>
      <c r="P443" s="1" t="s">
        <v>139</v>
      </c>
    </row>
    <row r="444" spans="1:16">
      <c r="A444" s="7">
        <v>39822</v>
      </c>
      <c r="B444" s="1">
        <v>3</v>
      </c>
      <c r="C444" s="1" t="s">
        <v>234</v>
      </c>
      <c r="D444" s="1">
        <v>4</v>
      </c>
      <c r="E444" s="1">
        <v>150</v>
      </c>
      <c r="F444" s="1">
        <v>23</v>
      </c>
      <c r="G444" s="1" t="s">
        <v>41</v>
      </c>
      <c r="H444" s="1">
        <v>1862</v>
      </c>
      <c r="K444" s="1" t="s">
        <v>76</v>
      </c>
      <c r="L444" s="1" t="s">
        <v>245</v>
      </c>
      <c r="M444" s="1" t="s">
        <v>246</v>
      </c>
      <c r="N444" s="1" t="s">
        <v>253</v>
      </c>
      <c r="O444" s="1">
        <v>428</v>
      </c>
      <c r="P444" s="1" t="s">
        <v>139</v>
      </c>
    </row>
    <row r="445" spans="1:16">
      <c r="A445" s="7">
        <v>39822</v>
      </c>
      <c r="B445" s="1">
        <v>9</v>
      </c>
      <c r="C445" s="1" t="s">
        <v>234</v>
      </c>
      <c r="D445" s="1">
        <v>1</v>
      </c>
      <c r="E445" s="1">
        <v>150</v>
      </c>
      <c r="F445" s="1">
        <v>23</v>
      </c>
      <c r="G445" s="1" t="s">
        <v>41</v>
      </c>
      <c r="H445" s="1">
        <v>1984</v>
      </c>
      <c r="K445" s="1" t="s">
        <v>107</v>
      </c>
      <c r="L445" s="1" t="s">
        <v>245</v>
      </c>
      <c r="M445" s="1" t="s">
        <v>246</v>
      </c>
      <c r="N445" s="1" t="s">
        <v>253</v>
      </c>
      <c r="O445" s="1">
        <v>63.64</v>
      </c>
      <c r="P445" s="1" t="s">
        <v>139</v>
      </c>
    </row>
    <row r="446" spans="1:16">
      <c r="A446" s="7">
        <v>39822</v>
      </c>
      <c r="B446" s="1">
        <v>22</v>
      </c>
      <c r="C446" s="1" t="s">
        <v>234</v>
      </c>
      <c r="D446" s="1">
        <v>4</v>
      </c>
      <c r="E446" s="1">
        <v>75</v>
      </c>
      <c r="F446" s="1">
        <v>23</v>
      </c>
      <c r="G446" s="1" t="s">
        <v>24</v>
      </c>
      <c r="H446" s="1">
        <v>1564</v>
      </c>
      <c r="K446" s="1" t="s">
        <v>103</v>
      </c>
      <c r="L446" s="1" t="s">
        <v>245</v>
      </c>
      <c r="M446" s="1" t="s">
        <v>246</v>
      </c>
      <c r="N446" s="1" t="s">
        <v>253</v>
      </c>
      <c r="O446" s="1">
        <v>63.2</v>
      </c>
      <c r="P446" s="1" t="s">
        <v>139</v>
      </c>
    </row>
    <row r="447" spans="1:16">
      <c r="A447" s="7">
        <v>39853</v>
      </c>
      <c r="B447" s="1">
        <v>123</v>
      </c>
      <c r="C447" s="1" t="s">
        <v>234</v>
      </c>
      <c r="D447" s="1">
        <v>4</v>
      </c>
      <c r="E447" s="1">
        <v>501.6</v>
      </c>
      <c r="F447" s="1">
        <v>23</v>
      </c>
      <c r="G447" s="1" t="s">
        <v>7</v>
      </c>
      <c r="H447" s="1">
        <v>1745</v>
      </c>
      <c r="K447" s="1" t="s">
        <v>108</v>
      </c>
      <c r="L447" s="1" t="s">
        <v>245</v>
      </c>
      <c r="M447" s="1" t="s">
        <v>246</v>
      </c>
      <c r="N447" s="1" t="s">
        <v>253</v>
      </c>
      <c r="O447" s="1">
        <v>82.86</v>
      </c>
      <c r="P447" s="1" t="s">
        <v>139</v>
      </c>
    </row>
    <row r="448" spans="1:16">
      <c r="A448" s="7">
        <v>39853</v>
      </c>
      <c r="B448" s="1">
        <v>199</v>
      </c>
      <c r="C448" s="1" t="s">
        <v>235</v>
      </c>
      <c r="D448" s="1">
        <v>4</v>
      </c>
      <c r="E448" s="1">
        <v>433.6</v>
      </c>
      <c r="F448" s="1">
        <v>23</v>
      </c>
      <c r="G448" s="1" t="s">
        <v>12</v>
      </c>
      <c r="H448" s="1">
        <v>1445</v>
      </c>
      <c r="K448" s="1" t="s">
        <v>80</v>
      </c>
      <c r="L448" s="1" t="s">
        <v>245</v>
      </c>
      <c r="M448" s="1" t="s">
        <v>246</v>
      </c>
      <c r="N448" s="1" t="s">
        <v>253</v>
      </c>
      <c r="O448" s="1">
        <v>168</v>
      </c>
      <c r="P448" s="1" t="s">
        <v>139</v>
      </c>
    </row>
    <row r="449" spans="1:16">
      <c r="A449" s="7">
        <v>39853</v>
      </c>
      <c r="B449" s="1">
        <v>201</v>
      </c>
      <c r="C449" s="1" t="s">
        <v>235</v>
      </c>
      <c r="D449" s="1">
        <v>4</v>
      </c>
      <c r="E449" s="1">
        <v>67.75</v>
      </c>
      <c r="F449" s="1">
        <v>23</v>
      </c>
      <c r="G449" s="1" t="s">
        <v>12</v>
      </c>
      <c r="H449" s="1">
        <v>421</v>
      </c>
      <c r="K449" s="1" t="s">
        <v>109</v>
      </c>
      <c r="L449" s="1" t="s">
        <v>245</v>
      </c>
      <c r="M449" s="1" t="s">
        <v>246</v>
      </c>
      <c r="N449" s="1" t="s">
        <v>253</v>
      </c>
      <c r="O449" s="1">
        <v>13</v>
      </c>
      <c r="P449" s="1" t="s">
        <v>139</v>
      </c>
    </row>
    <row r="450" spans="1:16">
      <c r="A450" s="7">
        <v>39853</v>
      </c>
      <c r="B450" s="1">
        <v>202</v>
      </c>
      <c r="C450" s="1" t="s">
        <v>235</v>
      </c>
      <c r="D450" s="1">
        <v>4</v>
      </c>
      <c r="E450" s="1">
        <v>440.38</v>
      </c>
      <c r="F450" s="1">
        <v>23</v>
      </c>
      <c r="G450" s="1" t="s">
        <v>12</v>
      </c>
      <c r="H450" s="1">
        <v>1469</v>
      </c>
      <c r="K450" s="1" t="s">
        <v>110</v>
      </c>
      <c r="L450" s="1" t="s">
        <v>245</v>
      </c>
      <c r="M450" s="1" t="s">
        <v>246</v>
      </c>
      <c r="N450" s="1" t="s">
        <v>253</v>
      </c>
      <c r="O450" s="1">
        <v>216.32</v>
      </c>
      <c r="P450" s="1" t="s">
        <v>139</v>
      </c>
    </row>
    <row r="451" spans="1:16">
      <c r="A451" s="7">
        <v>39853</v>
      </c>
      <c r="B451" s="1">
        <v>191</v>
      </c>
      <c r="C451" s="1" t="s">
        <v>234</v>
      </c>
      <c r="D451" s="1">
        <v>4</v>
      </c>
      <c r="E451" s="1">
        <v>376.2</v>
      </c>
      <c r="F451" s="1">
        <v>23</v>
      </c>
      <c r="G451" s="1" t="s">
        <v>13</v>
      </c>
      <c r="H451" s="1">
        <v>1846</v>
      </c>
      <c r="K451" s="1" t="s">
        <v>86</v>
      </c>
      <c r="L451" s="1" t="s">
        <v>245</v>
      </c>
      <c r="M451" s="1" t="s">
        <v>246</v>
      </c>
      <c r="N451" s="1" t="s">
        <v>253</v>
      </c>
      <c r="O451" s="1">
        <v>15.81</v>
      </c>
      <c r="P451" s="1" t="s">
        <v>139</v>
      </c>
    </row>
    <row r="452" spans="1:16">
      <c r="A452" s="7">
        <v>39853</v>
      </c>
      <c r="B452" s="1">
        <v>192</v>
      </c>
      <c r="C452" s="1" t="s">
        <v>234</v>
      </c>
      <c r="D452" s="1">
        <v>4</v>
      </c>
      <c r="E452" s="1">
        <v>376.2</v>
      </c>
      <c r="F452" s="1">
        <v>23</v>
      </c>
      <c r="G452" s="1" t="s">
        <v>13</v>
      </c>
      <c r="H452" s="1">
        <v>404</v>
      </c>
      <c r="K452" s="1" t="s">
        <v>110</v>
      </c>
      <c r="L452" s="1" t="s">
        <v>245</v>
      </c>
      <c r="M452" s="1" t="s">
        <v>246</v>
      </c>
      <c r="N452" s="1" t="s">
        <v>253</v>
      </c>
      <c r="O452" s="1">
        <v>639.1</v>
      </c>
      <c r="P452" s="1" t="s">
        <v>139</v>
      </c>
    </row>
    <row r="453" spans="1:16">
      <c r="A453" s="7">
        <v>39853</v>
      </c>
      <c r="B453" s="1">
        <v>193</v>
      </c>
      <c r="C453" s="1" t="s">
        <v>234</v>
      </c>
      <c r="D453" s="1">
        <v>4</v>
      </c>
      <c r="E453" s="1">
        <v>408.2</v>
      </c>
      <c r="F453" s="1">
        <v>23</v>
      </c>
      <c r="G453" s="1" t="s">
        <v>13</v>
      </c>
      <c r="H453" s="1">
        <v>1819</v>
      </c>
      <c r="K453" s="1" t="s">
        <v>107</v>
      </c>
      <c r="L453" s="1" t="s">
        <v>245</v>
      </c>
      <c r="M453" s="1" t="s">
        <v>246</v>
      </c>
      <c r="N453" s="1" t="s">
        <v>253</v>
      </c>
      <c r="O453" s="1">
        <v>222.97</v>
      </c>
      <c r="P453" s="1" t="s">
        <v>139</v>
      </c>
    </row>
    <row r="454" spans="1:16">
      <c r="A454" s="7">
        <v>39853</v>
      </c>
      <c r="B454" s="1">
        <v>198</v>
      </c>
      <c r="C454" s="1" t="s">
        <v>235</v>
      </c>
      <c r="D454" s="1">
        <v>4</v>
      </c>
      <c r="E454" s="1">
        <v>786.33</v>
      </c>
      <c r="F454" s="1">
        <v>23</v>
      </c>
      <c r="G454" s="1" t="s">
        <v>13</v>
      </c>
      <c r="H454" s="1">
        <v>1117</v>
      </c>
      <c r="K454" s="1" t="s">
        <v>111</v>
      </c>
      <c r="L454" s="1" t="s">
        <v>245</v>
      </c>
      <c r="M454" s="1" t="s">
        <v>246</v>
      </c>
      <c r="N454" s="1" t="s">
        <v>253</v>
      </c>
      <c r="O454" s="1">
        <v>780</v>
      </c>
      <c r="P454" s="1" t="s">
        <v>139</v>
      </c>
    </row>
    <row r="455" spans="1:16">
      <c r="A455" s="7">
        <v>39853</v>
      </c>
      <c r="B455" s="1">
        <v>200</v>
      </c>
      <c r="C455" s="1" t="s">
        <v>235</v>
      </c>
      <c r="D455" s="1">
        <v>4</v>
      </c>
      <c r="E455" s="1">
        <v>94.05</v>
      </c>
      <c r="F455" s="1">
        <v>23</v>
      </c>
      <c r="G455" s="1" t="s">
        <v>13</v>
      </c>
      <c r="H455" s="1">
        <v>1106</v>
      </c>
      <c r="K455" s="1" t="s">
        <v>110</v>
      </c>
      <c r="L455" s="1" t="s">
        <v>245</v>
      </c>
      <c r="M455" s="1" t="s">
        <v>246</v>
      </c>
      <c r="N455" s="1" t="s">
        <v>253</v>
      </c>
      <c r="O455" s="1">
        <v>162.24</v>
      </c>
      <c r="P455" s="1" t="s">
        <v>139</v>
      </c>
    </row>
    <row r="456" spans="1:16">
      <c r="A456" s="7">
        <v>39853</v>
      </c>
      <c r="B456" s="1">
        <v>203</v>
      </c>
      <c r="C456" s="1" t="s">
        <v>235</v>
      </c>
      <c r="D456" s="1">
        <v>4</v>
      </c>
      <c r="E456" s="1">
        <v>282.14999999999998</v>
      </c>
      <c r="F456" s="1">
        <v>23</v>
      </c>
      <c r="G456" s="1" t="s">
        <v>13</v>
      </c>
      <c r="H456" s="1">
        <v>409</v>
      </c>
      <c r="K456" s="1" t="s">
        <v>80</v>
      </c>
      <c r="L456" s="1" t="s">
        <v>245</v>
      </c>
      <c r="M456" s="1" t="s">
        <v>246</v>
      </c>
      <c r="N456" s="1" t="s">
        <v>253</v>
      </c>
      <c r="O456" s="1">
        <v>315.45</v>
      </c>
      <c r="P456" s="1" t="s">
        <v>139</v>
      </c>
    </row>
    <row r="457" spans="1:16">
      <c r="A457" s="7">
        <v>39853</v>
      </c>
      <c r="B457" s="1">
        <v>208</v>
      </c>
      <c r="C457" s="1" t="s">
        <v>234</v>
      </c>
      <c r="D457" s="1">
        <v>4</v>
      </c>
      <c r="E457" s="1">
        <v>785.04</v>
      </c>
      <c r="F457" s="1">
        <v>23</v>
      </c>
      <c r="G457" s="1" t="s">
        <v>13</v>
      </c>
      <c r="H457" s="1">
        <v>446</v>
      </c>
      <c r="K457" s="1" t="s">
        <v>109</v>
      </c>
      <c r="L457" s="1" t="s">
        <v>245</v>
      </c>
      <c r="M457" s="1" t="s">
        <v>246</v>
      </c>
      <c r="N457" s="1" t="s">
        <v>253</v>
      </c>
      <c r="O457" s="1">
        <v>68.48</v>
      </c>
      <c r="P457" s="1" t="s">
        <v>139</v>
      </c>
    </row>
    <row r="458" spans="1:16">
      <c r="A458" s="7">
        <v>39853</v>
      </c>
      <c r="B458" s="1">
        <v>213</v>
      </c>
      <c r="C458" s="1" t="s">
        <v>234</v>
      </c>
      <c r="D458" s="1">
        <v>3</v>
      </c>
      <c r="E458" s="1">
        <v>200.5</v>
      </c>
      <c r="F458" s="1">
        <v>23</v>
      </c>
      <c r="G458" s="1" t="s">
        <v>13</v>
      </c>
      <c r="H458" s="1">
        <v>819</v>
      </c>
      <c r="K458" s="1" t="s">
        <v>77</v>
      </c>
      <c r="L458" s="1" t="s">
        <v>245</v>
      </c>
      <c r="M458" s="1" t="s">
        <v>246</v>
      </c>
      <c r="N458" s="1" t="s">
        <v>253</v>
      </c>
      <c r="O458" s="1">
        <v>2543.36</v>
      </c>
      <c r="P458" s="1" t="s">
        <v>139</v>
      </c>
    </row>
    <row r="459" spans="1:16">
      <c r="A459" s="7">
        <v>39853</v>
      </c>
      <c r="B459" s="1">
        <v>185</v>
      </c>
      <c r="C459" s="1" t="s">
        <v>234</v>
      </c>
      <c r="D459" s="1">
        <v>1</v>
      </c>
      <c r="E459" s="1">
        <v>454.57</v>
      </c>
      <c r="F459" s="1">
        <v>23</v>
      </c>
      <c r="G459" s="1" t="s">
        <v>3</v>
      </c>
      <c r="H459" s="1">
        <v>1478</v>
      </c>
      <c r="K459" s="1" t="s">
        <v>128</v>
      </c>
      <c r="L459" s="1" t="s">
        <v>245</v>
      </c>
      <c r="M459" s="1" t="s">
        <v>246</v>
      </c>
      <c r="N459" s="1" t="s">
        <v>253</v>
      </c>
      <c r="O459" s="1">
        <v>1510.08</v>
      </c>
      <c r="P459" s="1" t="s">
        <v>139</v>
      </c>
    </row>
    <row r="460" spans="1:16">
      <c r="A460" s="7">
        <v>39853</v>
      </c>
      <c r="B460" s="1">
        <v>207</v>
      </c>
      <c r="C460" s="1" t="s">
        <v>235</v>
      </c>
      <c r="D460" s="1">
        <v>1</v>
      </c>
      <c r="E460" s="1">
        <v>1072.96</v>
      </c>
      <c r="F460" s="1">
        <v>23</v>
      </c>
      <c r="G460" s="1" t="s">
        <v>28</v>
      </c>
      <c r="H460" s="1">
        <v>2013</v>
      </c>
      <c r="K460" s="1" t="s">
        <v>128</v>
      </c>
      <c r="L460" s="1" t="s">
        <v>245</v>
      </c>
      <c r="M460" s="1" t="s">
        <v>246</v>
      </c>
      <c r="N460" s="1" t="s">
        <v>253</v>
      </c>
      <c r="O460" s="1">
        <v>673.92</v>
      </c>
      <c r="P460" s="1" t="s">
        <v>139</v>
      </c>
    </row>
    <row r="461" spans="1:16">
      <c r="A461" s="7">
        <v>39853</v>
      </c>
      <c r="B461" s="1">
        <v>176</v>
      </c>
      <c r="C461" s="1" t="s">
        <v>234</v>
      </c>
      <c r="D461" s="1">
        <v>4</v>
      </c>
      <c r="E461" s="1">
        <v>532.99</v>
      </c>
      <c r="F461" s="1">
        <v>23</v>
      </c>
      <c r="G461" s="1" t="s">
        <v>29</v>
      </c>
      <c r="H461" s="1">
        <v>995</v>
      </c>
      <c r="K461" s="1" t="s">
        <v>143</v>
      </c>
      <c r="L461" s="1" t="s">
        <v>245</v>
      </c>
      <c r="M461" s="1" t="s">
        <v>246</v>
      </c>
      <c r="N461" s="1" t="s">
        <v>253</v>
      </c>
      <c r="O461" s="1">
        <v>180</v>
      </c>
      <c r="P461" s="1" t="s">
        <v>139</v>
      </c>
    </row>
    <row r="462" spans="1:16">
      <c r="A462" s="7">
        <v>39853</v>
      </c>
      <c r="B462" s="1">
        <v>187</v>
      </c>
      <c r="C462" s="1" t="s">
        <v>234</v>
      </c>
      <c r="D462" s="1">
        <v>1</v>
      </c>
      <c r="E462" s="1">
        <v>340.34</v>
      </c>
      <c r="F462" s="1">
        <v>23</v>
      </c>
      <c r="G462" s="1" t="s">
        <v>29</v>
      </c>
      <c r="H462" s="1">
        <v>1308</v>
      </c>
      <c r="K462" s="1" t="s">
        <v>83</v>
      </c>
      <c r="L462" s="1" t="s">
        <v>245</v>
      </c>
      <c r="M462" s="1" t="s">
        <v>246</v>
      </c>
      <c r="N462" s="1" t="s">
        <v>253</v>
      </c>
      <c r="O462" s="1">
        <v>165</v>
      </c>
      <c r="P462" s="1" t="s">
        <v>139</v>
      </c>
    </row>
    <row r="463" spans="1:16">
      <c r="A463" s="7">
        <v>39853</v>
      </c>
      <c r="B463" s="1">
        <v>188</v>
      </c>
      <c r="C463" s="1" t="s">
        <v>234</v>
      </c>
      <c r="D463" s="1">
        <v>1</v>
      </c>
      <c r="E463" s="1">
        <v>493.48</v>
      </c>
      <c r="F463" s="1">
        <v>23</v>
      </c>
      <c r="G463" s="1" t="s">
        <v>29</v>
      </c>
      <c r="H463" s="1">
        <v>1642</v>
      </c>
      <c r="K463" s="1" t="s">
        <v>77</v>
      </c>
      <c r="L463" s="1" t="s">
        <v>245</v>
      </c>
      <c r="M463" s="1" t="s">
        <v>246</v>
      </c>
      <c r="N463" s="1" t="s">
        <v>253</v>
      </c>
      <c r="O463" s="1">
        <v>1693.73</v>
      </c>
      <c r="P463" s="1" t="s">
        <v>139</v>
      </c>
    </row>
    <row r="464" spans="1:16">
      <c r="A464" s="7">
        <v>39853</v>
      </c>
      <c r="B464" s="1">
        <v>189</v>
      </c>
      <c r="C464" s="1" t="s">
        <v>234</v>
      </c>
      <c r="D464" s="1">
        <v>1</v>
      </c>
      <c r="E464" s="1">
        <v>256.42</v>
      </c>
      <c r="F464" s="1">
        <v>23</v>
      </c>
      <c r="G464" s="1" t="s">
        <v>29</v>
      </c>
      <c r="H464" s="1">
        <v>40</v>
      </c>
      <c r="K464" s="1" t="s">
        <v>77</v>
      </c>
      <c r="L464" s="1" t="s">
        <v>245</v>
      </c>
      <c r="M464" s="1" t="s">
        <v>246</v>
      </c>
      <c r="N464" s="1" t="s">
        <v>253</v>
      </c>
      <c r="O464" s="1">
        <v>96.63</v>
      </c>
      <c r="P464" s="1" t="s">
        <v>139</v>
      </c>
    </row>
    <row r="465" spans="1:16">
      <c r="A465" s="7">
        <v>39853</v>
      </c>
      <c r="B465" s="1">
        <v>190</v>
      </c>
      <c r="C465" s="1" t="s">
        <v>235</v>
      </c>
      <c r="D465" s="1">
        <v>1</v>
      </c>
      <c r="E465" s="1">
        <v>287.92</v>
      </c>
      <c r="F465" s="1">
        <v>23</v>
      </c>
      <c r="G465" s="1" t="s">
        <v>29</v>
      </c>
      <c r="H465" s="1">
        <v>12</v>
      </c>
      <c r="K465" s="1" t="s">
        <v>77</v>
      </c>
      <c r="L465" s="1" t="s">
        <v>245</v>
      </c>
      <c r="M465" s="1" t="s">
        <v>246</v>
      </c>
      <c r="N465" s="1" t="s">
        <v>253</v>
      </c>
      <c r="O465" s="1">
        <v>2542.04</v>
      </c>
      <c r="P465" s="1" t="s">
        <v>139</v>
      </c>
    </row>
    <row r="466" spans="1:16">
      <c r="A466" s="7">
        <v>39853</v>
      </c>
      <c r="B466" s="1">
        <v>194</v>
      </c>
      <c r="C466" s="1" t="s">
        <v>234</v>
      </c>
      <c r="D466" s="1">
        <v>4</v>
      </c>
      <c r="E466" s="1">
        <v>559.33000000000004</v>
      </c>
      <c r="F466" s="1">
        <v>23</v>
      </c>
      <c r="G466" s="1" t="s">
        <v>29</v>
      </c>
      <c r="H466" s="1">
        <v>1303</v>
      </c>
      <c r="K466" s="1" t="s">
        <v>78</v>
      </c>
      <c r="L466" s="1" t="s">
        <v>245</v>
      </c>
      <c r="M466" s="1" t="s">
        <v>246</v>
      </c>
      <c r="N466" s="1" t="s">
        <v>253</v>
      </c>
      <c r="O466" s="1">
        <v>960</v>
      </c>
      <c r="P466" s="1" t="s">
        <v>139</v>
      </c>
    </row>
    <row r="467" spans="1:16">
      <c r="A467" s="7">
        <v>39853</v>
      </c>
      <c r="B467" s="1">
        <v>195</v>
      </c>
      <c r="C467" s="1" t="s">
        <v>234</v>
      </c>
      <c r="D467" s="1">
        <v>4</v>
      </c>
      <c r="E467" s="1">
        <v>333.33</v>
      </c>
      <c r="F467" s="1">
        <v>23</v>
      </c>
      <c r="G467" s="1" t="s">
        <v>29</v>
      </c>
      <c r="H467" s="1">
        <v>663</v>
      </c>
      <c r="K467" s="1" t="s">
        <v>78</v>
      </c>
      <c r="L467" s="1" t="s">
        <v>245</v>
      </c>
      <c r="M467" s="1" t="s">
        <v>246</v>
      </c>
      <c r="N467" s="1" t="s">
        <v>253</v>
      </c>
      <c r="O467" s="1">
        <v>855</v>
      </c>
      <c r="P467" s="1" t="s">
        <v>139</v>
      </c>
    </row>
    <row r="468" spans="1:16">
      <c r="A468" s="7">
        <v>39853</v>
      </c>
      <c r="B468" s="1">
        <v>196</v>
      </c>
      <c r="C468" s="1" t="s">
        <v>234</v>
      </c>
      <c r="D468" s="1">
        <v>4</v>
      </c>
      <c r="E468" s="1">
        <v>295.93</v>
      </c>
      <c r="F468" s="1">
        <v>23</v>
      </c>
      <c r="G468" s="1" t="s">
        <v>29</v>
      </c>
      <c r="H468" s="1">
        <v>117</v>
      </c>
      <c r="K468" s="1" t="s">
        <v>78</v>
      </c>
      <c r="L468" s="1" t="s">
        <v>245</v>
      </c>
      <c r="M468" s="1" t="s">
        <v>246</v>
      </c>
      <c r="N468" s="1" t="s">
        <v>253</v>
      </c>
      <c r="O468" s="1">
        <v>340</v>
      </c>
      <c r="P468" s="1" t="s">
        <v>139</v>
      </c>
    </row>
    <row r="469" spans="1:16">
      <c r="A469" s="7">
        <v>39853</v>
      </c>
      <c r="B469" s="1">
        <v>197</v>
      </c>
      <c r="C469" s="1" t="s">
        <v>234</v>
      </c>
      <c r="D469" s="1">
        <v>2</v>
      </c>
      <c r="E469" s="1">
        <v>335.44</v>
      </c>
      <c r="F469" s="1">
        <v>23</v>
      </c>
      <c r="G469" s="1" t="s">
        <v>29</v>
      </c>
      <c r="H469" s="1">
        <v>201</v>
      </c>
      <c r="K469" s="1" t="s">
        <v>78</v>
      </c>
      <c r="L469" s="1" t="s">
        <v>245</v>
      </c>
      <c r="M469" s="1" t="s">
        <v>246</v>
      </c>
      <c r="N469" s="1" t="s">
        <v>253</v>
      </c>
      <c r="O469" s="1">
        <v>475</v>
      </c>
      <c r="P469" s="1" t="s">
        <v>139</v>
      </c>
    </row>
    <row r="470" spans="1:16">
      <c r="A470" s="7">
        <v>39853</v>
      </c>
      <c r="B470" s="1">
        <v>204</v>
      </c>
      <c r="C470" s="1" t="s">
        <v>235</v>
      </c>
      <c r="D470" s="1">
        <v>1</v>
      </c>
      <c r="E470" s="1">
        <v>335.44</v>
      </c>
      <c r="F470" s="1">
        <v>23</v>
      </c>
      <c r="G470" s="1" t="s">
        <v>29</v>
      </c>
      <c r="H470" s="1">
        <v>1654</v>
      </c>
      <c r="K470" s="1" t="s">
        <v>75</v>
      </c>
      <c r="L470" s="1" t="s">
        <v>245</v>
      </c>
      <c r="M470" s="1" t="s">
        <v>246</v>
      </c>
      <c r="N470" s="1" t="s">
        <v>253</v>
      </c>
      <c r="O470" s="1">
        <v>109.2</v>
      </c>
      <c r="P470" s="1" t="s">
        <v>139</v>
      </c>
    </row>
    <row r="471" spans="1:16">
      <c r="A471" s="7">
        <v>39853</v>
      </c>
      <c r="B471" s="1">
        <v>209</v>
      </c>
      <c r="C471" s="1" t="s">
        <v>235</v>
      </c>
      <c r="D471" s="1">
        <v>1</v>
      </c>
      <c r="E471" s="1">
        <v>109.04</v>
      </c>
      <c r="F471" s="1">
        <v>23</v>
      </c>
      <c r="G471" s="1" t="s">
        <v>29</v>
      </c>
      <c r="H471" s="1">
        <v>1304</v>
      </c>
      <c r="K471" s="1" t="s">
        <v>83</v>
      </c>
      <c r="L471" s="1" t="s">
        <v>245</v>
      </c>
      <c r="M471" s="1" t="s">
        <v>246</v>
      </c>
      <c r="N471" s="1" t="s">
        <v>253</v>
      </c>
      <c r="O471" s="1">
        <v>77.75</v>
      </c>
      <c r="P471" s="1" t="s">
        <v>139</v>
      </c>
    </row>
    <row r="472" spans="1:16">
      <c r="A472" s="7">
        <v>39853</v>
      </c>
      <c r="B472" s="1">
        <v>210</v>
      </c>
      <c r="C472" s="1" t="s">
        <v>235</v>
      </c>
      <c r="D472" s="1">
        <v>1</v>
      </c>
      <c r="E472" s="1">
        <v>240.91</v>
      </c>
      <c r="F472" s="1">
        <v>23</v>
      </c>
      <c r="G472" s="1" t="s">
        <v>29</v>
      </c>
      <c r="H472" s="1">
        <v>1574</v>
      </c>
      <c r="K472" s="1" t="s">
        <v>109</v>
      </c>
      <c r="L472" s="1" t="s">
        <v>245</v>
      </c>
      <c r="M472" s="1" t="s">
        <v>246</v>
      </c>
      <c r="N472" s="1" t="s">
        <v>253</v>
      </c>
      <c r="O472" s="1">
        <v>34.69</v>
      </c>
      <c r="P472" s="1" t="s">
        <v>139</v>
      </c>
    </row>
    <row r="473" spans="1:16">
      <c r="A473" s="7">
        <v>39853</v>
      </c>
      <c r="B473" s="1">
        <v>211</v>
      </c>
      <c r="C473" s="1" t="s">
        <v>235</v>
      </c>
      <c r="D473" s="1">
        <v>1</v>
      </c>
      <c r="E473" s="1">
        <v>637.29</v>
      </c>
      <c r="F473" s="1">
        <v>23</v>
      </c>
      <c r="G473" s="1" t="s">
        <v>29</v>
      </c>
      <c r="H473" s="1">
        <v>1624</v>
      </c>
      <c r="K473" s="1" t="s">
        <v>77</v>
      </c>
      <c r="L473" s="1" t="s">
        <v>245</v>
      </c>
      <c r="M473" s="1" t="s">
        <v>246</v>
      </c>
      <c r="N473" s="1" t="s">
        <v>253</v>
      </c>
      <c r="O473" s="1">
        <v>168.43</v>
      </c>
      <c r="P473" s="1" t="s">
        <v>139</v>
      </c>
    </row>
    <row r="474" spans="1:16">
      <c r="A474" s="7">
        <v>39853</v>
      </c>
      <c r="B474" s="1">
        <v>212</v>
      </c>
      <c r="C474" s="1" t="s">
        <v>235</v>
      </c>
      <c r="D474" s="1">
        <v>1</v>
      </c>
      <c r="E474" s="1">
        <v>532.99</v>
      </c>
      <c r="F474" s="1">
        <v>23</v>
      </c>
      <c r="G474" s="1" t="s">
        <v>29</v>
      </c>
      <c r="H474" s="1">
        <v>66</v>
      </c>
      <c r="K474" s="1" t="s">
        <v>80</v>
      </c>
      <c r="L474" s="1" t="s">
        <v>245</v>
      </c>
      <c r="M474" s="1" t="s">
        <v>246</v>
      </c>
      <c r="N474" s="1" t="s">
        <v>253</v>
      </c>
      <c r="O474" s="1">
        <v>106.08</v>
      </c>
      <c r="P474" s="1" t="s">
        <v>139</v>
      </c>
    </row>
    <row r="475" spans="1:16">
      <c r="A475" s="7">
        <v>39853</v>
      </c>
      <c r="B475" s="1">
        <v>215</v>
      </c>
      <c r="C475" s="1" t="s">
        <v>235</v>
      </c>
      <c r="D475" s="1">
        <v>1</v>
      </c>
      <c r="E475" s="1">
        <v>286.7</v>
      </c>
      <c r="F475" s="1">
        <v>23</v>
      </c>
      <c r="G475" s="1" t="s">
        <v>29</v>
      </c>
      <c r="H475" s="1">
        <v>236</v>
      </c>
      <c r="K475" s="1" t="s">
        <v>105</v>
      </c>
      <c r="L475" s="1" t="s">
        <v>245</v>
      </c>
      <c r="M475" s="1" t="s">
        <v>246</v>
      </c>
      <c r="N475" s="1" t="s">
        <v>253</v>
      </c>
      <c r="O475" s="1">
        <v>1100</v>
      </c>
      <c r="P475" s="1" t="s">
        <v>139</v>
      </c>
    </row>
    <row r="476" spans="1:16">
      <c r="A476" s="7">
        <v>39853</v>
      </c>
      <c r="B476" s="1">
        <v>216</v>
      </c>
      <c r="C476" s="1" t="s">
        <v>234</v>
      </c>
      <c r="D476" s="1">
        <v>1</v>
      </c>
      <c r="E476" s="1">
        <v>503.95</v>
      </c>
      <c r="F476" s="1">
        <v>23</v>
      </c>
      <c r="G476" s="1" t="s">
        <v>29</v>
      </c>
      <c r="H476" s="1">
        <v>164</v>
      </c>
      <c r="K476" s="1" t="s">
        <v>82</v>
      </c>
      <c r="L476" s="1" t="s">
        <v>245</v>
      </c>
      <c r="M476" s="1" t="s">
        <v>246</v>
      </c>
      <c r="N476" s="1" t="s">
        <v>253</v>
      </c>
      <c r="O476" s="1">
        <v>66</v>
      </c>
      <c r="P476" s="1" t="s">
        <v>139</v>
      </c>
    </row>
    <row r="477" spans="1:16">
      <c r="A477" s="7">
        <v>39853</v>
      </c>
      <c r="B477" s="1">
        <v>217</v>
      </c>
      <c r="C477" s="1" t="s">
        <v>235</v>
      </c>
      <c r="D477" s="1">
        <v>1</v>
      </c>
      <c r="E477" s="1">
        <v>507.71</v>
      </c>
      <c r="F477" s="1">
        <v>23</v>
      </c>
      <c r="G477" s="1" t="s">
        <v>29</v>
      </c>
      <c r="H477" s="1">
        <v>64</v>
      </c>
      <c r="K477" s="1" t="s">
        <v>72</v>
      </c>
      <c r="L477" s="1" t="s">
        <v>245</v>
      </c>
      <c r="M477" s="1" t="s">
        <v>246</v>
      </c>
      <c r="N477" s="1" t="s">
        <v>253</v>
      </c>
      <c r="O477" s="1">
        <v>150</v>
      </c>
      <c r="P477" s="1" t="s">
        <v>139</v>
      </c>
    </row>
    <row r="478" spans="1:16">
      <c r="A478" s="7">
        <v>39853</v>
      </c>
      <c r="B478" s="1">
        <v>218</v>
      </c>
      <c r="C478" s="1" t="s">
        <v>234</v>
      </c>
      <c r="D478" s="1">
        <v>3</v>
      </c>
      <c r="E478" s="1">
        <v>374.95</v>
      </c>
      <c r="F478" s="1">
        <v>23</v>
      </c>
      <c r="G478" s="1" t="s">
        <v>29</v>
      </c>
      <c r="H478" s="1">
        <v>1764</v>
      </c>
      <c r="K478" s="1" t="s">
        <v>98</v>
      </c>
      <c r="L478" s="1" t="s">
        <v>245</v>
      </c>
      <c r="M478" s="1" t="s">
        <v>246</v>
      </c>
      <c r="N478" s="1" t="s">
        <v>253</v>
      </c>
      <c r="O478" s="1">
        <v>494</v>
      </c>
      <c r="P478" s="1" t="s">
        <v>139</v>
      </c>
    </row>
    <row r="479" spans="1:16">
      <c r="A479" s="7">
        <v>39853</v>
      </c>
      <c r="B479" s="1">
        <v>219</v>
      </c>
      <c r="C479" s="1" t="s">
        <v>234</v>
      </c>
      <c r="D479" s="1">
        <v>3</v>
      </c>
      <c r="E479" s="1">
        <v>453.97</v>
      </c>
      <c r="F479" s="1">
        <v>23</v>
      </c>
      <c r="G479" s="1" t="s">
        <v>29</v>
      </c>
      <c r="H479" s="1">
        <v>1058</v>
      </c>
      <c r="K479" s="1" t="s">
        <v>80</v>
      </c>
      <c r="L479" s="1" t="s">
        <v>245</v>
      </c>
      <c r="M479" s="1" t="s">
        <v>246</v>
      </c>
      <c r="N479" s="1" t="s">
        <v>253</v>
      </c>
      <c r="O479" s="1">
        <v>276.77999999999997</v>
      </c>
      <c r="P479" s="1" t="s">
        <v>139</v>
      </c>
    </row>
    <row r="480" spans="1:16">
      <c r="A480" s="7">
        <v>39853</v>
      </c>
      <c r="B480" s="1">
        <v>214</v>
      </c>
      <c r="C480" s="1" t="s">
        <v>234</v>
      </c>
      <c r="D480" s="1">
        <v>3</v>
      </c>
      <c r="E480" s="1">
        <v>111.9</v>
      </c>
      <c r="F480" s="1">
        <v>23</v>
      </c>
      <c r="G480" s="1" t="s">
        <v>30</v>
      </c>
      <c r="H480" s="1">
        <v>1839</v>
      </c>
      <c r="K480" s="1" t="s">
        <v>110</v>
      </c>
      <c r="L480" s="1" t="s">
        <v>245</v>
      </c>
      <c r="M480" s="1" t="s">
        <v>246</v>
      </c>
      <c r="N480" s="1" t="s">
        <v>253</v>
      </c>
      <c r="O480" s="1">
        <v>324.48</v>
      </c>
      <c r="P480" s="1" t="s">
        <v>139</v>
      </c>
    </row>
    <row r="481" spans="1:16">
      <c r="A481" s="7">
        <v>39881</v>
      </c>
      <c r="B481" s="1">
        <v>490</v>
      </c>
      <c r="C481" s="1" t="s">
        <v>235</v>
      </c>
      <c r="D481" s="1">
        <v>4</v>
      </c>
      <c r="E481" s="1">
        <v>60</v>
      </c>
      <c r="F481" s="1">
        <v>23</v>
      </c>
      <c r="G481" s="1" t="s">
        <v>16</v>
      </c>
      <c r="H481" s="1">
        <v>2015</v>
      </c>
      <c r="K481" s="1" t="s">
        <v>116</v>
      </c>
      <c r="L481" s="1" t="s">
        <v>245</v>
      </c>
      <c r="M481" s="1" t="s">
        <v>246</v>
      </c>
      <c r="N481" s="1" t="s">
        <v>255</v>
      </c>
      <c r="O481" s="1">
        <v>78.900000000000006</v>
      </c>
      <c r="P481" s="1" t="s">
        <v>144</v>
      </c>
    </row>
    <row r="482" spans="1:16">
      <c r="A482" s="7">
        <v>39881</v>
      </c>
      <c r="B482" s="1">
        <v>493</v>
      </c>
      <c r="C482" s="1" t="s">
        <v>234</v>
      </c>
      <c r="D482" s="1">
        <v>4</v>
      </c>
      <c r="E482" s="1">
        <v>89.92</v>
      </c>
      <c r="F482" s="1">
        <v>23</v>
      </c>
      <c r="G482" s="1" t="s">
        <v>16</v>
      </c>
      <c r="H482" s="1">
        <v>0</v>
      </c>
      <c r="K482" s="1" t="s">
        <v>88</v>
      </c>
      <c r="L482" s="1" t="s">
        <v>242</v>
      </c>
      <c r="M482" s="1" t="s">
        <v>243</v>
      </c>
      <c r="N482" s="1" t="s">
        <v>254</v>
      </c>
      <c r="O482" s="1">
        <v>1.6</v>
      </c>
      <c r="P482" s="1" t="s">
        <v>145</v>
      </c>
    </row>
    <row r="483" spans="1:16">
      <c r="A483" s="7">
        <v>39881</v>
      </c>
      <c r="B483" s="1">
        <v>492</v>
      </c>
      <c r="C483" s="1" t="s">
        <v>235</v>
      </c>
      <c r="D483" s="1">
        <v>1</v>
      </c>
      <c r="E483" s="1">
        <v>34</v>
      </c>
      <c r="F483" s="1">
        <v>23</v>
      </c>
      <c r="G483" s="1" t="s">
        <v>32</v>
      </c>
      <c r="H483" s="1">
        <v>35</v>
      </c>
      <c r="K483" s="1" t="s">
        <v>86</v>
      </c>
      <c r="L483" s="1" t="s">
        <v>242</v>
      </c>
      <c r="M483" s="1" t="s">
        <v>243</v>
      </c>
      <c r="N483" s="1" t="s">
        <v>254</v>
      </c>
      <c r="O483" s="1">
        <v>37.78</v>
      </c>
      <c r="P483" s="1" t="s">
        <v>145</v>
      </c>
    </row>
    <row r="484" spans="1:16">
      <c r="A484" s="7">
        <v>39881</v>
      </c>
      <c r="B484" s="1">
        <v>494</v>
      </c>
      <c r="C484" s="1" t="s">
        <v>234</v>
      </c>
      <c r="D484" s="1">
        <v>2</v>
      </c>
      <c r="E484" s="1">
        <v>790</v>
      </c>
      <c r="F484" s="1">
        <v>23</v>
      </c>
      <c r="G484" s="1" t="s">
        <v>43</v>
      </c>
      <c r="H484" s="1">
        <v>2033</v>
      </c>
      <c r="K484" s="1" t="s">
        <v>109</v>
      </c>
      <c r="L484" s="1" t="s">
        <v>242</v>
      </c>
      <c r="M484" s="1" t="s">
        <v>243</v>
      </c>
      <c r="N484" s="1" t="s">
        <v>254</v>
      </c>
      <c r="O484" s="1">
        <v>1.35</v>
      </c>
      <c r="P484" s="1" t="s">
        <v>145</v>
      </c>
    </row>
    <row r="485" spans="1:16">
      <c r="A485" s="7">
        <v>40003</v>
      </c>
      <c r="B485" s="1">
        <v>1581</v>
      </c>
      <c r="C485" s="1" t="s">
        <v>237</v>
      </c>
      <c r="D485" s="1">
        <v>4</v>
      </c>
      <c r="E485" s="1">
        <v>4000</v>
      </c>
      <c r="F485" s="1">
        <v>23</v>
      </c>
      <c r="G485" s="1" t="s">
        <v>26</v>
      </c>
      <c r="H485" s="1">
        <v>0</v>
      </c>
      <c r="K485" s="1" t="s">
        <v>83</v>
      </c>
      <c r="L485" s="1" t="s">
        <v>242</v>
      </c>
      <c r="M485" s="1" t="s">
        <v>243</v>
      </c>
      <c r="N485" s="1" t="s">
        <v>254</v>
      </c>
      <c r="O485" s="1">
        <v>7.9</v>
      </c>
      <c r="P485" s="1" t="s">
        <v>145</v>
      </c>
    </row>
    <row r="486" spans="1:16">
      <c r="A486" s="7">
        <v>40003</v>
      </c>
      <c r="B486" s="1">
        <v>575</v>
      </c>
      <c r="C486" s="1" t="s">
        <v>235</v>
      </c>
      <c r="D486" s="1">
        <v>3</v>
      </c>
      <c r="E486" s="1">
        <v>10.5</v>
      </c>
      <c r="F486" s="1">
        <v>23</v>
      </c>
      <c r="G486" s="1" t="s">
        <v>11</v>
      </c>
      <c r="H486" s="1">
        <v>1299</v>
      </c>
      <c r="K486" s="1" t="s">
        <v>76</v>
      </c>
      <c r="L486" s="1" t="s">
        <v>248</v>
      </c>
      <c r="M486" s="1" t="s">
        <v>249</v>
      </c>
      <c r="N486" s="1" t="s">
        <v>250</v>
      </c>
      <c r="O486" s="1">
        <v>429.5</v>
      </c>
      <c r="P486" s="1" t="s">
        <v>145</v>
      </c>
    </row>
    <row r="487" spans="1:16">
      <c r="A487" s="7">
        <v>40003</v>
      </c>
      <c r="B487" s="1">
        <v>661</v>
      </c>
      <c r="C487" s="1" t="s">
        <v>235</v>
      </c>
      <c r="D487" s="1">
        <v>4</v>
      </c>
      <c r="E487" s="1">
        <v>940.5</v>
      </c>
      <c r="F487" s="1">
        <v>23</v>
      </c>
      <c r="G487" s="1" t="s">
        <v>13</v>
      </c>
      <c r="H487" s="1">
        <v>2060</v>
      </c>
      <c r="K487" s="1" t="s">
        <v>76</v>
      </c>
      <c r="L487" s="1" t="s">
        <v>248</v>
      </c>
      <c r="M487" s="1" t="s">
        <v>249</v>
      </c>
      <c r="N487" s="1" t="s">
        <v>250</v>
      </c>
      <c r="O487" s="1">
        <v>429.5</v>
      </c>
      <c r="P487" s="1" t="s">
        <v>146</v>
      </c>
    </row>
    <row r="488" spans="1:16">
      <c r="A488" s="7">
        <v>40003</v>
      </c>
      <c r="B488" s="1">
        <v>669</v>
      </c>
      <c r="C488" s="1" t="s">
        <v>234</v>
      </c>
      <c r="D488" s="1">
        <v>1</v>
      </c>
      <c r="E488" s="1">
        <v>940.5</v>
      </c>
      <c r="F488" s="1">
        <v>23</v>
      </c>
      <c r="G488" s="1" t="s">
        <v>13</v>
      </c>
      <c r="H488" s="1">
        <v>0</v>
      </c>
      <c r="K488" s="1" t="s">
        <v>147</v>
      </c>
      <c r="L488" s="1" t="s">
        <v>248</v>
      </c>
      <c r="M488" s="1" t="s">
        <v>249</v>
      </c>
      <c r="N488" s="1" t="s">
        <v>250</v>
      </c>
      <c r="O488" s="1">
        <v>-429.5</v>
      </c>
      <c r="P488" s="1" t="s">
        <v>146</v>
      </c>
    </row>
    <row r="489" spans="1:16">
      <c r="A489" s="7">
        <v>40003</v>
      </c>
      <c r="B489" s="1">
        <v>657</v>
      </c>
      <c r="C489" s="1" t="s">
        <v>235</v>
      </c>
      <c r="D489" s="1">
        <v>1</v>
      </c>
      <c r="E489" s="1">
        <v>302.56</v>
      </c>
      <c r="F489" s="1">
        <v>23</v>
      </c>
      <c r="G489" s="1" t="s">
        <v>6</v>
      </c>
      <c r="H489" s="1">
        <v>603</v>
      </c>
      <c r="K489" s="1" t="s">
        <v>79</v>
      </c>
      <c r="L489" s="1" t="s">
        <v>245</v>
      </c>
      <c r="M489" s="1" t="s">
        <v>246</v>
      </c>
      <c r="N489" s="1" t="s">
        <v>251</v>
      </c>
      <c r="O489" s="1">
        <v>6</v>
      </c>
      <c r="P489" s="1" t="s">
        <v>145</v>
      </c>
    </row>
    <row r="490" spans="1:16">
      <c r="A490" s="7">
        <v>40003</v>
      </c>
      <c r="B490" s="1">
        <v>658</v>
      </c>
      <c r="C490" s="1" t="s">
        <v>235</v>
      </c>
      <c r="D490" s="1">
        <v>1</v>
      </c>
      <c r="E490" s="1">
        <v>453.97</v>
      </c>
      <c r="F490" s="1">
        <v>23</v>
      </c>
      <c r="G490" s="1" t="s">
        <v>6</v>
      </c>
      <c r="H490" s="1">
        <v>882</v>
      </c>
      <c r="K490" s="1" t="s">
        <v>75</v>
      </c>
      <c r="L490" s="1" t="s">
        <v>245</v>
      </c>
      <c r="M490" s="1" t="s">
        <v>246</v>
      </c>
      <c r="N490" s="1" t="s">
        <v>252</v>
      </c>
      <c r="O490" s="1">
        <v>0.76</v>
      </c>
      <c r="P490" s="1" t="s">
        <v>145</v>
      </c>
    </row>
    <row r="491" spans="1:16">
      <c r="A491" s="7">
        <v>40003</v>
      </c>
      <c r="B491" s="1">
        <v>662</v>
      </c>
      <c r="C491" s="1" t="s">
        <v>235</v>
      </c>
      <c r="D491" s="1">
        <v>1</v>
      </c>
      <c r="E491" s="1">
        <v>559.33000000000004</v>
      </c>
      <c r="F491" s="1">
        <v>23</v>
      </c>
      <c r="G491" s="1" t="s">
        <v>6</v>
      </c>
      <c r="H491" s="1">
        <v>393</v>
      </c>
      <c r="K491" s="1" t="s">
        <v>75</v>
      </c>
      <c r="L491" s="1" t="s">
        <v>245</v>
      </c>
      <c r="M491" s="1" t="s">
        <v>246</v>
      </c>
      <c r="N491" s="1" t="s">
        <v>252</v>
      </c>
      <c r="O491" s="1">
        <v>2.29</v>
      </c>
      <c r="P491" s="1" t="s">
        <v>145</v>
      </c>
    </row>
    <row r="492" spans="1:16">
      <c r="A492" s="7">
        <v>40003</v>
      </c>
      <c r="B492" s="1">
        <v>663</v>
      </c>
      <c r="C492" s="1" t="s">
        <v>234</v>
      </c>
      <c r="D492" s="1">
        <v>2</v>
      </c>
      <c r="E492" s="1">
        <v>532.99</v>
      </c>
      <c r="F492" s="1">
        <v>23</v>
      </c>
      <c r="G492" s="1" t="s">
        <v>6</v>
      </c>
      <c r="H492" s="1">
        <v>730</v>
      </c>
      <c r="K492" s="1" t="s">
        <v>75</v>
      </c>
      <c r="L492" s="1" t="s">
        <v>245</v>
      </c>
      <c r="M492" s="1" t="s">
        <v>246</v>
      </c>
      <c r="N492" s="1" t="s">
        <v>252</v>
      </c>
      <c r="O492" s="1">
        <v>1.53</v>
      </c>
      <c r="P492" s="1" t="s">
        <v>145</v>
      </c>
    </row>
    <row r="493" spans="1:16">
      <c r="A493" s="7">
        <v>40003</v>
      </c>
      <c r="B493" s="1">
        <v>665</v>
      </c>
      <c r="C493" s="1" t="s">
        <v>234</v>
      </c>
      <c r="D493" s="1">
        <v>3</v>
      </c>
      <c r="E493" s="1">
        <v>369.91</v>
      </c>
      <c r="F493" s="1">
        <v>23</v>
      </c>
      <c r="G493" s="1" t="s">
        <v>6</v>
      </c>
      <c r="H493" s="1">
        <v>930</v>
      </c>
      <c r="K493" s="1" t="s">
        <v>75</v>
      </c>
      <c r="L493" s="1" t="s">
        <v>245</v>
      </c>
      <c r="M493" s="1" t="s">
        <v>246</v>
      </c>
      <c r="N493" s="1" t="s">
        <v>252</v>
      </c>
      <c r="O493" s="1">
        <v>2.97</v>
      </c>
      <c r="P493" s="1" t="s">
        <v>145</v>
      </c>
    </row>
    <row r="494" spans="1:16">
      <c r="A494" s="7">
        <v>40003</v>
      </c>
      <c r="B494" s="1">
        <v>666</v>
      </c>
      <c r="C494" s="1" t="s">
        <v>234</v>
      </c>
      <c r="D494" s="1">
        <v>4</v>
      </c>
      <c r="E494" s="1">
        <v>503.29</v>
      </c>
      <c r="F494" s="1">
        <v>23</v>
      </c>
      <c r="G494" s="1" t="s">
        <v>6</v>
      </c>
      <c r="H494" s="1">
        <v>733</v>
      </c>
      <c r="K494" s="1" t="s">
        <v>80</v>
      </c>
      <c r="L494" s="1" t="s">
        <v>245</v>
      </c>
      <c r="M494" s="1" t="s">
        <v>246</v>
      </c>
      <c r="N494" s="1" t="s">
        <v>252</v>
      </c>
      <c r="O494" s="1">
        <v>82.5</v>
      </c>
      <c r="P494" s="1" t="s">
        <v>145</v>
      </c>
    </row>
    <row r="495" spans="1:16">
      <c r="A495" s="7">
        <v>40003</v>
      </c>
      <c r="B495" s="1">
        <v>667</v>
      </c>
      <c r="C495" s="1" t="s">
        <v>235</v>
      </c>
      <c r="D495" s="1">
        <v>1</v>
      </c>
      <c r="E495" s="1">
        <v>967.6</v>
      </c>
      <c r="F495" s="1">
        <v>23</v>
      </c>
      <c r="G495" s="1" t="s">
        <v>6</v>
      </c>
      <c r="H495" s="1">
        <v>163</v>
      </c>
      <c r="K495" s="1" t="s">
        <v>81</v>
      </c>
      <c r="L495" s="1" t="s">
        <v>245</v>
      </c>
      <c r="M495" s="1" t="s">
        <v>246</v>
      </c>
      <c r="N495" s="1" t="s">
        <v>252</v>
      </c>
      <c r="O495" s="1">
        <v>288</v>
      </c>
      <c r="P495" s="1" t="s">
        <v>145</v>
      </c>
    </row>
    <row r="496" spans="1:16">
      <c r="A496" s="7">
        <v>40003</v>
      </c>
      <c r="B496" s="1">
        <v>668</v>
      </c>
      <c r="C496" s="1" t="s">
        <v>234</v>
      </c>
      <c r="D496" s="1">
        <v>2</v>
      </c>
      <c r="E496" s="1">
        <v>300</v>
      </c>
      <c r="F496" s="1">
        <v>23</v>
      </c>
      <c r="G496" s="1" t="s">
        <v>20</v>
      </c>
      <c r="H496" s="1">
        <v>2061</v>
      </c>
      <c r="K496" s="1" t="s">
        <v>92</v>
      </c>
      <c r="L496" s="1" t="s">
        <v>245</v>
      </c>
      <c r="M496" s="1" t="s">
        <v>246</v>
      </c>
      <c r="N496" s="1" t="s">
        <v>255</v>
      </c>
      <c r="O496" s="1">
        <v>3093</v>
      </c>
      <c r="P496" s="1" t="s">
        <v>148</v>
      </c>
    </row>
    <row r="497" spans="1:16">
      <c r="A497" s="7">
        <v>40003</v>
      </c>
      <c r="B497" s="1">
        <v>604</v>
      </c>
      <c r="C497" s="1" t="s">
        <v>234</v>
      </c>
      <c r="D497" s="1">
        <v>3</v>
      </c>
      <c r="E497" s="1">
        <v>3500</v>
      </c>
      <c r="F497" s="1">
        <v>23</v>
      </c>
      <c r="G497" s="1" t="s">
        <v>43</v>
      </c>
      <c r="H497" s="1">
        <v>0</v>
      </c>
      <c r="K497" s="1" t="s">
        <v>90</v>
      </c>
      <c r="L497" s="1" t="s">
        <v>245</v>
      </c>
      <c r="M497" s="1" t="s">
        <v>246</v>
      </c>
      <c r="N497" s="1" t="s">
        <v>255</v>
      </c>
      <c r="O497" s="1">
        <v>442.1</v>
      </c>
      <c r="P497" s="1" t="s">
        <v>148</v>
      </c>
    </row>
    <row r="498" spans="1:16">
      <c r="A498" s="7">
        <v>40003</v>
      </c>
      <c r="B498" s="1">
        <v>613</v>
      </c>
      <c r="C498" s="1" t="s">
        <v>234</v>
      </c>
      <c r="D498" s="1">
        <v>3</v>
      </c>
      <c r="E498" s="1">
        <v>13970.83</v>
      </c>
      <c r="F498" s="1">
        <v>23</v>
      </c>
      <c r="G498" s="1" t="s">
        <v>43</v>
      </c>
      <c r="H498" s="1">
        <v>0</v>
      </c>
      <c r="K498" s="1" t="s">
        <v>63</v>
      </c>
      <c r="L498" s="1" t="s">
        <v>242</v>
      </c>
      <c r="M498" s="1" t="s">
        <v>243</v>
      </c>
      <c r="N498" s="1" t="s">
        <v>244</v>
      </c>
      <c r="O498" s="1">
        <v>20075.21</v>
      </c>
      <c r="P498" s="1" t="s">
        <v>149</v>
      </c>
    </row>
    <row r="499" spans="1:16">
      <c r="A499" s="7">
        <v>40065</v>
      </c>
      <c r="B499" s="1">
        <v>1014</v>
      </c>
      <c r="C499" s="1" t="s">
        <v>234</v>
      </c>
      <c r="D499" s="1">
        <v>4</v>
      </c>
      <c r="E499" s="1">
        <v>1990.72</v>
      </c>
      <c r="F499" s="1">
        <v>23</v>
      </c>
      <c r="G499" s="1" t="s">
        <v>8</v>
      </c>
      <c r="H499" s="1">
        <v>1752</v>
      </c>
      <c r="K499" s="1" t="s">
        <v>63</v>
      </c>
      <c r="L499" s="1" t="s">
        <v>242</v>
      </c>
      <c r="M499" s="1" t="s">
        <v>243</v>
      </c>
      <c r="N499" s="1" t="s">
        <v>244</v>
      </c>
      <c r="O499" s="1">
        <v>12521.45</v>
      </c>
      <c r="P499" s="1" t="s">
        <v>149</v>
      </c>
    </row>
    <row r="500" spans="1:16">
      <c r="A500" s="7">
        <v>40065</v>
      </c>
      <c r="B500" s="1">
        <v>1014</v>
      </c>
      <c r="C500" s="1" t="s">
        <v>234</v>
      </c>
      <c r="D500" s="1">
        <v>4</v>
      </c>
      <c r="E500" s="1">
        <v>78</v>
      </c>
      <c r="F500" s="1">
        <v>23</v>
      </c>
      <c r="G500" s="1" t="s">
        <v>11</v>
      </c>
      <c r="H500" s="1">
        <v>1752</v>
      </c>
      <c r="K500" s="1" t="s">
        <v>63</v>
      </c>
      <c r="L500" s="1" t="s">
        <v>242</v>
      </c>
      <c r="M500" s="1" t="s">
        <v>243</v>
      </c>
      <c r="N500" s="1" t="s">
        <v>244</v>
      </c>
      <c r="O500" s="1">
        <v>-1685.59</v>
      </c>
      <c r="P500" s="1" t="s">
        <v>149</v>
      </c>
    </row>
    <row r="501" spans="1:16">
      <c r="A501" s="7">
        <v>40065</v>
      </c>
      <c r="B501" s="1">
        <v>1012</v>
      </c>
      <c r="C501" s="1" t="s">
        <v>234</v>
      </c>
      <c r="D501" s="1">
        <v>1</v>
      </c>
      <c r="E501" s="1">
        <v>420.05</v>
      </c>
      <c r="F501" s="1">
        <v>23</v>
      </c>
      <c r="G501" s="1" t="s">
        <v>12</v>
      </c>
      <c r="H501" s="1">
        <v>835</v>
      </c>
      <c r="K501" s="1" t="s">
        <v>63</v>
      </c>
      <c r="L501" s="1" t="s">
        <v>242</v>
      </c>
      <c r="M501" s="1" t="s">
        <v>243</v>
      </c>
      <c r="N501" s="1" t="s">
        <v>244</v>
      </c>
      <c r="O501" s="1">
        <v>33390</v>
      </c>
      <c r="P501" s="1" t="s">
        <v>149</v>
      </c>
    </row>
    <row r="502" spans="1:16">
      <c r="A502" s="7">
        <v>40065</v>
      </c>
      <c r="B502" s="1">
        <v>1000</v>
      </c>
      <c r="C502" s="1" t="s">
        <v>234</v>
      </c>
      <c r="D502" s="1">
        <v>8</v>
      </c>
      <c r="E502" s="1">
        <v>418.01</v>
      </c>
      <c r="F502" s="1">
        <v>23</v>
      </c>
      <c r="G502" s="1" t="s">
        <v>13</v>
      </c>
      <c r="H502" s="1">
        <v>1834</v>
      </c>
      <c r="K502" s="1" t="s">
        <v>63</v>
      </c>
      <c r="L502" s="1" t="s">
        <v>242</v>
      </c>
      <c r="M502" s="1" t="s">
        <v>243</v>
      </c>
      <c r="N502" s="1" t="s">
        <v>244</v>
      </c>
      <c r="O502" s="1">
        <v>12630.47</v>
      </c>
      <c r="P502" s="1" t="s">
        <v>149</v>
      </c>
    </row>
    <row r="503" spans="1:16">
      <c r="A503" s="7">
        <v>40065</v>
      </c>
      <c r="B503" s="1">
        <v>1001</v>
      </c>
      <c r="C503" s="1" t="s">
        <v>234</v>
      </c>
      <c r="D503" s="1">
        <v>4</v>
      </c>
      <c r="E503" s="1">
        <v>817.16</v>
      </c>
      <c r="F503" s="1">
        <v>23</v>
      </c>
      <c r="G503" s="1" t="s">
        <v>13</v>
      </c>
      <c r="H503" s="1">
        <v>1087</v>
      </c>
      <c r="K503" s="1" t="s">
        <v>65</v>
      </c>
      <c r="L503" s="1" t="s">
        <v>242</v>
      </c>
      <c r="M503" s="1" t="s">
        <v>243</v>
      </c>
      <c r="N503" s="1" t="s">
        <v>244</v>
      </c>
      <c r="O503" s="1">
        <v>9221.1200000000008</v>
      </c>
      <c r="P503" s="1" t="s">
        <v>149</v>
      </c>
    </row>
    <row r="504" spans="1:16">
      <c r="A504" s="7">
        <v>40065</v>
      </c>
      <c r="B504" s="1">
        <v>1004</v>
      </c>
      <c r="C504" s="1" t="s">
        <v>234</v>
      </c>
      <c r="D504" s="1">
        <v>4</v>
      </c>
      <c r="E504" s="1">
        <v>903.56</v>
      </c>
      <c r="F504" s="1">
        <v>23</v>
      </c>
      <c r="G504" s="1" t="s">
        <v>13</v>
      </c>
      <c r="H504" s="1">
        <v>0</v>
      </c>
      <c r="K504" s="1" t="s">
        <v>66</v>
      </c>
      <c r="L504" s="1" t="s">
        <v>242</v>
      </c>
      <c r="M504" s="1" t="s">
        <v>243</v>
      </c>
      <c r="N504" s="1" t="s">
        <v>244</v>
      </c>
      <c r="O504" s="1">
        <v>7254.49</v>
      </c>
      <c r="P504" s="1" t="s">
        <v>149</v>
      </c>
    </row>
    <row r="505" spans="1:16">
      <c r="A505" s="7">
        <v>40065</v>
      </c>
      <c r="B505" s="1">
        <v>1007</v>
      </c>
      <c r="C505" s="1" t="s">
        <v>235</v>
      </c>
      <c r="D505" s="1">
        <v>4</v>
      </c>
      <c r="E505" s="1">
        <v>470.89</v>
      </c>
      <c r="F505" s="1">
        <v>23</v>
      </c>
      <c r="G505" s="1" t="s">
        <v>13</v>
      </c>
      <c r="H505" s="1">
        <v>1076</v>
      </c>
      <c r="K505" s="1" t="s">
        <v>66</v>
      </c>
      <c r="L505" s="1" t="s">
        <v>242</v>
      </c>
      <c r="M505" s="1" t="s">
        <v>243</v>
      </c>
      <c r="N505" s="1" t="s">
        <v>244</v>
      </c>
      <c r="O505" s="1">
        <v>2041.25</v>
      </c>
      <c r="P505" s="1" t="s">
        <v>149</v>
      </c>
    </row>
    <row r="506" spans="1:16">
      <c r="A506" s="7">
        <v>40065</v>
      </c>
      <c r="B506" s="1">
        <v>1013</v>
      </c>
      <c r="C506" s="1" t="s">
        <v>234</v>
      </c>
      <c r="D506" s="1">
        <v>4</v>
      </c>
      <c r="E506" s="1">
        <v>129.80000000000001</v>
      </c>
      <c r="F506" s="1">
        <v>23</v>
      </c>
      <c r="G506" s="1" t="s">
        <v>13</v>
      </c>
      <c r="H506" s="1">
        <v>214</v>
      </c>
      <c r="K506" s="1" t="s">
        <v>66</v>
      </c>
      <c r="L506" s="1" t="s">
        <v>242</v>
      </c>
      <c r="M506" s="1" t="s">
        <v>243</v>
      </c>
      <c r="N506" s="1" t="s">
        <v>244</v>
      </c>
      <c r="O506" s="1">
        <v>17160.57</v>
      </c>
      <c r="P506" s="1" t="s">
        <v>149</v>
      </c>
    </row>
    <row r="507" spans="1:16">
      <c r="A507" s="7">
        <v>40065</v>
      </c>
      <c r="B507" s="1">
        <v>1016</v>
      </c>
      <c r="C507" s="1" t="s">
        <v>235</v>
      </c>
      <c r="D507" s="1">
        <v>4</v>
      </c>
      <c r="E507" s="1">
        <v>352.69</v>
      </c>
      <c r="F507" s="1">
        <v>23</v>
      </c>
      <c r="G507" s="1" t="s">
        <v>13</v>
      </c>
      <c r="H507" s="1">
        <v>1407</v>
      </c>
      <c r="K507" s="1" t="s">
        <v>66</v>
      </c>
      <c r="L507" s="1" t="s">
        <v>242</v>
      </c>
      <c r="M507" s="1" t="s">
        <v>243</v>
      </c>
      <c r="N507" s="1" t="s">
        <v>244</v>
      </c>
      <c r="O507" s="1">
        <v>3719.32</v>
      </c>
      <c r="P507" s="1" t="s">
        <v>149</v>
      </c>
    </row>
    <row r="508" spans="1:16">
      <c r="A508" s="7">
        <v>40065</v>
      </c>
      <c r="B508" s="1">
        <v>1018</v>
      </c>
      <c r="C508" s="1" t="s">
        <v>234</v>
      </c>
      <c r="D508" s="1">
        <v>3</v>
      </c>
      <c r="E508" s="1">
        <v>816.39</v>
      </c>
      <c r="F508" s="1">
        <v>23</v>
      </c>
      <c r="G508" s="1" t="s">
        <v>13</v>
      </c>
      <c r="H508" s="1">
        <v>1403</v>
      </c>
      <c r="K508" s="1" t="s">
        <v>67</v>
      </c>
      <c r="L508" s="1" t="s">
        <v>242</v>
      </c>
      <c r="M508" s="1" t="s">
        <v>243</v>
      </c>
      <c r="N508" s="1" t="s">
        <v>244</v>
      </c>
      <c r="O508" s="1">
        <v>1781.67</v>
      </c>
      <c r="P508" s="1" t="s">
        <v>149</v>
      </c>
    </row>
    <row r="509" spans="1:16">
      <c r="A509" s="7">
        <v>40065</v>
      </c>
      <c r="B509" s="1">
        <v>1003</v>
      </c>
      <c r="C509" s="1" t="s">
        <v>234</v>
      </c>
      <c r="D509" s="1">
        <v>4</v>
      </c>
      <c r="E509" s="1">
        <v>470.25</v>
      </c>
      <c r="F509" s="1">
        <v>23</v>
      </c>
      <c r="G509" s="1" t="s">
        <v>3</v>
      </c>
      <c r="H509" s="1">
        <v>2095</v>
      </c>
      <c r="K509" s="1" t="s">
        <v>67</v>
      </c>
      <c r="L509" s="1" t="s">
        <v>242</v>
      </c>
      <c r="M509" s="1" t="s">
        <v>243</v>
      </c>
      <c r="N509" s="1" t="s">
        <v>244</v>
      </c>
      <c r="O509" s="1">
        <v>948.89</v>
      </c>
      <c r="P509" s="1" t="s">
        <v>149</v>
      </c>
    </row>
    <row r="510" spans="1:16">
      <c r="A510" s="7">
        <v>40065</v>
      </c>
      <c r="B510" s="1">
        <v>1006</v>
      </c>
      <c r="C510" s="1" t="s">
        <v>234</v>
      </c>
      <c r="D510" s="1">
        <v>3</v>
      </c>
      <c r="E510" s="1">
        <v>909.15</v>
      </c>
      <c r="F510" s="1">
        <v>23</v>
      </c>
      <c r="G510" s="1" t="s">
        <v>3</v>
      </c>
      <c r="H510" s="1">
        <v>1368</v>
      </c>
      <c r="K510" s="1" t="s">
        <v>67</v>
      </c>
      <c r="L510" s="1" t="s">
        <v>242</v>
      </c>
      <c r="M510" s="1" t="s">
        <v>243</v>
      </c>
      <c r="N510" s="1" t="s">
        <v>244</v>
      </c>
      <c r="O510" s="1">
        <v>4137.8500000000004</v>
      </c>
      <c r="P510" s="1" t="s">
        <v>149</v>
      </c>
    </row>
    <row r="511" spans="1:16">
      <c r="A511" s="7">
        <v>40065</v>
      </c>
      <c r="B511" s="1">
        <v>1011</v>
      </c>
      <c r="C511" s="1" t="s">
        <v>235</v>
      </c>
      <c r="D511" s="1">
        <v>4</v>
      </c>
      <c r="E511" s="1">
        <v>607.65</v>
      </c>
      <c r="F511" s="1">
        <v>23</v>
      </c>
      <c r="G511" s="1" t="s">
        <v>3</v>
      </c>
      <c r="H511" s="1">
        <v>1507</v>
      </c>
      <c r="K511" s="1" t="s">
        <v>67</v>
      </c>
      <c r="L511" s="1" t="s">
        <v>242</v>
      </c>
      <c r="M511" s="1" t="s">
        <v>243</v>
      </c>
      <c r="N511" s="1" t="s">
        <v>244</v>
      </c>
      <c r="O511" s="1">
        <v>466.9</v>
      </c>
      <c r="P511" s="1" t="s">
        <v>149</v>
      </c>
    </row>
    <row r="512" spans="1:16">
      <c r="A512" s="7">
        <v>40065</v>
      </c>
      <c r="B512" s="1">
        <v>999</v>
      </c>
      <c r="C512" s="1" t="s">
        <v>235</v>
      </c>
      <c r="D512" s="1">
        <v>4</v>
      </c>
      <c r="E512" s="1">
        <v>45</v>
      </c>
      <c r="F512" s="1">
        <v>23</v>
      </c>
      <c r="G512" s="1" t="s">
        <v>15</v>
      </c>
      <c r="H512" s="1">
        <v>1419</v>
      </c>
      <c r="K512" s="1" t="s">
        <v>68</v>
      </c>
      <c r="L512" s="1" t="s">
        <v>242</v>
      </c>
      <c r="M512" s="1" t="s">
        <v>243</v>
      </c>
      <c r="N512" s="1" t="s">
        <v>244</v>
      </c>
      <c r="O512" s="1">
        <v>2622.94</v>
      </c>
      <c r="P512" s="1" t="s">
        <v>149</v>
      </c>
    </row>
    <row r="513" spans="1:16">
      <c r="A513" s="7">
        <v>40065</v>
      </c>
      <c r="B513" s="1">
        <v>1008</v>
      </c>
      <c r="C513" s="1" t="s">
        <v>235</v>
      </c>
      <c r="D513" s="1">
        <v>4</v>
      </c>
      <c r="E513" s="1">
        <v>45</v>
      </c>
      <c r="F513" s="1">
        <v>23</v>
      </c>
      <c r="G513" s="1" t="s">
        <v>15</v>
      </c>
      <c r="H513" s="1">
        <v>1811</v>
      </c>
      <c r="K513" s="1" t="s">
        <v>68</v>
      </c>
      <c r="L513" s="1" t="s">
        <v>242</v>
      </c>
      <c r="M513" s="1" t="s">
        <v>243</v>
      </c>
      <c r="N513" s="1" t="s">
        <v>244</v>
      </c>
      <c r="O513" s="1">
        <v>1414.22</v>
      </c>
      <c r="P513" s="1" t="s">
        <v>149</v>
      </c>
    </row>
    <row r="514" spans="1:16">
      <c r="A514" s="7">
        <v>40065</v>
      </c>
      <c r="B514" s="1">
        <v>1009</v>
      </c>
      <c r="C514" s="1" t="s">
        <v>235</v>
      </c>
      <c r="D514" s="1">
        <v>4</v>
      </c>
      <c r="E514" s="1">
        <v>45</v>
      </c>
      <c r="F514" s="1">
        <v>23</v>
      </c>
      <c r="G514" s="1" t="s">
        <v>15</v>
      </c>
      <c r="H514" s="1">
        <v>1831</v>
      </c>
      <c r="K514" s="1" t="s">
        <v>68</v>
      </c>
      <c r="L514" s="1" t="s">
        <v>242</v>
      </c>
      <c r="M514" s="1" t="s">
        <v>243</v>
      </c>
      <c r="N514" s="1" t="s">
        <v>244</v>
      </c>
      <c r="O514" s="1">
        <v>4503.42</v>
      </c>
      <c r="P514" s="1" t="s">
        <v>149</v>
      </c>
    </row>
    <row r="515" spans="1:16">
      <c r="A515" s="7">
        <v>40065</v>
      </c>
      <c r="B515" s="1">
        <v>1010</v>
      </c>
      <c r="C515" s="1" t="s">
        <v>235</v>
      </c>
      <c r="D515" s="1">
        <v>4</v>
      </c>
      <c r="E515" s="1">
        <v>45</v>
      </c>
      <c r="F515" s="1">
        <v>23</v>
      </c>
      <c r="G515" s="1" t="s">
        <v>15</v>
      </c>
      <c r="H515" s="1">
        <v>1395</v>
      </c>
      <c r="K515" s="1" t="s">
        <v>68</v>
      </c>
      <c r="L515" s="1" t="s">
        <v>242</v>
      </c>
      <c r="M515" s="1" t="s">
        <v>243</v>
      </c>
      <c r="N515" s="1" t="s">
        <v>244</v>
      </c>
      <c r="O515" s="1">
        <v>1571.73</v>
      </c>
      <c r="P515" s="1" t="s">
        <v>149</v>
      </c>
    </row>
    <row r="516" spans="1:16">
      <c r="A516" s="7">
        <v>40065</v>
      </c>
      <c r="B516" s="1">
        <v>1017</v>
      </c>
      <c r="C516" s="1" t="s">
        <v>235</v>
      </c>
      <c r="D516" s="1">
        <v>4</v>
      </c>
      <c r="E516" s="1">
        <v>45</v>
      </c>
      <c r="F516" s="1">
        <v>23</v>
      </c>
      <c r="G516" s="1" t="s">
        <v>15</v>
      </c>
      <c r="H516" s="1">
        <v>0</v>
      </c>
      <c r="K516" s="1" t="s">
        <v>69</v>
      </c>
      <c r="L516" s="1" t="s">
        <v>242</v>
      </c>
      <c r="M516" s="1" t="s">
        <v>243</v>
      </c>
      <c r="N516" s="1" t="s">
        <v>244</v>
      </c>
      <c r="O516" s="1">
        <v>1106.56</v>
      </c>
      <c r="P516" s="1" t="s">
        <v>149</v>
      </c>
    </row>
    <row r="517" spans="1:16">
      <c r="A517" s="7">
        <v>40065</v>
      </c>
      <c r="B517" s="1">
        <v>1002</v>
      </c>
      <c r="C517" s="1" t="s">
        <v>234</v>
      </c>
      <c r="D517" s="1">
        <v>4</v>
      </c>
      <c r="E517" s="1">
        <v>516.47</v>
      </c>
      <c r="F517" s="1">
        <v>23</v>
      </c>
      <c r="G517" s="1" t="s">
        <v>5</v>
      </c>
      <c r="H517" s="1">
        <v>2094</v>
      </c>
      <c r="K517" s="1" t="s">
        <v>70</v>
      </c>
      <c r="L517" s="1" t="s">
        <v>242</v>
      </c>
      <c r="M517" s="1" t="s">
        <v>243</v>
      </c>
      <c r="N517" s="1" t="s">
        <v>244</v>
      </c>
      <c r="O517" s="1">
        <v>870.6</v>
      </c>
      <c r="P517" s="1" t="s">
        <v>149</v>
      </c>
    </row>
    <row r="518" spans="1:16">
      <c r="A518" s="7">
        <v>40065</v>
      </c>
      <c r="B518" s="1">
        <v>1015</v>
      </c>
      <c r="C518" s="1" t="s">
        <v>235</v>
      </c>
      <c r="D518" s="1">
        <v>1</v>
      </c>
      <c r="E518" s="1">
        <v>476.96</v>
      </c>
      <c r="F518" s="1">
        <v>23</v>
      </c>
      <c r="G518" s="1" t="s">
        <v>5</v>
      </c>
      <c r="H518" s="1">
        <v>1887</v>
      </c>
      <c r="K518" s="1" t="s">
        <v>70</v>
      </c>
      <c r="L518" s="1" t="s">
        <v>242</v>
      </c>
      <c r="M518" s="1" t="s">
        <v>243</v>
      </c>
      <c r="N518" s="1" t="s">
        <v>244</v>
      </c>
      <c r="O518" s="1">
        <v>244.97</v>
      </c>
      <c r="P518" s="1" t="s">
        <v>149</v>
      </c>
    </row>
    <row r="519" spans="1:16">
      <c r="A519" s="7">
        <v>40065</v>
      </c>
      <c r="B519" s="1">
        <v>1019</v>
      </c>
      <c r="C519" s="1" t="s">
        <v>234</v>
      </c>
      <c r="D519" s="1">
        <v>4</v>
      </c>
      <c r="E519" s="1">
        <v>516.47</v>
      </c>
      <c r="F519" s="1">
        <v>23</v>
      </c>
      <c r="G519" s="1" t="s">
        <v>5</v>
      </c>
      <c r="H519" s="1">
        <v>1954</v>
      </c>
      <c r="K519" s="1" t="s">
        <v>70</v>
      </c>
      <c r="L519" s="1" t="s">
        <v>242</v>
      </c>
      <c r="M519" s="1" t="s">
        <v>243</v>
      </c>
      <c r="N519" s="1" t="s">
        <v>244</v>
      </c>
      <c r="O519" s="1">
        <v>2059.2800000000002</v>
      </c>
      <c r="P519" s="1" t="s">
        <v>149</v>
      </c>
    </row>
    <row r="520" spans="1:16">
      <c r="A520" s="7">
        <v>40065</v>
      </c>
      <c r="B520" s="1">
        <v>1005</v>
      </c>
      <c r="C520" s="1" t="s">
        <v>234</v>
      </c>
      <c r="D520" s="1">
        <v>4</v>
      </c>
      <c r="E520" s="1">
        <v>80</v>
      </c>
      <c r="F520" s="1">
        <v>23</v>
      </c>
      <c r="G520" s="1" t="s">
        <v>18</v>
      </c>
      <c r="H520" s="1">
        <v>1023</v>
      </c>
      <c r="K520" s="1" t="s">
        <v>70</v>
      </c>
      <c r="L520" s="1" t="s">
        <v>242</v>
      </c>
      <c r="M520" s="1" t="s">
        <v>243</v>
      </c>
      <c r="N520" s="1" t="s">
        <v>244</v>
      </c>
      <c r="O520" s="1">
        <v>446.34</v>
      </c>
      <c r="P520" s="1" t="s">
        <v>149</v>
      </c>
    </row>
    <row r="521" spans="1:16">
      <c r="A521" s="7">
        <v>40095</v>
      </c>
      <c r="B521" s="1">
        <v>1458</v>
      </c>
      <c r="C521" s="1" t="s">
        <v>234</v>
      </c>
      <c r="D521" s="1">
        <v>4</v>
      </c>
      <c r="E521" s="1">
        <v>187.5</v>
      </c>
      <c r="F521" s="1">
        <v>23</v>
      </c>
      <c r="G521" s="1" t="s">
        <v>42</v>
      </c>
      <c r="H521" s="1">
        <v>0</v>
      </c>
      <c r="K521" s="1" t="s">
        <v>71</v>
      </c>
      <c r="L521" s="1" t="s">
        <v>242</v>
      </c>
      <c r="M521" s="1" t="s">
        <v>243</v>
      </c>
      <c r="N521" s="1" t="s">
        <v>244</v>
      </c>
      <c r="O521" s="1">
        <v>310.73</v>
      </c>
      <c r="P521" s="1" t="s">
        <v>149</v>
      </c>
    </row>
    <row r="522" spans="1:16">
      <c r="A522" s="7">
        <v>40095</v>
      </c>
      <c r="B522" s="1">
        <v>1459</v>
      </c>
      <c r="C522" s="1" t="s">
        <v>235</v>
      </c>
      <c r="D522" s="1">
        <v>4</v>
      </c>
      <c r="E522" s="1">
        <v>9</v>
      </c>
      <c r="F522" s="1">
        <v>23</v>
      </c>
      <c r="G522" s="1" t="s">
        <v>14</v>
      </c>
      <c r="H522" s="1">
        <v>193</v>
      </c>
      <c r="K522" s="1" t="s">
        <v>71</v>
      </c>
      <c r="L522" s="1" t="s">
        <v>242</v>
      </c>
      <c r="M522" s="1" t="s">
        <v>243</v>
      </c>
      <c r="N522" s="1" t="s">
        <v>244</v>
      </c>
      <c r="O522" s="1">
        <v>117.82</v>
      </c>
      <c r="P522" s="1" t="s">
        <v>149</v>
      </c>
    </row>
    <row r="523" spans="1:16">
      <c r="A523" s="7">
        <v>40095</v>
      </c>
      <c r="B523" s="1">
        <v>1460</v>
      </c>
      <c r="C523" s="1" t="s">
        <v>234</v>
      </c>
      <c r="D523" s="1">
        <v>4</v>
      </c>
      <c r="E523" s="1">
        <v>65</v>
      </c>
      <c r="F523" s="1">
        <v>23</v>
      </c>
      <c r="G523" s="1" t="s">
        <v>18</v>
      </c>
      <c r="H523" s="1">
        <v>2183</v>
      </c>
      <c r="K523" s="1" t="s">
        <v>71</v>
      </c>
      <c r="L523" s="1" t="s">
        <v>242</v>
      </c>
      <c r="M523" s="1" t="s">
        <v>243</v>
      </c>
      <c r="N523" s="1" t="s">
        <v>244</v>
      </c>
      <c r="O523" s="1">
        <v>375.22</v>
      </c>
      <c r="P523" s="1" t="s">
        <v>149</v>
      </c>
    </row>
    <row r="524" spans="1:16">
      <c r="A524" s="7">
        <v>40095</v>
      </c>
      <c r="B524" s="1">
        <v>1498</v>
      </c>
      <c r="C524" s="1" t="s">
        <v>234</v>
      </c>
      <c r="D524" s="1">
        <v>4</v>
      </c>
      <c r="E524" s="1">
        <v>80</v>
      </c>
      <c r="F524" s="1">
        <v>23</v>
      </c>
      <c r="G524" s="1" t="s">
        <v>18</v>
      </c>
      <c r="H524" s="1">
        <v>2187</v>
      </c>
      <c r="K524" s="1" t="s">
        <v>71</v>
      </c>
      <c r="L524" s="1" t="s">
        <v>242</v>
      </c>
      <c r="M524" s="1" t="s">
        <v>243</v>
      </c>
      <c r="N524" s="1" t="s">
        <v>244</v>
      </c>
      <c r="O524" s="1">
        <v>130.94999999999999</v>
      </c>
      <c r="P524" s="1" t="s">
        <v>149</v>
      </c>
    </row>
    <row r="525" spans="1:16">
      <c r="A525" s="7">
        <v>40126</v>
      </c>
      <c r="B525" s="1">
        <v>1514</v>
      </c>
      <c r="C525" s="1" t="s">
        <v>234</v>
      </c>
      <c r="D525" s="1">
        <v>4</v>
      </c>
      <c r="E525" s="1">
        <v>80</v>
      </c>
      <c r="F525" s="1">
        <v>23</v>
      </c>
      <c r="G525" s="1" t="s">
        <v>18</v>
      </c>
      <c r="H525" s="1">
        <v>989</v>
      </c>
      <c r="K525" s="1" t="s">
        <v>94</v>
      </c>
      <c r="L525" s="1" t="s">
        <v>245</v>
      </c>
      <c r="M525" s="1" t="s">
        <v>246</v>
      </c>
      <c r="N525" s="1" t="s">
        <v>255</v>
      </c>
      <c r="O525" s="1">
        <v>1093.67</v>
      </c>
      <c r="P525" s="1" t="s">
        <v>150</v>
      </c>
    </row>
    <row r="526" spans="1:16">
      <c r="A526" s="7">
        <v>40156</v>
      </c>
      <c r="B526" s="1">
        <v>1540</v>
      </c>
      <c r="C526" s="1" t="s">
        <v>234</v>
      </c>
      <c r="D526" s="1">
        <v>8</v>
      </c>
      <c r="E526" s="1">
        <v>34</v>
      </c>
      <c r="F526" s="1">
        <v>23</v>
      </c>
      <c r="G526" s="1" t="s">
        <v>44</v>
      </c>
      <c r="H526" s="1">
        <v>1530</v>
      </c>
      <c r="K526" s="1" t="s">
        <v>90</v>
      </c>
      <c r="L526" s="1" t="s">
        <v>245</v>
      </c>
      <c r="M526" s="1" t="s">
        <v>246</v>
      </c>
      <c r="N526" s="1" t="s">
        <v>255</v>
      </c>
      <c r="O526" s="1">
        <v>312.13</v>
      </c>
      <c r="P526" s="1" t="s">
        <v>151</v>
      </c>
    </row>
    <row r="527" spans="1:16">
      <c r="A527" s="7">
        <v>40156</v>
      </c>
      <c r="B527" s="1">
        <v>1539</v>
      </c>
      <c r="C527" s="1" t="s">
        <v>235</v>
      </c>
      <c r="D527" s="1">
        <v>1</v>
      </c>
      <c r="E527" s="1">
        <v>75</v>
      </c>
      <c r="F527" s="1">
        <v>23</v>
      </c>
      <c r="G527" s="1" t="s">
        <v>24</v>
      </c>
      <c r="H527" s="1">
        <v>2200</v>
      </c>
      <c r="K527" s="1" t="s">
        <v>83</v>
      </c>
      <c r="L527" s="1" t="s">
        <v>245</v>
      </c>
      <c r="M527" s="1" t="s">
        <v>246</v>
      </c>
      <c r="N527" s="1" t="s">
        <v>247</v>
      </c>
      <c r="O527" s="1">
        <v>943</v>
      </c>
      <c r="P527" s="1" t="s">
        <v>152</v>
      </c>
    </row>
    <row r="528" spans="1:16">
      <c r="A528" s="7">
        <v>39823</v>
      </c>
      <c r="B528" s="1">
        <v>11</v>
      </c>
      <c r="C528" s="1" t="s">
        <v>234</v>
      </c>
      <c r="D528" s="1">
        <v>1</v>
      </c>
      <c r="E528" s="1">
        <v>674.5</v>
      </c>
      <c r="F528" s="1">
        <v>23</v>
      </c>
      <c r="G528" s="1" t="s">
        <v>28</v>
      </c>
      <c r="H528" s="1">
        <v>1986</v>
      </c>
      <c r="K528" s="1" t="s">
        <v>126</v>
      </c>
      <c r="L528" s="1" t="s">
        <v>245</v>
      </c>
      <c r="M528" s="1" t="s">
        <v>246</v>
      </c>
      <c r="N528" s="1" t="s">
        <v>247</v>
      </c>
      <c r="O528" s="1">
        <v>640</v>
      </c>
      <c r="P528" s="1" t="s">
        <v>153</v>
      </c>
    </row>
    <row r="529" spans="1:16">
      <c r="A529" s="7">
        <v>39854</v>
      </c>
      <c r="B529" s="1">
        <v>137</v>
      </c>
      <c r="C529" s="1" t="s">
        <v>234</v>
      </c>
      <c r="D529" s="1">
        <v>4</v>
      </c>
      <c r="E529" s="1">
        <v>1026</v>
      </c>
      <c r="F529" s="1">
        <v>23</v>
      </c>
      <c r="G529" s="1" t="s">
        <v>16</v>
      </c>
      <c r="H529" s="1">
        <v>0</v>
      </c>
      <c r="K529" s="1" t="s">
        <v>154</v>
      </c>
      <c r="L529" s="1" t="s">
        <v>245</v>
      </c>
      <c r="M529" s="1" t="s">
        <v>246</v>
      </c>
      <c r="N529" s="1" t="s">
        <v>247</v>
      </c>
      <c r="O529" s="1">
        <v>-640</v>
      </c>
      <c r="P529" s="1" t="s">
        <v>142</v>
      </c>
    </row>
    <row r="530" spans="1:16">
      <c r="A530" s="7">
        <v>39854</v>
      </c>
      <c r="B530" s="1">
        <v>225</v>
      </c>
      <c r="C530" s="1" t="s">
        <v>235</v>
      </c>
      <c r="D530" s="1">
        <v>4</v>
      </c>
      <c r="E530" s="1">
        <v>433.6</v>
      </c>
      <c r="F530" s="1">
        <v>23</v>
      </c>
      <c r="G530" s="1" t="s">
        <v>12</v>
      </c>
      <c r="H530" s="1">
        <v>444</v>
      </c>
      <c r="K530" s="1" t="s">
        <v>74</v>
      </c>
      <c r="L530" s="1" t="s">
        <v>245</v>
      </c>
      <c r="M530" s="1" t="s">
        <v>246</v>
      </c>
      <c r="N530" s="1" t="s">
        <v>247</v>
      </c>
      <c r="O530" s="1">
        <v>500</v>
      </c>
      <c r="P530" s="1" t="s">
        <v>152</v>
      </c>
    </row>
    <row r="531" spans="1:16">
      <c r="A531" s="7">
        <v>39854</v>
      </c>
      <c r="B531" s="1">
        <v>240</v>
      </c>
      <c r="C531" s="1" t="s">
        <v>234</v>
      </c>
      <c r="D531" s="1">
        <v>3</v>
      </c>
      <c r="E531" s="1">
        <v>1018.88</v>
      </c>
      <c r="F531" s="1">
        <v>23</v>
      </c>
      <c r="G531" s="1" t="s">
        <v>13</v>
      </c>
      <c r="H531" s="1">
        <v>1530</v>
      </c>
      <c r="K531" s="1" t="s">
        <v>98</v>
      </c>
      <c r="L531" s="1" t="s">
        <v>245</v>
      </c>
      <c r="M531" s="1" t="s">
        <v>246</v>
      </c>
      <c r="N531" s="1" t="s">
        <v>247</v>
      </c>
      <c r="O531" s="1">
        <v>11484.5</v>
      </c>
      <c r="P531" s="1" t="s">
        <v>152</v>
      </c>
    </row>
    <row r="532" spans="1:16">
      <c r="A532" s="7">
        <v>39854</v>
      </c>
      <c r="B532" s="1">
        <v>226</v>
      </c>
      <c r="C532" s="1" t="s">
        <v>234</v>
      </c>
      <c r="D532" s="1">
        <v>4</v>
      </c>
      <c r="E532" s="1">
        <v>909.15</v>
      </c>
      <c r="F532" s="1">
        <v>23</v>
      </c>
      <c r="G532" s="1" t="s">
        <v>3</v>
      </c>
      <c r="H532" s="1">
        <v>2014</v>
      </c>
      <c r="K532" s="1" t="s">
        <v>76</v>
      </c>
      <c r="L532" s="1" t="s">
        <v>248</v>
      </c>
      <c r="M532" s="1" t="s">
        <v>249</v>
      </c>
      <c r="N532" s="1" t="s">
        <v>250</v>
      </c>
      <c r="O532" s="1">
        <v>429.5</v>
      </c>
      <c r="P532" s="1" t="s">
        <v>152</v>
      </c>
    </row>
    <row r="533" spans="1:16">
      <c r="A533" s="7">
        <v>39854</v>
      </c>
      <c r="B533" s="1">
        <v>231</v>
      </c>
      <c r="C533" s="1" t="s">
        <v>234</v>
      </c>
      <c r="D533" s="1">
        <v>1</v>
      </c>
      <c r="E533" s="1">
        <v>909.15</v>
      </c>
      <c r="F533" s="1">
        <v>23</v>
      </c>
      <c r="G533" s="1" t="s">
        <v>3</v>
      </c>
      <c r="H533" s="1">
        <v>1824</v>
      </c>
      <c r="K533" s="1" t="s">
        <v>76</v>
      </c>
      <c r="L533" s="1" t="s">
        <v>248</v>
      </c>
      <c r="M533" s="1" t="s">
        <v>249</v>
      </c>
      <c r="N533" s="1" t="s">
        <v>250</v>
      </c>
      <c r="O533" s="1">
        <v>353</v>
      </c>
      <c r="P533" s="1" t="s">
        <v>152</v>
      </c>
    </row>
    <row r="534" spans="1:16">
      <c r="A534" s="7">
        <v>39854</v>
      </c>
      <c r="B534" s="1">
        <v>221</v>
      </c>
      <c r="C534" s="1" t="s">
        <v>234</v>
      </c>
      <c r="D534" s="1">
        <v>2</v>
      </c>
      <c r="E534" s="1">
        <v>770.05</v>
      </c>
      <c r="F534" s="1">
        <v>23</v>
      </c>
      <c r="G534" s="1" t="s">
        <v>29</v>
      </c>
      <c r="H534" s="1">
        <v>632</v>
      </c>
      <c r="K534" s="1" t="s">
        <v>76</v>
      </c>
      <c r="L534" s="1" t="s">
        <v>248</v>
      </c>
      <c r="M534" s="1" t="s">
        <v>249</v>
      </c>
      <c r="N534" s="1" t="s">
        <v>250</v>
      </c>
      <c r="O534" s="1">
        <v>200</v>
      </c>
      <c r="P534" s="1" t="s">
        <v>152</v>
      </c>
    </row>
    <row r="535" spans="1:16">
      <c r="A535" s="7">
        <v>39854</v>
      </c>
      <c r="B535" s="1">
        <v>222</v>
      </c>
      <c r="C535" s="1" t="s">
        <v>234</v>
      </c>
      <c r="D535" s="1">
        <v>1</v>
      </c>
      <c r="E535" s="1">
        <v>532.99</v>
      </c>
      <c r="F535" s="1">
        <v>23</v>
      </c>
      <c r="G535" s="1" t="s">
        <v>29</v>
      </c>
      <c r="H535" s="1">
        <v>738</v>
      </c>
      <c r="K535" s="1" t="s">
        <v>76</v>
      </c>
      <c r="L535" s="1" t="s">
        <v>248</v>
      </c>
      <c r="M535" s="1" t="s">
        <v>249</v>
      </c>
      <c r="N535" s="1" t="s">
        <v>250</v>
      </c>
      <c r="O535" s="1">
        <v>530</v>
      </c>
      <c r="P535" s="1" t="s">
        <v>152</v>
      </c>
    </row>
    <row r="536" spans="1:16">
      <c r="A536" s="7">
        <v>39854</v>
      </c>
      <c r="B536" s="1">
        <v>223</v>
      </c>
      <c r="C536" s="1" t="s">
        <v>234</v>
      </c>
      <c r="D536" s="1">
        <v>4</v>
      </c>
      <c r="E536" s="1">
        <v>256.42</v>
      </c>
      <c r="F536" s="1">
        <v>23</v>
      </c>
      <c r="G536" s="1" t="s">
        <v>29</v>
      </c>
      <c r="H536" s="1">
        <v>1797</v>
      </c>
      <c r="K536" s="1" t="s">
        <v>76</v>
      </c>
      <c r="L536" s="1" t="s">
        <v>248</v>
      </c>
      <c r="M536" s="1" t="s">
        <v>249</v>
      </c>
      <c r="N536" s="1" t="s">
        <v>250</v>
      </c>
      <c r="O536" s="1">
        <v>314.75</v>
      </c>
      <c r="P536" s="1" t="s">
        <v>152</v>
      </c>
    </row>
    <row r="537" spans="1:16">
      <c r="A537" s="7">
        <v>39854</v>
      </c>
      <c r="B537" s="1">
        <v>224</v>
      </c>
      <c r="C537" s="1" t="s">
        <v>235</v>
      </c>
      <c r="D537" s="1">
        <v>1</v>
      </c>
      <c r="E537" s="1">
        <v>403.01</v>
      </c>
      <c r="F537" s="1">
        <v>23</v>
      </c>
      <c r="G537" s="1" t="s">
        <v>29</v>
      </c>
      <c r="H537" s="1">
        <v>46</v>
      </c>
      <c r="K537" s="1" t="s">
        <v>76</v>
      </c>
      <c r="L537" s="1" t="s">
        <v>248</v>
      </c>
      <c r="M537" s="1" t="s">
        <v>249</v>
      </c>
      <c r="N537" s="1" t="s">
        <v>250</v>
      </c>
      <c r="O537" s="1">
        <v>506</v>
      </c>
      <c r="P537" s="1" t="s">
        <v>152</v>
      </c>
    </row>
    <row r="538" spans="1:16">
      <c r="A538" s="7">
        <v>39854</v>
      </c>
      <c r="B538" s="1">
        <v>227</v>
      </c>
      <c r="C538" s="1" t="s">
        <v>235</v>
      </c>
      <c r="D538" s="1">
        <v>1</v>
      </c>
      <c r="E538" s="1">
        <v>723.91</v>
      </c>
      <c r="F538" s="1">
        <v>23</v>
      </c>
      <c r="G538" s="1" t="s">
        <v>29</v>
      </c>
      <c r="H538" s="1">
        <v>1256</v>
      </c>
      <c r="K538" s="1" t="s">
        <v>123</v>
      </c>
      <c r="L538" s="1" t="s">
        <v>245</v>
      </c>
      <c r="M538" s="1" t="s">
        <v>246</v>
      </c>
      <c r="N538" s="1" t="s">
        <v>250</v>
      </c>
      <c r="O538" s="1">
        <v>5636.25</v>
      </c>
      <c r="P538" s="1" t="s">
        <v>152</v>
      </c>
    </row>
    <row r="539" spans="1:16">
      <c r="A539" s="7">
        <v>39854</v>
      </c>
      <c r="B539" s="1">
        <v>228</v>
      </c>
      <c r="C539" s="1" t="s">
        <v>234</v>
      </c>
      <c r="D539" s="1">
        <v>4</v>
      </c>
      <c r="E539" s="1">
        <v>453.98</v>
      </c>
      <c r="F539" s="1">
        <v>23</v>
      </c>
      <c r="G539" s="1" t="s">
        <v>29</v>
      </c>
      <c r="H539" s="1">
        <v>1261</v>
      </c>
      <c r="K539" s="1" t="s">
        <v>76</v>
      </c>
      <c r="L539" s="1" t="s">
        <v>245</v>
      </c>
      <c r="M539" s="1" t="s">
        <v>246</v>
      </c>
      <c r="N539" s="1" t="s">
        <v>250</v>
      </c>
      <c r="O539" s="1">
        <v>1284</v>
      </c>
      <c r="P539" s="1" t="s">
        <v>152</v>
      </c>
    </row>
    <row r="540" spans="1:16">
      <c r="A540" s="7">
        <v>39854</v>
      </c>
      <c r="B540" s="1">
        <v>229</v>
      </c>
      <c r="C540" s="1" t="s">
        <v>234</v>
      </c>
      <c r="D540" s="1">
        <v>4</v>
      </c>
      <c r="E540" s="1">
        <v>486.85</v>
      </c>
      <c r="F540" s="1">
        <v>23</v>
      </c>
      <c r="G540" s="1" t="s">
        <v>29</v>
      </c>
      <c r="H540" s="1">
        <v>152</v>
      </c>
      <c r="K540" s="1" t="s">
        <v>76</v>
      </c>
      <c r="L540" s="1" t="s">
        <v>245</v>
      </c>
      <c r="M540" s="1" t="s">
        <v>246</v>
      </c>
      <c r="N540" s="1" t="s">
        <v>250</v>
      </c>
      <c r="O540" s="1">
        <v>812</v>
      </c>
      <c r="P540" s="1" t="s">
        <v>152</v>
      </c>
    </row>
    <row r="541" spans="1:16">
      <c r="A541" s="7">
        <v>39854</v>
      </c>
      <c r="B541" s="1">
        <v>230</v>
      </c>
      <c r="C541" s="1" t="s">
        <v>234</v>
      </c>
      <c r="D541" s="1">
        <v>4</v>
      </c>
      <c r="E541" s="1">
        <v>493.48</v>
      </c>
      <c r="F541" s="1">
        <v>23</v>
      </c>
      <c r="G541" s="1" t="s">
        <v>29</v>
      </c>
      <c r="H541" s="1">
        <v>733</v>
      </c>
      <c r="K541" s="1" t="s">
        <v>155</v>
      </c>
      <c r="L541" s="1" t="s">
        <v>245</v>
      </c>
      <c r="M541" s="1" t="s">
        <v>246</v>
      </c>
      <c r="N541" s="1" t="s">
        <v>250</v>
      </c>
      <c r="O541" s="1">
        <v>5295</v>
      </c>
      <c r="P541" s="1" t="s">
        <v>152</v>
      </c>
    </row>
    <row r="542" spans="1:16">
      <c r="A542" s="7">
        <v>39854</v>
      </c>
      <c r="B542" s="1">
        <v>232</v>
      </c>
      <c r="C542" s="1" t="s">
        <v>235</v>
      </c>
      <c r="D542" s="1">
        <v>1</v>
      </c>
      <c r="E542" s="1">
        <v>216.91</v>
      </c>
      <c r="F542" s="1">
        <v>23</v>
      </c>
      <c r="G542" s="1" t="s">
        <v>29</v>
      </c>
      <c r="H542" s="1">
        <v>326</v>
      </c>
      <c r="K542" s="1" t="s">
        <v>76</v>
      </c>
      <c r="L542" s="1" t="s">
        <v>245</v>
      </c>
      <c r="M542" s="1" t="s">
        <v>246</v>
      </c>
      <c r="N542" s="1" t="s">
        <v>250</v>
      </c>
      <c r="O542" s="1">
        <v>624</v>
      </c>
      <c r="P542" s="1" t="s">
        <v>152</v>
      </c>
    </row>
    <row r="543" spans="1:16">
      <c r="A543" s="7">
        <v>39854</v>
      </c>
      <c r="B543" s="1">
        <v>233</v>
      </c>
      <c r="C543" s="1" t="s">
        <v>234</v>
      </c>
      <c r="D543" s="1">
        <v>4</v>
      </c>
      <c r="E543" s="1">
        <v>532.99</v>
      </c>
      <c r="F543" s="1">
        <v>23</v>
      </c>
      <c r="G543" s="1" t="s">
        <v>29</v>
      </c>
      <c r="H543" s="1">
        <v>664</v>
      </c>
      <c r="K543" s="1" t="s">
        <v>76</v>
      </c>
      <c r="L543" s="1" t="s">
        <v>245</v>
      </c>
      <c r="M543" s="1" t="s">
        <v>246</v>
      </c>
      <c r="N543" s="1" t="s">
        <v>250</v>
      </c>
      <c r="O543" s="1">
        <v>499.2</v>
      </c>
      <c r="P543" s="1" t="s">
        <v>152</v>
      </c>
    </row>
    <row r="544" spans="1:16">
      <c r="A544" s="7">
        <v>39854</v>
      </c>
      <c r="B544" s="1">
        <v>238</v>
      </c>
      <c r="C544" s="1" t="s">
        <v>234</v>
      </c>
      <c r="D544" s="1">
        <v>3</v>
      </c>
      <c r="E544" s="1">
        <v>835.9</v>
      </c>
      <c r="F544" s="1">
        <v>23</v>
      </c>
      <c r="G544" s="1" t="s">
        <v>29</v>
      </c>
      <c r="H544" s="1">
        <v>771</v>
      </c>
      <c r="K544" s="1" t="s">
        <v>83</v>
      </c>
      <c r="L544" s="1" t="s">
        <v>245</v>
      </c>
      <c r="M544" s="1" t="s">
        <v>246</v>
      </c>
      <c r="N544" s="1" t="s">
        <v>250</v>
      </c>
      <c r="O544" s="1">
        <v>87.8</v>
      </c>
      <c r="P544" s="1" t="s">
        <v>152</v>
      </c>
    </row>
    <row r="545" spans="1:16">
      <c r="A545" s="7">
        <v>39854</v>
      </c>
      <c r="B545" s="1">
        <v>239</v>
      </c>
      <c r="C545" s="1" t="s">
        <v>234</v>
      </c>
      <c r="D545" s="1">
        <v>3</v>
      </c>
      <c r="E545" s="1">
        <v>371.44</v>
      </c>
      <c r="F545" s="1">
        <v>23</v>
      </c>
      <c r="G545" s="1" t="s">
        <v>29</v>
      </c>
      <c r="H545" s="1">
        <v>172</v>
      </c>
      <c r="K545" s="1" t="s">
        <v>143</v>
      </c>
      <c r="L545" s="1" t="s">
        <v>245</v>
      </c>
      <c r="M545" s="1" t="s">
        <v>246</v>
      </c>
      <c r="N545" s="1" t="s">
        <v>250</v>
      </c>
      <c r="O545" s="1">
        <v>900</v>
      </c>
      <c r="P545" s="1" t="s">
        <v>152</v>
      </c>
    </row>
    <row r="546" spans="1:16">
      <c r="A546" s="7">
        <v>39854</v>
      </c>
      <c r="B546" s="1">
        <v>241</v>
      </c>
      <c r="C546" s="1" t="s">
        <v>234</v>
      </c>
      <c r="D546" s="1">
        <v>1</v>
      </c>
      <c r="E546" s="1">
        <v>256.42</v>
      </c>
      <c r="F546" s="1">
        <v>23</v>
      </c>
      <c r="G546" s="1" t="s">
        <v>29</v>
      </c>
      <c r="H546" s="1">
        <v>1049</v>
      </c>
      <c r="K546" s="1" t="s">
        <v>155</v>
      </c>
      <c r="L546" s="1" t="s">
        <v>245</v>
      </c>
      <c r="M546" s="1" t="s">
        <v>246</v>
      </c>
      <c r="N546" s="1" t="s">
        <v>250</v>
      </c>
      <c r="O546" s="1">
        <v>500</v>
      </c>
      <c r="P546" s="1" t="s">
        <v>152</v>
      </c>
    </row>
    <row r="547" spans="1:16">
      <c r="A547" s="7">
        <v>39882</v>
      </c>
      <c r="B547" s="1">
        <v>498</v>
      </c>
      <c r="C547" s="1" t="s">
        <v>234</v>
      </c>
      <c r="D547" s="1">
        <v>3</v>
      </c>
      <c r="E547" s="1">
        <v>34</v>
      </c>
      <c r="F547" s="1">
        <v>23</v>
      </c>
      <c r="G547" s="1" t="s">
        <v>32</v>
      </c>
      <c r="H547" s="1">
        <v>382</v>
      </c>
      <c r="K547" s="1" t="s">
        <v>79</v>
      </c>
      <c r="L547" s="1" t="s">
        <v>245</v>
      </c>
      <c r="M547" s="1" t="s">
        <v>246</v>
      </c>
      <c r="N547" s="1" t="s">
        <v>251</v>
      </c>
      <c r="O547" s="1">
        <v>6</v>
      </c>
      <c r="P547" s="1" t="s">
        <v>152</v>
      </c>
    </row>
    <row r="548" spans="1:16">
      <c r="A548" s="7">
        <v>40004</v>
      </c>
      <c r="B548" s="1">
        <v>136</v>
      </c>
      <c r="C548" s="1" t="s">
        <v>238</v>
      </c>
      <c r="D548" s="1">
        <v>4</v>
      </c>
      <c r="E548" s="1">
        <v>72</v>
      </c>
      <c r="F548" s="1">
        <v>23</v>
      </c>
      <c r="G548" s="1" t="s">
        <v>16</v>
      </c>
      <c r="H548" s="1">
        <v>0</v>
      </c>
      <c r="K548" s="1" t="s">
        <v>88</v>
      </c>
      <c r="L548" s="1" t="s">
        <v>245</v>
      </c>
      <c r="M548" s="1" t="s">
        <v>246</v>
      </c>
      <c r="N548" s="1" t="s">
        <v>255</v>
      </c>
      <c r="O548" s="1">
        <v>150</v>
      </c>
      <c r="P548" s="1" t="s">
        <v>152</v>
      </c>
    </row>
    <row r="549" spans="1:16">
      <c r="A549" s="7">
        <v>40004</v>
      </c>
      <c r="B549" s="1">
        <v>674</v>
      </c>
      <c r="C549" s="1" t="s">
        <v>234</v>
      </c>
      <c r="D549" s="1">
        <v>3</v>
      </c>
      <c r="E549" s="1">
        <v>1881</v>
      </c>
      <c r="F549" s="1">
        <v>23</v>
      </c>
      <c r="G549" s="1" t="s">
        <v>7</v>
      </c>
      <c r="H549" s="1">
        <v>2062</v>
      </c>
      <c r="K549" s="1" t="s">
        <v>100</v>
      </c>
      <c r="L549" s="1" t="s">
        <v>245</v>
      </c>
      <c r="M549" s="1" t="s">
        <v>246</v>
      </c>
      <c r="N549" s="1" t="s">
        <v>252</v>
      </c>
      <c r="O549" s="1">
        <v>17.8</v>
      </c>
      <c r="P549" s="1" t="s">
        <v>152</v>
      </c>
    </row>
    <row r="550" spans="1:16">
      <c r="A550" s="7">
        <v>40004</v>
      </c>
      <c r="B550" s="1">
        <v>677</v>
      </c>
      <c r="C550" s="1" t="s">
        <v>235</v>
      </c>
      <c r="D550" s="1">
        <v>4</v>
      </c>
      <c r="E550" s="1">
        <v>887.33</v>
      </c>
      <c r="F550" s="1">
        <v>23</v>
      </c>
      <c r="G550" s="1" t="s">
        <v>7</v>
      </c>
      <c r="H550" s="1">
        <v>2065</v>
      </c>
      <c r="K550" s="1" t="s">
        <v>80</v>
      </c>
      <c r="L550" s="1" t="s">
        <v>245</v>
      </c>
      <c r="M550" s="1" t="s">
        <v>246</v>
      </c>
      <c r="N550" s="1" t="s">
        <v>252</v>
      </c>
      <c r="O550" s="1">
        <v>350</v>
      </c>
      <c r="P550" s="1" t="s">
        <v>152</v>
      </c>
    </row>
    <row r="551" spans="1:16">
      <c r="A551" s="7">
        <v>40004</v>
      </c>
      <c r="B551" s="1">
        <v>675</v>
      </c>
      <c r="C551" s="1" t="s">
        <v>235</v>
      </c>
      <c r="D551" s="1">
        <v>3</v>
      </c>
      <c r="E551" s="1">
        <v>34</v>
      </c>
      <c r="F551" s="1">
        <v>23</v>
      </c>
      <c r="G551" s="1" t="s">
        <v>10</v>
      </c>
      <c r="H551" s="1">
        <v>2063</v>
      </c>
      <c r="K551" s="1" t="s">
        <v>80</v>
      </c>
      <c r="L551" s="1" t="s">
        <v>245</v>
      </c>
      <c r="M551" s="1" t="s">
        <v>246</v>
      </c>
      <c r="N551" s="1" t="s">
        <v>252</v>
      </c>
      <c r="O551" s="1">
        <v>6.53</v>
      </c>
      <c r="P551" s="1" t="s">
        <v>152</v>
      </c>
    </row>
    <row r="552" spans="1:16">
      <c r="A552" s="7">
        <v>40004</v>
      </c>
      <c r="B552" s="1">
        <v>674</v>
      </c>
      <c r="C552" s="1" t="s">
        <v>234</v>
      </c>
      <c r="D552" s="1">
        <v>3</v>
      </c>
      <c r="E552" s="1">
        <v>78</v>
      </c>
      <c r="F552" s="1">
        <v>23</v>
      </c>
      <c r="G552" s="1" t="s">
        <v>11</v>
      </c>
      <c r="H552" s="1">
        <v>2062</v>
      </c>
      <c r="K552" s="1" t="s">
        <v>80</v>
      </c>
      <c r="L552" s="1" t="s">
        <v>245</v>
      </c>
      <c r="M552" s="1" t="s">
        <v>246</v>
      </c>
      <c r="N552" s="1" t="s">
        <v>252</v>
      </c>
      <c r="O552" s="1">
        <v>18.53</v>
      </c>
      <c r="P552" s="1" t="s">
        <v>152</v>
      </c>
    </row>
    <row r="553" spans="1:16">
      <c r="A553" s="7">
        <v>40004</v>
      </c>
      <c r="B553" s="1">
        <v>677</v>
      </c>
      <c r="C553" s="1" t="s">
        <v>235</v>
      </c>
      <c r="D553" s="1">
        <v>4</v>
      </c>
      <c r="E553" s="1">
        <v>78</v>
      </c>
      <c r="F553" s="1">
        <v>23</v>
      </c>
      <c r="G553" s="1" t="s">
        <v>11</v>
      </c>
      <c r="H553" s="1">
        <v>2065</v>
      </c>
      <c r="K553" s="1" t="s">
        <v>80</v>
      </c>
      <c r="L553" s="1" t="s">
        <v>245</v>
      </c>
      <c r="M553" s="1" t="s">
        <v>246</v>
      </c>
      <c r="N553" s="1" t="s">
        <v>252</v>
      </c>
      <c r="O553" s="1">
        <v>80.650000000000006</v>
      </c>
      <c r="P553" s="1" t="s">
        <v>152</v>
      </c>
    </row>
    <row r="554" spans="1:16">
      <c r="A554" s="7">
        <v>40004</v>
      </c>
      <c r="B554" s="1">
        <v>676</v>
      </c>
      <c r="C554" s="1" t="s">
        <v>235</v>
      </c>
      <c r="D554" s="1">
        <v>4</v>
      </c>
      <c r="E554" s="1">
        <v>940.5</v>
      </c>
      <c r="F554" s="1">
        <v>23</v>
      </c>
      <c r="G554" s="1" t="s">
        <v>3</v>
      </c>
      <c r="H554" s="1">
        <v>2064</v>
      </c>
      <c r="K554" s="1" t="s">
        <v>82</v>
      </c>
      <c r="L554" s="1" t="s">
        <v>245</v>
      </c>
      <c r="M554" s="1" t="s">
        <v>246</v>
      </c>
      <c r="N554" s="1" t="s">
        <v>252</v>
      </c>
      <c r="O554" s="1">
        <v>29.38</v>
      </c>
      <c r="P554" s="1" t="s">
        <v>152</v>
      </c>
    </row>
    <row r="555" spans="1:16">
      <c r="A555" s="7">
        <v>40004</v>
      </c>
      <c r="B555" s="1">
        <v>679</v>
      </c>
      <c r="C555" s="1" t="s">
        <v>234</v>
      </c>
      <c r="D555" s="1">
        <v>4</v>
      </c>
      <c r="E555" s="1">
        <v>501.6</v>
      </c>
      <c r="F555" s="1">
        <v>23</v>
      </c>
      <c r="G555" s="1" t="s">
        <v>3</v>
      </c>
      <c r="H555" s="1">
        <v>1847</v>
      </c>
      <c r="K555" s="1" t="s">
        <v>83</v>
      </c>
      <c r="L555" s="1" t="s">
        <v>245</v>
      </c>
      <c r="M555" s="1" t="s">
        <v>246</v>
      </c>
      <c r="N555" s="1" t="s">
        <v>252</v>
      </c>
      <c r="O555" s="1">
        <v>452.89</v>
      </c>
      <c r="P555" s="1" t="s">
        <v>152</v>
      </c>
    </row>
    <row r="556" spans="1:16">
      <c r="A556" s="7">
        <v>40004</v>
      </c>
      <c r="B556" s="1">
        <v>670</v>
      </c>
      <c r="C556" s="1" t="s">
        <v>234</v>
      </c>
      <c r="D556" s="1">
        <v>1</v>
      </c>
      <c r="E556" s="1">
        <v>263.05</v>
      </c>
      <c r="F556" s="1">
        <v>23</v>
      </c>
      <c r="G556" s="1" t="s">
        <v>6</v>
      </c>
      <c r="H556" s="1">
        <v>1661</v>
      </c>
      <c r="K556" s="1" t="s">
        <v>80</v>
      </c>
      <c r="L556" s="1" t="s">
        <v>258</v>
      </c>
      <c r="M556" s="1" t="s">
        <v>259</v>
      </c>
      <c r="N556" s="1" t="s">
        <v>252</v>
      </c>
      <c r="O556" s="1">
        <v>46.75</v>
      </c>
      <c r="P556" s="1" t="s">
        <v>152</v>
      </c>
    </row>
    <row r="557" spans="1:16">
      <c r="A557" s="7">
        <v>40004</v>
      </c>
      <c r="B557" s="1">
        <v>671</v>
      </c>
      <c r="C557" s="1" t="s">
        <v>234</v>
      </c>
      <c r="D557" s="1">
        <v>1</v>
      </c>
      <c r="E557" s="1">
        <v>414.46</v>
      </c>
      <c r="F557" s="1">
        <v>23</v>
      </c>
      <c r="G557" s="1" t="s">
        <v>6</v>
      </c>
      <c r="H557" s="1">
        <v>35</v>
      </c>
      <c r="K557" s="1" t="s">
        <v>110</v>
      </c>
      <c r="L557" s="1" t="s">
        <v>245</v>
      </c>
      <c r="M557" s="1" t="s">
        <v>246</v>
      </c>
      <c r="N557" s="1" t="s">
        <v>253</v>
      </c>
      <c r="O557" s="1">
        <v>1259.5899999999999</v>
      </c>
      <c r="P557" s="1" t="s">
        <v>152</v>
      </c>
    </row>
    <row r="558" spans="1:16">
      <c r="A558" s="7">
        <v>40004</v>
      </c>
      <c r="B558" s="1">
        <v>672</v>
      </c>
      <c r="C558" s="1" t="s">
        <v>234</v>
      </c>
      <c r="D558" s="1">
        <v>1</v>
      </c>
      <c r="E558" s="1">
        <v>705.52</v>
      </c>
      <c r="F558" s="1">
        <v>23</v>
      </c>
      <c r="G558" s="1" t="s">
        <v>6</v>
      </c>
      <c r="H558" s="1">
        <v>1246</v>
      </c>
      <c r="K558" s="1" t="s">
        <v>101</v>
      </c>
      <c r="L558" s="1" t="s">
        <v>245</v>
      </c>
      <c r="M558" s="1" t="s">
        <v>246</v>
      </c>
      <c r="N558" s="1" t="s">
        <v>253</v>
      </c>
      <c r="O558" s="1">
        <v>3055.48</v>
      </c>
      <c r="P558" s="1" t="s">
        <v>152</v>
      </c>
    </row>
    <row r="559" spans="1:16">
      <c r="A559" s="7">
        <v>40004</v>
      </c>
      <c r="B559" s="1">
        <v>673</v>
      </c>
      <c r="C559" s="1" t="s">
        <v>234</v>
      </c>
      <c r="D559" s="1">
        <v>3</v>
      </c>
      <c r="E559" s="1">
        <v>381.58</v>
      </c>
      <c r="F559" s="1">
        <v>23</v>
      </c>
      <c r="G559" s="1" t="s">
        <v>6</v>
      </c>
      <c r="H559" s="1">
        <v>743</v>
      </c>
      <c r="K559" s="1" t="s">
        <v>75</v>
      </c>
      <c r="L559" s="1" t="s">
        <v>245</v>
      </c>
      <c r="M559" s="1" t="s">
        <v>246</v>
      </c>
      <c r="N559" s="1" t="s">
        <v>253</v>
      </c>
      <c r="O559" s="1">
        <v>305</v>
      </c>
      <c r="P559" s="1" t="s">
        <v>152</v>
      </c>
    </row>
    <row r="560" spans="1:16">
      <c r="A560" s="7">
        <v>40004</v>
      </c>
      <c r="B560" s="1">
        <v>678</v>
      </c>
      <c r="C560" s="1" t="s">
        <v>234</v>
      </c>
      <c r="D560" s="1">
        <v>4</v>
      </c>
      <c r="E560" s="1">
        <v>493.48</v>
      </c>
      <c r="F560" s="1">
        <v>23</v>
      </c>
      <c r="G560" s="1" t="s">
        <v>6</v>
      </c>
      <c r="H560" s="1">
        <v>664</v>
      </c>
      <c r="K560" s="1" t="s">
        <v>102</v>
      </c>
      <c r="L560" s="1" t="s">
        <v>245</v>
      </c>
      <c r="M560" s="1" t="s">
        <v>246</v>
      </c>
      <c r="N560" s="1" t="s">
        <v>253</v>
      </c>
      <c r="O560" s="1">
        <v>1638</v>
      </c>
      <c r="P560" s="1" t="s">
        <v>152</v>
      </c>
    </row>
    <row r="561" spans="1:16">
      <c r="A561" s="7">
        <v>40004</v>
      </c>
      <c r="B561" s="1">
        <v>680</v>
      </c>
      <c r="C561" s="1" t="s">
        <v>234</v>
      </c>
      <c r="D561" s="1">
        <v>4</v>
      </c>
      <c r="E561" s="1">
        <v>370.63</v>
      </c>
      <c r="F561" s="1">
        <v>23</v>
      </c>
      <c r="G561" s="1" t="s">
        <v>6</v>
      </c>
      <c r="H561" s="1">
        <v>1032</v>
      </c>
      <c r="K561" s="1" t="s">
        <v>81</v>
      </c>
      <c r="L561" s="1" t="s">
        <v>245</v>
      </c>
      <c r="M561" s="1" t="s">
        <v>246</v>
      </c>
      <c r="N561" s="1" t="s">
        <v>253</v>
      </c>
      <c r="O561" s="1">
        <v>86.39</v>
      </c>
      <c r="P561" s="1" t="s">
        <v>152</v>
      </c>
    </row>
    <row r="562" spans="1:16">
      <c r="A562" s="7">
        <v>40035</v>
      </c>
      <c r="B562" s="1">
        <v>864</v>
      </c>
      <c r="C562" s="1" t="s">
        <v>235</v>
      </c>
      <c r="D562" s="1">
        <v>1</v>
      </c>
      <c r="E562" s="1">
        <v>202.78</v>
      </c>
      <c r="F562" s="1">
        <v>23</v>
      </c>
      <c r="G562" s="1" t="s">
        <v>6</v>
      </c>
      <c r="H562" s="1">
        <v>70</v>
      </c>
      <c r="K562" s="1" t="s">
        <v>100</v>
      </c>
      <c r="L562" s="1" t="s">
        <v>245</v>
      </c>
      <c r="M562" s="1" t="s">
        <v>246</v>
      </c>
      <c r="N562" s="1" t="s">
        <v>253</v>
      </c>
      <c r="O562" s="1">
        <v>535</v>
      </c>
      <c r="P562" s="1" t="s">
        <v>152</v>
      </c>
    </row>
    <row r="563" spans="1:16">
      <c r="A563" s="7">
        <v>40066</v>
      </c>
      <c r="B563" s="1">
        <v>1020</v>
      </c>
      <c r="C563" s="1" t="s">
        <v>234</v>
      </c>
      <c r="D563" s="1">
        <v>4</v>
      </c>
      <c r="E563" s="1">
        <v>230.5</v>
      </c>
      <c r="F563" s="1">
        <v>23</v>
      </c>
      <c r="G563" s="1" t="s">
        <v>42</v>
      </c>
      <c r="H563" s="1">
        <v>1552</v>
      </c>
      <c r="K563" s="1" t="s">
        <v>100</v>
      </c>
      <c r="L563" s="1" t="s">
        <v>245</v>
      </c>
      <c r="M563" s="1" t="s">
        <v>246</v>
      </c>
      <c r="N563" s="1" t="s">
        <v>253</v>
      </c>
      <c r="O563" s="1">
        <v>50</v>
      </c>
      <c r="P563" s="1" t="s">
        <v>152</v>
      </c>
    </row>
    <row r="564" spans="1:16">
      <c r="A564" s="7">
        <v>40066</v>
      </c>
      <c r="B564" s="1">
        <v>1029</v>
      </c>
      <c r="C564" s="1" t="s">
        <v>235</v>
      </c>
      <c r="D564" s="1">
        <v>4</v>
      </c>
      <c r="E564" s="1">
        <v>230.5</v>
      </c>
      <c r="F564" s="1">
        <v>23</v>
      </c>
      <c r="G564" s="1" t="s">
        <v>42</v>
      </c>
      <c r="H564" s="1">
        <v>19</v>
      </c>
      <c r="K564" s="1" t="s">
        <v>86</v>
      </c>
      <c r="L564" s="1" t="s">
        <v>245</v>
      </c>
      <c r="M564" s="1" t="s">
        <v>246</v>
      </c>
      <c r="N564" s="1" t="s">
        <v>253</v>
      </c>
      <c r="O564" s="1">
        <v>125.76</v>
      </c>
      <c r="P564" s="1" t="s">
        <v>152</v>
      </c>
    </row>
    <row r="565" spans="1:16">
      <c r="A565" s="7">
        <v>40066</v>
      </c>
      <c r="B565" s="1">
        <v>1253</v>
      </c>
      <c r="C565" s="1" t="s">
        <v>234</v>
      </c>
      <c r="D565" s="1">
        <v>4</v>
      </c>
      <c r="E565" s="1">
        <v>1246.3499999999999</v>
      </c>
      <c r="F565" s="1">
        <v>23</v>
      </c>
      <c r="G565" s="1" t="s">
        <v>8</v>
      </c>
      <c r="H565" s="1">
        <v>1436</v>
      </c>
      <c r="K565" s="1" t="s">
        <v>103</v>
      </c>
      <c r="L565" s="1" t="s">
        <v>245</v>
      </c>
      <c r="M565" s="1" t="s">
        <v>246</v>
      </c>
      <c r="N565" s="1" t="s">
        <v>253</v>
      </c>
      <c r="O565" s="1">
        <v>341.07</v>
      </c>
      <c r="P565" s="1" t="s">
        <v>152</v>
      </c>
    </row>
    <row r="566" spans="1:16">
      <c r="A566" s="7">
        <v>40066</v>
      </c>
      <c r="B566" s="1">
        <v>1253</v>
      </c>
      <c r="C566" s="1" t="s">
        <v>234</v>
      </c>
      <c r="D566" s="1">
        <v>4</v>
      </c>
      <c r="E566" s="1">
        <v>78</v>
      </c>
      <c r="F566" s="1">
        <v>23</v>
      </c>
      <c r="G566" s="1" t="s">
        <v>11</v>
      </c>
      <c r="H566" s="1">
        <v>1436</v>
      </c>
      <c r="K566" s="1" t="s">
        <v>103</v>
      </c>
      <c r="L566" s="1" t="s">
        <v>245</v>
      </c>
      <c r="M566" s="1" t="s">
        <v>246</v>
      </c>
      <c r="N566" s="1" t="s">
        <v>253</v>
      </c>
      <c r="O566" s="1">
        <v>39.24</v>
      </c>
      <c r="P566" s="1" t="s">
        <v>152</v>
      </c>
    </row>
    <row r="567" spans="1:16">
      <c r="A567" s="7">
        <v>40066</v>
      </c>
      <c r="B567" s="1">
        <v>1024</v>
      </c>
      <c r="C567" s="1" t="s">
        <v>235</v>
      </c>
      <c r="D567" s="1">
        <v>4</v>
      </c>
      <c r="E567" s="1">
        <v>663.95</v>
      </c>
      <c r="F567" s="1">
        <v>23</v>
      </c>
      <c r="G567" s="1" t="s">
        <v>12</v>
      </c>
      <c r="H567" s="1">
        <v>1796</v>
      </c>
      <c r="K567" s="1" t="s">
        <v>77</v>
      </c>
      <c r="L567" s="1" t="s">
        <v>245</v>
      </c>
      <c r="M567" s="1" t="s">
        <v>246</v>
      </c>
      <c r="N567" s="1" t="s">
        <v>253</v>
      </c>
      <c r="O567" s="1">
        <v>331.66</v>
      </c>
      <c r="P567" s="1" t="s">
        <v>152</v>
      </c>
    </row>
    <row r="568" spans="1:16">
      <c r="A568" s="7">
        <v>40066</v>
      </c>
      <c r="B568" s="1">
        <v>1027</v>
      </c>
      <c r="C568" s="1" t="s">
        <v>234</v>
      </c>
      <c r="D568" s="1">
        <v>4</v>
      </c>
      <c r="E568" s="1">
        <v>460.7</v>
      </c>
      <c r="F568" s="1">
        <v>23</v>
      </c>
      <c r="G568" s="1" t="s">
        <v>12</v>
      </c>
      <c r="H568" s="1">
        <v>1128</v>
      </c>
      <c r="K568" s="1" t="s">
        <v>156</v>
      </c>
      <c r="L568" s="1" t="s">
        <v>245</v>
      </c>
      <c r="M568" s="1" t="s">
        <v>246</v>
      </c>
      <c r="N568" s="1" t="s">
        <v>253</v>
      </c>
      <c r="O568" s="1">
        <v>45.71</v>
      </c>
      <c r="P568" s="1" t="s">
        <v>152</v>
      </c>
    </row>
    <row r="569" spans="1:16">
      <c r="A569" s="7">
        <v>40066</v>
      </c>
      <c r="B569" s="1">
        <v>1031</v>
      </c>
      <c r="C569" s="1" t="s">
        <v>234</v>
      </c>
      <c r="D569" s="1">
        <v>4</v>
      </c>
      <c r="E569" s="1">
        <v>596.20000000000005</v>
      </c>
      <c r="F569" s="1">
        <v>23</v>
      </c>
      <c r="G569" s="1" t="s">
        <v>12</v>
      </c>
      <c r="H569" s="1">
        <v>1794</v>
      </c>
      <c r="K569" s="1" t="s">
        <v>77</v>
      </c>
      <c r="L569" s="1" t="s">
        <v>245</v>
      </c>
      <c r="M569" s="1" t="s">
        <v>246</v>
      </c>
      <c r="N569" s="1" t="s">
        <v>253</v>
      </c>
      <c r="O569" s="1">
        <v>283.05</v>
      </c>
      <c r="P569" s="1" t="s">
        <v>152</v>
      </c>
    </row>
    <row r="570" spans="1:16">
      <c r="A570" s="7">
        <v>40066</v>
      </c>
      <c r="B570" s="1">
        <v>1041</v>
      </c>
      <c r="C570" s="1" t="s">
        <v>235</v>
      </c>
      <c r="D570" s="1">
        <v>4</v>
      </c>
      <c r="E570" s="1">
        <v>544.9</v>
      </c>
      <c r="F570" s="1">
        <v>23</v>
      </c>
      <c r="G570" s="1" t="s">
        <v>12</v>
      </c>
      <c r="H570" s="1">
        <v>401</v>
      </c>
      <c r="K570" s="1" t="s">
        <v>81</v>
      </c>
      <c r="L570" s="1" t="s">
        <v>245</v>
      </c>
      <c r="M570" s="1" t="s">
        <v>246</v>
      </c>
      <c r="N570" s="1" t="s">
        <v>253</v>
      </c>
      <c r="O570" s="1">
        <v>105</v>
      </c>
      <c r="P570" s="1" t="s">
        <v>152</v>
      </c>
    </row>
    <row r="571" spans="1:16">
      <c r="A571" s="7">
        <v>40066</v>
      </c>
      <c r="B571" s="1">
        <v>1044</v>
      </c>
      <c r="C571" s="1" t="s">
        <v>234</v>
      </c>
      <c r="D571" s="1">
        <v>4</v>
      </c>
      <c r="E571" s="1">
        <v>620.58000000000004</v>
      </c>
      <c r="F571" s="1">
        <v>23</v>
      </c>
      <c r="G571" s="1" t="s">
        <v>12</v>
      </c>
      <c r="H571" s="1">
        <v>417</v>
      </c>
      <c r="K571" s="1" t="s">
        <v>77</v>
      </c>
      <c r="L571" s="1" t="s">
        <v>245</v>
      </c>
      <c r="M571" s="1" t="s">
        <v>246</v>
      </c>
      <c r="N571" s="1" t="s">
        <v>253</v>
      </c>
      <c r="O571" s="1">
        <v>294.89</v>
      </c>
      <c r="P571" s="1" t="s">
        <v>152</v>
      </c>
    </row>
    <row r="572" spans="1:16">
      <c r="A572" s="7">
        <v>40066</v>
      </c>
      <c r="B572" s="1">
        <v>1022</v>
      </c>
      <c r="C572" s="1" t="s">
        <v>234</v>
      </c>
      <c r="D572" s="1">
        <v>1</v>
      </c>
      <c r="E572" s="1">
        <v>973.14</v>
      </c>
      <c r="F572" s="1">
        <v>23</v>
      </c>
      <c r="G572" s="1" t="s">
        <v>13</v>
      </c>
      <c r="H572" s="1">
        <v>1786</v>
      </c>
      <c r="K572" s="1" t="s">
        <v>102</v>
      </c>
      <c r="L572" s="1" t="s">
        <v>245</v>
      </c>
      <c r="M572" s="1" t="s">
        <v>246</v>
      </c>
      <c r="N572" s="1" t="s">
        <v>253</v>
      </c>
      <c r="O572" s="1">
        <v>437.84</v>
      </c>
      <c r="P572" s="1" t="s">
        <v>152</v>
      </c>
    </row>
    <row r="573" spans="1:16">
      <c r="A573" s="7">
        <v>40066</v>
      </c>
      <c r="B573" s="1">
        <v>1025</v>
      </c>
      <c r="C573" s="1" t="s">
        <v>235</v>
      </c>
      <c r="D573" s="1">
        <v>4</v>
      </c>
      <c r="E573" s="1">
        <v>395.34</v>
      </c>
      <c r="F573" s="1">
        <v>23</v>
      </c>
      <c r="G573" s="1" t="s">
        <v>13</v>
      </c>
      <c r="H573" s="1">
        <v>1138</v>
      </c>
      <c r="K573" s="1" t="s">
        <v>80</v>
      </c>
      <c r="L573" s="1" t="s">
        <v>245</v>
      </c>
      <c r="M573" s="1" t="s">
        <v>246</v>
      </c>
      <c r="N573" s="1" t="s">
        <v>253</v>
      </c>
      <c r="O573" s="1">
        <v>608.17999999999995</v>
      </c>
      <c r="P573" s="1" t="s">
        <v>152</v>
      </c>
    </row>
    <row r="574" spans="1:16">
      <c r="A574" s="7">
        <v>40066</v>
      </c>
      <c r="B574" s="1">
        <v>1035</v>
      </c>
      <c r="C574" s="1" t="s">
        <v>235</v>
      </c>
      <c r="D574" s="1">
        <v>4</v>
      </c>
      <c r="E574" s="1">
        <v>565.59</v>
      </c>
      <c r="F574" s="1">
        <v>23</v>
      </c>
      <c r="G574" s="1" t="s">
        <v>13</v>
      </c>
      <c r="H574" s="1">
        <v>1107</v>
      </c>
      <c r="K574" s="1" t="s">
        <v>80</v>
      </c>
      <c r="L574" s="1" t="s">
        <v>245</v>
      </c>
      <c r="M574" s="1" t="s">
        <v>246</v>
      </c>
      <c r="N574" s="1" t="s">
        <v>253</v>
      </c>
      <c r="O574" s="1">
        <v>49.67</v>
      </c>
      <c r="P574" s="1" t="s">
        <v>152</v>
      </c>
    </row>
    <row r="575" spans="1:16">
      <c r="A575" s="7">
        <v>40066</v>
      </c>
      <c r="B575" s="1">
        <v>1046</v>
      </c>
      <c r="C575" s="1" t="s">
        <v>234</v>
      </c>
      <c r="D575" s="1">
        <v>1</v>
      </c>
      <c r="E575" s="1">
        <v>658.35</v>
      </c>
      <c r="F575" s="1">
        <v>23</v>
      </c>
      <c r="G575" s="1" t="s">
        <v>13</v>
      </c>
      <c r="H575" s="1">
        <v>1427</v>
      </c>
      <c r="K575" s="1" t="s">
        <v>80</v>
      </c>
      <c r="L575" s="1" t="s">
        <v>245</v>
      </c>
      <c r="M575" s="1" t="s">
        <v>246</v>
      </c>
      <c r="N575" s="1" t="s">
        <v>253</v>
      </c>
      <c r="O575" s="1">
        <v>504</v>
      </c>
      <c r="P575" s="1" t="s">
        <v>152</v>
      </c>
    </row>
    <row r="576" spans="1:16">
      <c r="A576" s="7">
        <v>40066</v>
      </c>
      <c r="B576" s="1">
        <v>1048</v>
      </c>
      <c r="C576" s="1" t="s">
        <v>234</v>
      </c>
      <c r="D576" s="1">
        <v>3</v>
      </c>
      <c r="E576" s="1">
        <v>830.78</v>
      </c>
      <c r="F576" s="1">
        <v>23</v>
      </c>
      <c r="G576" s="1" t="s">
        <v>13</v>
      </c>
      <c r="H576" s="1">
        <v>1506</v>
      </c>
      <c r="K576" s="1" t="s">
        <v>80</v>
      </c>
      <c r="L576" s="1" t="s">
        <v>245</v>
      </c>
      <c r="M576" s="1" t="s">
        <v>246</v>
      </c>
      <c r="N576" s="1" t="s">
        <v>253</v>
      </c>
      <c r="O576" s="1">
        <v>184.6</v>
      </c>
      <c r="P576" s="1" t="s">
        <v>152</v>
      </c>
    </row>
    <row r="577" spans="1:16">
      <c r="A577" s="7">
        <v>40066</v>
      </c>
      <c r="B577" s="1">
        <v>1033</v>
      </c>
      <c r="C577" s="1" t="s">
        <v>235</v>
      </c>
      <c r="D577" s="1">
        <v>4</v>
      </c>
      <c r="E577" s="1">
        <v>1065.9000000000001</v>
      </c>
      <c r="F577" s="1">
        <v>23</v>
      </c>
      <c r="G577" s="1" t="s">
        <v>3</v>
      </c>
      <c r="H577" s="1">
        <v>1789</v>
      </c>
      <c r="K577" s="1" t="s">
        <v>80</v>
      </c>
      <c r="L577" s="1" t="s">
        <v>245</v>
      </c>
      <c r="M577" s="1" t="s">
        <v>246</v>
      </c>
      <c r="N577" s="1" t="s">
        <v>253</v>
      </c>
      <c r="O577" s="1">
        <v>142.6</v>
      </c>
      <c r="P577" s="1" t="s">
        <v>152</v>
      </c>
    </row>
    <row r="578" spans="1:16">
      <c r="A578" s="7">
        <v>40066</v>
      </c>
      <c r="B578" s="1">
        <v>1034</v>
      </c>
      <c r="C578" s="1" t="s">
        <v>235</v>
      </c>
      <c r="D578" s="1">
        <v>4</v>
      </c>
      <c r="E578" s="1">
        <v>494.25</v>
      </c>
      <c r="F578" s="1">
        <v>23</v>
      </c>
      <c r="G578" s="1" t="s">
        <v>3</v>
      </c>
      <c r="H578" s="1">
        <v>98</v>
      </c>
      <c r="K578" s="1" t="s">
        <v>80</v>
      </c>
      <c r="L578" s="1" t="s">
        <v>245</v>
      </c>
      <c r="M578" s="1" t="s">
        <v>246</v>
      </c>
      <c r="N578" s="1" t="s">
        <v>253</v>
      </c>
      <c r="O578" s="1">
        <v>471</v>
      </c>
      <c r="P578" s="1" t="s">
        <v>152</v>
      </c>
    </row>
    <row r="579" spans="1:16">
      <c r="A579" s="7">
        <v>40066</v>
      </c>
      <c r="B579" s="1">
        <v>1043</v>
      </c>
      <c r="C579" s="1" t="s">
        <v>234</v>
      </c>
      <c r="D579" s="1">
        <v>4</v>
      </c>
      <c r="E579" s="1">
        <v>1065.9000000000001</v>
      </c>
      <c r="F579" s="1">
        <v>23</v>
      </c>
      <c r="G579" s="1" t="s">
        <v>3</v>
      </c>
      <c r="H579" s="1">
        <v>1349</v>
      </c>
      <c r="K579" s="1" t="s">
        <v>80</v>
      </c>
      <c r="L579" s="1" t="s">
        <v>245</v>
      </c>
      <c r="M579" s="1" t="s">
        <v>246</v>
      </c>
      <c r="N579" s="1" t="s">
        <v>253</v>
      </c>
      <c r="O579" s="1">
        <v>191.37</v>
      </c>
      <c r="P579" s="1" t="s">
        <v>152</v>
      </c>
    </row>
    <row r="580" spans="1:16">
      <c r="A580" s="7">
        <v>40066</v>
      </c>
      <c r="B580" s="1">
        <v>1045</v>
      </c>
      <c r="C580" s="1" t="s">
        <v>234</v>
      </c>
      <c r="D580" s="1">
        <v>4</v>
      </c>
      <c r="E580" s="1">
        <v>940.5</v>
      </c>
      <c r="F580" s="1">
        <v>23</v>
      </c>
      <c r="G580" s="1" t="s">
        <v>3</v>
      </c>
      <c r="H580" s="1">
        <v>2099</v>
      </c>
      <c r="K580" s="1" t="s">
        <v>80</v>
      </c>
      <c r="L580" s="1" t="s">
        <v>245</v>
      </c>
      <c r="M580" s="1" t="s">
        <v>246</v>
      </c>
      <c r="N580" s="1" t="s">
        <v>253</v>
      </c>
      <c r="O580" s="1">
        <v>66.14</v>
      </c>
      <c r="P580" s="1" t="s">
        <v>152</v>
      </c>
    </row>
    <row r="581" spans="1:16">
      <c r="A581" s="7">
        <v>40066</v>
      </c>
      <c r="B581" s="1">
        <v>1028</v>
      </c>
      <c r="C581" s="1" t="s">
        <v>234</v>
      </c>
      <c r="D581" s="1">
        <v>4</v>
      </c>
      <c r="E581" s="1">
        <v>45</v>
      </c>
      <c r="F581" s="1">
        <v>23</v>
      </c>
      <c r="G581" s="1" t="s">
        <v>15</v>
      </c>
      <c r="H581" s="1">
        <v>1801</v>
      </c>
      <c r="K581" s="1" t="s">
        <v>104</v>
      </c>
      <c r="L581" s="1" t="s">
        <v>245</v>
      </c>
      <c r="M581" s="1" t="s">
        <v>246</v>
      </c>
      <c r="N581" s="1" t="s">
        <v>253</v>
      </c>
      <c r="O581" s="1">
        <v>91.74</v>
      </c>
      <c r="P581" s="1" t="s">
        <v>152</v>
      </c>
    </row>
    <row r="582" spans="1:16">
      <c r="A582" s="7">
        <v>40066</v>
      </c>
      <c r="B582" s="1">
        <v>1036</v>
      </c>
      <c r="C582" s="1" t="s">
        <v>235</v>
      </c>
      <c r="D582" s="1">
        <v>4</v>
      </c>
      <c r="E582" s="1">
        <v>45</v>
      </c>
      <c r="F582" s="1">
        <v>23</v>
      </c>
      <c r="G582" s="1" t="s">
        <v>15</v>
      </c>
      <c r="H582" s="1">
        <v>816</v>
      </c>
      <c r="K582" s="1" t="s">
        <v>123</v>
      </c>
      <c r="L582" s="1" t="s">
        <v>245</v>
      </c>
      <c r="M582" s="1" t="s">
        <v>246</v>
      </c>
      <c r="N582" s="1" t="s">
        <v>253</v>
      </c>
      <c r="O582" s="1">
        <v>145</v>
      </c>
      <c r="P582" s="1" t="s">
        <v>152</v>
      </c>
    </row>
    <row r="583" spans="1:16">
      <c r="A583" s="7">
        <v>40066</v>
      </c>
      <c r="B583" s="1">
        <v>1037</v>
      </c>
      <c r="C583" s="1" t="s">
        <v>235</v>
      </c>
      <c r="D583" s="1">
        <v>4</v>
      </c>
      <c r="E583" s="1">
        <v>45</v>
      </c>
      <c r="F583" s="1">
        <v>23</v>
      </c>
      <c r="G583" s="1" t="s">
        <v>15</v>
      </c>
      <c r="H583" s="1">
        <v>1217</v>
      </c>
      <c r="K583" s="1" t="s">
        <v>104</v>
      </c>
      <c r="L583" s="1" t="s">
        <v>245</v>
      </c>
      <c r="M583" s="1" t="s">
        <v>246</v>
      </c>
      <c r="N583" s="1" t="s">
        <v>253</v>
      </c>
      <c r="O583" s="1">
        <v>21.51</v>
      </c>
      <c r="P583" s="1" t="s">
        <v>152</v>
      </c>
    </row>
    <row r="584" spans="1:16">
      <c r="A584" s="7">
        <v>40066</v>
      </c>
      <c r="B584" s="1">
        <v>1038</v>
      </c>
      <c r="C584" s="1" t="s">
        <v>235</v>
      </c>
      <c r="D584" s="1">
        <v>4</v>
      </c>
      <c r="E584" s="1">
        <v>45</v>
      </c>
      <c r="F584" s="1">
        <v>23</v>
      </c>
      <c r="G584" s="1" t="s">
        <v>15</v>
      </c>
      <c r="H584" s="1">
        <v>1464</v>
      </c>
      <c r="K584" s="1" t="s">
        <v>104</v>
      </c>
      <c r="L584" s="1" t="s">
        <v>245</v>
      </c>
      <c r="M584" s="1" t="s">
        <v>246</v>
      </c>
      <c r="N584" s="1" t="s">
        <v>253</v>
      </c>
      <c r="O584" s="1">
        <v>8.82</v>
      </c>
      <c r="P584" s="1" t="s">
        <v>152</v>
      </c>
    </row>
    <row r="585" spans="1:16">
      <c r="A585" s="7">
        <v>40066</v>
      </c>
      <c r="B585" s="1">
        <v>1039</v>
      </c>
      <c r="C585" s="1" t="s">
        <v>235</v>
      </c>
      <c r="D585" s="1">
        <v>4</v>
      </c>
      <c r="E585" s="1">
        <v>45</v>
      </c>
      <c r="F585" s="1">
        <v>23</v>
      </c>
      <c r="G585" s="1" t="s">
        <v>15</v>
      </c>
      <c r="H585" s="1">
        <v>1420</v>
      </c>
      <c r="K585" s="1" t="s">
        <v>100</v>
      </c>
      <c r="L585" s="1" t="s">
        <v>245</v>
      </c>
      <c r="M585" s="1" t="s">
        <v>246</v>
      </c>
      <c r="N585" s="1" t="s">
        <v>253</v>
      </c>
      <c r="O585" s="1">
        <v>100</v>
      </c>
      <c r="P585" s="1" t="s">
        <v>152</v>
      </c>
    </row>
    <row r="586" spans="1:16">
      <c r="A586" s="7">
        <v>40066</v>
      </c>
      <c r="B586" s="1">
        <v>1040</v>
      </c>
      <c r="C586" s="1" t="s">
        <v>235</v>
      </c>
      <c r="D586" s="1">
        <v>4</v>
      </c>
      <c r="E586" s="1">
        <v>45</v>
      </c>
      <c r="F586" s="1">
        <v>23</v>
      </c>
      <c r="G586" s="1" t="s">
        <v>15</v>
      </c>
      <c r="H586" s="1">
        <v>2098</v>
      </c>
      <c r="K586" s="1" t="s">
        <v>100</v>
      </c>
      <c r="L586" s="1" t="s">
        <v>245</v>
      </c>
      <c r="M586" s="1" t="s">
        <v>246</v>
      </c>
      <c r="N586" s="1" t="s">
        <v>253</v>
      </c>
      <c r="O586" s="1">
        <v>435.9</v>
      </c>
      <c r="P586" s="1" t="s">
        <v>152</v>
      </c>
    </row>
    <row r="587" spans="1:16">
      <c r="A587" s="7">
        <v>40066</v>
      </c>
      <c r="B587" s="1">
        <v>1021</v>
      </c>
      <c r="C587" s="1" t="s">
        <v>234</v>
      </c>
      <c r="D587" s="1">
        <v>8</v>
      </c>
      <c r="E587" s="1">
        <v>990.59</v>
      </c>
      <c r="F587" s="1">
        <v>23</v>
      </c>
      <c r="G587" s="1" t="s">
        <v>5</v>
      </c>
      <c r="H587" s="1">
        <v>2096</v>
      </c>
      <c r="K587" s="1" t="s">
        <v>106</v>
      </c>
      <c r="L587" s="1" t="s">
        <v>245</v>
      </c>
      <c r="M587" s="1" t="s">
        <v>246</v>
      </c>
      <c r="N587" s="1" t="s">
        <v>253</v>
      </c>
      <c r="O587" s="1">
        <v>468.08</v>
      </c>
      <c r="P587" s="1" t="s">
        <v>152</v>
      </c>
    </row>
    <row r="588" spans="1:16">
      <c r="A588" s="7">
        <v>40066</v>
      </c>
      <c r="B588" s="1">
        <v>1047</v>
      </c>
      <c r="C588" s="1" t="s">
        <v>235</v>
      </c>
      <c r="D588" s="1">
        <v>1</v>
      </c>
      <c r="E588" s="1">
        <v>437.44</v>
      </c>
      <c r="F588" s="1">
        <v>23</v>
      </c>
      <c r="G588" s="1" t="s">
        <v>5</v>
      </c>
      <c r="H588" s="1">
        <v>1732</v>
      </c>
      <c r="K588" s="1" t="s">
        <v>104</v>
      </c>
      <c r="L588" s="1" t="s">
        <v>245</v>
      </c>
      <c r="M588" s="1" t="s">
        <v>246</v>
      </c>
      <c r="N588" s="1" t="s">
        <v>253</v>
      </c>
      <c r="O588" s="1">
        <v>200</v>
      </c>
      <c r="P588" s="1" t="s">
        <v>152</v>
      </c>
    </row>
    <row r="589" spans="1:16">
      <c r="A589" s="7">
        <v>40066</v>
      </c>
      <c r="B589" s="1">
        <v>1049</v>
      </c>
      <c r="C589" s="1" t="s">
        <v>234</v>
      </c>
      <c r="D589" s="1">
        <v>1</v>
      </c>
      <c r="E589" s="1">
        <v>437.44</v>
      </c>
      <c r="F589" s="1">
        <v>23</v>
      </c>
      <c r="G589" s="1" t="s">
        <v>5</v>
      </c>
      <c r="H589" s="1">
        <v>423</v>
      </c>
      <c r="K589" s="1" t="s">
        <v>125</v>
      </c>
      <c r="L589" s="1" t="s">
        <v>245</v>
      </c>
      <c r="M589" s="1" t="s">
        <v>246</v>
      </c>
      <c r="N589" s="1" t="s">
        <v>253</v>
      </c>
      <c r="O589" s="1">
        <v>3442.29</v>
      </c>
      <c r="P589" s="1" t="s">
        <v>152</v>
      </c>
    </row>
    <row r="590" spans="1:16">
      <c r="A590" s="7">
        <v>40066</v>
      </c>
      <c r="B590" s="1">
        <v>983</v>
      </c>
      <c r="C590" s="1" t="s">
        <v>234</v>
      </c>
      <c r="D590" s="1">
        <v>4</v>
      </c>
      <c r="E590" s="1">
        <v>742.37</v>
      </c>
      <c r="F590" s="1">
        <v>23</v>
      </c>
      <c r="G590" s="1" t="s">
        <v>6</v>
      </c>
      <c r="H590" s="1">
        <v>27</v>
      </c>
      <c r="K590" s="1" t="s">
        <v>80</v>
      </c>
      <c r="L590" s="1" t="s">
        <v>245</v>
      </c>
      <c r="M590" s="1" t="s">
        <v>246</v>
      </c>
      <c r="N590" s="1" t="s">
        <v>253</v>
      </c>
      <c r="O590" s="1">
        <v>24.8</v>
      </c>
      <c r="P590" s="1" t="s">
        <v>152</v>
      </c>
    </row>
    <row r="591" spans="1:16">
      <c r="A591" s="7">
        <v>40066</v>
      </c>
      <c r="B591" s="1">
        <v>1026</v>
      </c>
      <c r="C591" s="1" t="s">
        <v>234</v>
      </c>
      <c r="D591" s="1">
        <v>4</v>
      </c>
      <c r="E591" s="1">
        <v>888.58</v>
      </c>
      <c r="F591" s="1">
        <v>23</v>
      </c>
      <c r="G591" s="1" t="s">
        <v>6</v>
      </c>
      <c r="H591" s="1">
        <v>2097</v>
      </c>
      <c r="K591" s="1" t="s">
        <v>80</v>
      </c>
      <c r="L591" s="1" t="s">
        <v>245</v>
      </c>
      <c r="M591" s="1" t="s">
        <v>246</v>
      </c>
      <c r="N591" s="1" t="s">
        <v>253</v>
      </c>
      <c r="O591" s="1">
        <v>23.6</v>
      </c>
      <c r="P591" s="1" t="s">
        <v>152</v>
      </c>
    </row>
    <row r="592" spans="1:16">
      <c r="A592" s="7">
        <v>40066</v>
      </c>
      <c r="B592" s="1">
        <v>1042</v>
      </c>
      <c r="C592" s="1" t="s">
        <v>234</v>
      </c>
      <c r="D592" s="1">
        <v>4</v>
      </c>
      <c r="E592" s="1">
        <v>80</v>
      </c>
      <c r="F592" s="1">
        <v>23</v>
      </c>
      <c r="G592" s="1" t="s">
        <v>18</v>
      </c>
      <c r="H592" s="1">
        <v>1936</v>
      </c>
      <c r="K592" s="1" t="s">
        <v>80</v>
      </c>
      <c r="L592" s="1" t="s">
        <v>245</v>
      </c>
      <c r="M592" s="1" t="s">
        <v>246</v>
      </c>
      <c r="N592" s="1" t="s">
        <v>253</v>
      </c>
      <c r="O592" s="1">
        <v>28.43</v>
      </c>
      <c r="P592" s="1" t="s">
        <v>152</v>
      </c>
    </row>
    <row r="593" spans="1:16">
      <c r="A593" s="7">
        <v>40127</v>
      </c>
      <c r="B593" s="1">
        <v>605</v>
      </c>
      <c r="C593" s="1" t="s">
        <v>234</v>
      </c>
      <c r="D593" s="1">
        <v>4</v>
      </c>
      <c r="E593" s="1">
        <v>100</v>
      </c>
      <c r="F593" s="1">
        <v>23</v>
      </c>
      <c r="G593" s="1" t="s">
        <v>45</v>
      </c>
      <c r="H593" s="1">
        <v>2044</v>
      </c>
      <c r="K593" s="1" t="s">
        <v>76</v>
      </c>
      <c r="L593" s="1" t="s">
        <v>245</v>
      </c>
      <c r="M593" s="1" t="s">
        <v>246</v>
      </c>
      <c r="N593" s="1" t="s">
        <v>253</v>
      </c>
      <c r="O593" s="1">
        <v>324</v>
      </c>
      <c r="P593" s="1" t="s">
        <v>152</v>
      </c>
    </row>
    <row r="594" spans="1:16">
      <c r="A594" s="7">
        <v>40127</v>
      </c>
      <c r="B594" s="1">
        <v>1515</v>
      </c>
      <c r="C594" s="1" t="s">
        <v>235</v>
      </c>
      <c r="D594" s="1">
        <v>4</v>
      </c>
      <c r="E594" s="1">
        <v>80</v>
      </c>
      <c r="F594" s="1">
        <v>23</v>
      </c>
      <c r="G594" s="1" t="s">
        <v>18</v>
      </c>
      <c r="H594" s="1">
        <v>2196</v>
      </c>
      <c r="K594" s="1" t="s">
        <v>89</v>
      </c>
      <c r="L594" s="1" t="s">
        <v>245</v>
      </c>
      <c r="M594" s="1" t="s">
        <v>246</v>
      </c>
      <c r="N594" s="1" t="s">
        <v>253</v>
      </c>
      <c r="O594" s="1">
        <v>35.1</v>
      </c>
      <c r="P594" s="1" t="s">
        <v>152</v>
      </c>
    </row>
    <row r="595" spans="1:16">
      <c r="A595" s="7">
        <v>40127</v>
      </c>
      <c r="B595" s="1">
        <v>1516</v>
      </c>
      <c r="C595" s="1" t="s">
        <v>235</v>
      </c>
      <c r="D595" s="1">
        <v>4</v>
      </c>
      <c r="E595" s="1">
        <v>80</v>
      </c>
      <c r="F595" s="1">
        <v>23</v>
      </c>
      <c r="G595" s="1" t="s">
        <v>18</v>
      </c>
      <c r="H595" s="1">
        <v>2197</v>
      </c>
      <c r="K595" s="1" t="s">
        <v>110</v>
      </c>
      <c r="L595" s="1" t="s">
        <v>245</v>
      </c>
      <c r="M595" s="1" t="s">
        <v>246</v>
      </c>
      <c r="N595" s="1" t="s">
        <v>253</v>
      </c>
      <c r="O595" s="1">
        <v>540.79999999999995</v>
      </c>
      <c r="P595" s="1" t="s">
        <v>152</v>
      </c>
    </row>
    <row r="596" spans="1:16">
      <c r="A596" s="7">
        <v>40127</v>
      </c>
      <c r="B596" s="1">
        <v>1518</v>
      </c>
      <c r="C596" s="1" t="s">
        <v>234</v>
      </c>
      <c r="D596" s="1">
        <v>4</v>
      </c>
      <c r="E596" s="1">
        <v>15</v>
      </c>
      <c r="F596" s="1">
        <v>23</v>
      </c>
      <c r="G596" s="1" t="s">
        <v>18</v>
      </c>
      <c r="H596" s="1">
        <v>2198</v>
      </c>
      <c r="K596" s="1" t="s">
        <v>107</v>
      </c>
      <c r="L596" s="1" t="s">
        <v>245</v>
      </c>
      <c r="M596" s="1" t="s">
        <v>246</v>
      </c>
      <c r="N596" s="1" t="s">
        <v>253</v>
      </c>
      <c r="O596" s="1">
        <v>40.119999999999997</v>
      </c>
      <c r="P596" s="1" t="s">
        <v>152</v>
      </c>
    </row>
    <row r="597" spans="1:16">
      <c r="A597" s="7">
        <v>40127</v>
      </c>
      <c r="B597" s="1">
        <v>1519</v>
      </c>
      <c r="C597" s="1" t="s">
        <v>234</v>
      </c>
      <c r="D597" s="1">
        <v>4</v>
      </c>
      <c r="E597" s="1">
        <v>80</v>
      </c>
      <c r="F597" s="1">
        <v>23</v>
      </c>
      <c r="G597" s="1" t="s">
        <v>18</v>
      </c>
      <c r="H597" s="1">
        <v>1943</v>
      </c>
      <c r="K597" s="1" t="s">
        <v>72</v>
      </c>
      <c r="L597" s="1" t="s">
        <v>245</v>
      </c>
      <c r="M597" s="1" t="s">
        <v>246</v>
      </c>
      <c r="N597" s="1" t="s">
        <v>253</v>
      </c>
      <c r="O597" s="1">
        <v>500</v>
      </c>
      <c r="P597" s="1" t="s">
        <v>152</v>
      </c>
    </row>
    <row r="598" spans="1:16">
      <c r="A598" s="7">
        <v>40127</v>
      </c>
      <c r="B598" s="1">
        <v>1472</v>
      </c>
      <c r="C598" s="1" t="s">
        <v>234</v>
      </c>
      <c r="D598" s="1">
        <v>1</v>
      </c>
      <c r="E598" s="1">
        <v>15337.37</v>
      </c>
      <c r="F598" s="1">
        <v>23</v>
      </c>
      <c r="G598" s="1" t="s">
        <v>38</v>
      </c>
      <c r="H598" s="1">
        <v>0</v>
      </c>
      <c r="K598" s="1" t="s">
        <v>103</v>
      </c>
      <c r="L598" s="1" t="s">
        <v>245</v>
      </c>
      <c r="M598" s="1" t="s">
        <v>246</v>
      </c>
      <c r="N598" s="1" t="s">
        <v>253</v>
      </c>
      <c r="O598" s="1">
        <v>63.2</v>
      </c>
      <c r="P598" s="1" t="s">
        <v>152</v>
      </c>
    </row>
    <row r="599" spans="1:16">
      <c r="A599" s="7">
        <v>39855</v>
      </c>
      <c r="B599" s="1">
        <v>243</v>
      </c>
      <c r="C599" s="1" t="s">
        <v>234</v>
      </c>
      <c r="D599" s="1">
        <v>1</v>
      </c>
      <c r="E599" s="1">
        <v>1020.16</v>
      </c>
      <c r="F599" s="1">
        <v>23</v>
      </c>
      <c r="G599" s="1" t="s">
        <v>13</v>
      </c>
      <c r="H599" s="1">
        <v>0</v>
      </c>
      <c r="K599" s="1" t="s">
        <v>108</v>
      </c>
      <c r="L599" s="1" t="s">
        <v>245</v>
      </c>
      <c r="M599" s="1" t="s">
        <v>246</v>
      </c>
      <c r="N599" s="1" t="s">
        <v>253</v>
      </c>
      <c r="O599" s="1">
        <v>82.86</v>
      </c>
      <c r="P599" s="1" t="s">
        <v>152</v>
      </c>
    </row>
    <row r="600" spans="1:16">
      <c r="A600" s="7">
        <v>39855</v>
      </c>
      <c r="B600" s="1">
        <v>236</v>
      </c>
      <c r="C600" s="1" t="s">
        <v>234</v>
      </c>
      <c r="D600" s="1">
        <v>4</v>
      </c>
      <c r="E600" s="1">
        <v>454.57</v>
      </c>
      <c r="F600" s="1">
        <v>23</v>
      </c>
      <c r="G600" s="1" t="s">
        <v>3</v>
      </c>
      <c r="H600" s="1">
        <v>1847</v>
      </c>
      <c r="K600" s="1" t="s">
        <v>109</v>
      </c>
      <c r="L600" s="1" t="s">
        <v>245</v>
      </c>
      <c r="M600" s="1" t="s">
        <v>246</v>
      </c>
      <c r="N600" s="1" t="s">
        <v>253</v>
      </c>
      <c r="O600" s="1">
        <v>10.4</v>
      </c>
      <c r="P600" s="1" t="s">
        <v>152</v>
      </c>
    </row>
    <row r="601" spans="1:16">
      <c r="A601" s="7">
        <v>39855</v>
      </c>
      <c r="B601" s="1">
        <v>258</v>
      </c>
      <c r="C601" s="1" t="s">
        <v>235</v>
      </c>
      <c r="D601" s="1">
        <v>4</v>
      </c>
      <c r="E601" s="1">
        <v>282.14999999999998</v>
      </c>
      <c r="F601" s="1">
        <v>23</v>
      </c>
      <c r="G601" s="1" t="s">
        <v>3</v>
      </c>
      <c r="H601" s="1">
        <v>1377</v>
      </c>
      <c r="K601" s="1" t="s">
        <v>88</v>
      </c>
      <c r="L601" s="1" t="s">
        <v>245</v>
      </c>
      <c r="M601" s="1" t="s">
        <v>246</v>
      </c>
      <c r="N601" s="1" t="s">
        <v>253</v>
      </c>
      <c r="O601" s="1">
        <v>13.9</v>
      </c>
      <c r="P601" s="1" t="s">
        <v>152</v>
      </c>
    </row>
    <row r="602" spans="1:16">
      <c r="A602" s="7">
        <v>39855</v>
      </c>
      <c r="B602" s="1">
        <v>234</v>
      </c>
      <c r="C602" s="1" t="s">
        <v>234</v>
      </c>
      <c r="D602" s="1">
        <v>4</v>
      </c>
      <c r="E602" s="1">
        <v>335.44</v>
      </c>
      <c r="F602" s="1">
        <v>23</v>
      </c>
      <c r="G602" s="1" t="s">
        <v>29</v>
      </c>
      <c r="H602" s="1">
        <v>1248</v>
      </c>
      <c r="K602" s="1" t="s">
        <v>98</v>
      </c>
      <c r="L602" s="1" t="s">
        <v>245</v>
      </c>
      <c r="M602" s="1" t="s">
        <v>246</v>
      </c>
      <c r="N602" s="1" t="s">
        <v>253</v>
      </c>
      <c r="O602" s="1">
        <v>151.01</v>
      </c>
      <c r="P602" s="1" t="s">
        <v>152</v>
      </c>
    </row>
    <row r="603" spans="1:16">
      <c r="A603" s="7">
        <v>39855</v>
      </c>
      <c r="B603" s="1">
        <v>235</v>
      </c>
      <c r="C603" s="1" t="s">
        <v>234</v>
      </c>
      <c r="D603" s="1">
        <v>4</v>
      </c>
      <c r="E603" s="1">
        <v>335.44</v>
      </c>
      <c r="F603" s="1">
        <v>23</v>
      </c>
      <c r="G603" s="1" t="s">
        <v>29</v>
      </c>
      <c r="H603" s="1">
        <v>1249</v>
      </c>
      <c r="K603" s="1" t="s">
        <v>157</v>
      </c>
      <c r="L603" s="1" t="s">
        <v>245</v>
      </c>
      <c r="M603" s="1" t="s">
        <v>246</v>
      </c>
      <c r="N603" s="1" t="s">
        <v>253</v>
      </c>
      <c r="O603" s="1">
        <v>150</v>
      </c>
      <c r="P603" s="1" t="s">
        <v>152</v>
      </c>
    </row>
    <row r="604" spans="1:16">
      <c r="A604" s="7">
        <v>39855</v>
      </c>
      <c r="B604" s="1">
        <v>237</v>
      </c>
      <c r="C604" s="1" t="s">
        <v>234</v>
      </c>
      <c r="D604" s="1">
        <v>4</v>
      </c>
      <c r="E604" s="1">
        <v>216.91</v>
      </c>
      <c r="F604" s="1">
        <v>23</v>
      </c>
      <c r="G604" s="1" t="s">
        <v>29</v>
      </c>
      <c r="H604" s="1">
        <v>20</v>
      </c>
      <c r="K604" s="1" t="s">
        <v>76</v>
      </c>
      <c r="L604" s="1" t="s">
        <v>245</v>
      </c>
      <c r="M604" s="1" t="s">
        <v>246</v>
      </c>
      <c r="N604" s="1" t="s">
        <v>253</v>
      </c>
      <c r="O604" s="1">
        <v>688.5</v>
      </c>
      <c r="P604" s="1" t="s">
        <v>152</v>
      </c>
    </row>
    <row r="605" spans="1:16">
      <c r="A605" s="7">
        <v>39855</v>
      </c>
      <c r="B605" s="1">
        <v>244</v>
      </c>
      <c r="C605" s="1" t="s">
        <v>234</v>
      </c>
      <c r="D605" s="1">
        <v>2</v>
      </c>
      <c r="E605" s="1">
        <v>338.33</v>
      </c>
      <c r="F605" s="1">
        <v>23</v>
      </c>
      <c r="G605" s="1" t="s">
        <v>29</v>
      </c>
      <c r="H605" s="1">
        <v>125</v>
      </c>
      <c r="K605" s="1" t="s">
        <v>110</v>
      </c>
      <c r="L605" s="1" t="s">
        <v>245</v>
      </c>
      <c r="M605" s="1" t="s">
        <v>246</v>
      </c>
      <c r="N605" s="1" t="s">
        <v>253</v>
      </c>
      <c r="O605" s="1">
        <v>324.48</v>
      </c>
      <c r="P605" s="1" t="s">
        <v>152</v>
      </c>
    </row>
    <row r="606" spans="1:16">
      <c r="A606" s="7">
        <v>39855</v>
      </c>
      <c r="B606" s="1">
        <v>245</v>
      </c>
      <c r="C606" s="1" t="s">
        <v>234</v>
      </c>
      <c r="D606" s="1">
        <v>2</v>
      </c>
      <c r="E606" s="1">
        <v>256.42</v>
      </c>
      <c r="F606" s="1">
        <v>23</v>
      </c>
      <c r="G606" s="1" t="s">
        <v>29</v>
      </c>
      <c r="H606" s="1">
        <v>487</v>
      </c>
      <c r="K606" s="1" t="s">
        <v>110</v>
      </c>
      <c r="L606" s="1" t="s">
        <v>245</v>
      </c>
      <c r="M606" s="1" t="s">
        <v>246</v>
      </c>
      <c r="N606" s="1" t="s">
        <v>253</v>
      </c>
      <c r="O606" s="1">
        <v>639.1</v>
      </c>
      <c r="P606" s="1" t="s">
        <v>152</v>
      </c>
    </row>
    <row r="607" spans="1:16">
      <c r="A607" s="7">
        <v>39855</v>
      </c>
      <c r="B607" s="1">
        <v>246</v>
      </c>
      <c r="C607" s="1" t="s">
        <v>234</v>
      </c>
      <c r="D607" s="1">
        <v>1</v>
      </c>
      <c r="E607" s="1">
        <v>532.99</v>
      </c>
      <c r="F607" s="1">
        <v>23</v>
      </c>
      <c r="G607" s="1" t="s">
        <v>29</v>
      </c>
      <c r="H607" s="1">
        <v>315</v>
      </c>
      <c r="K607" s="1" t="s">
        <v>104</v>
      </c>
      <c r="L607" s="1" t="s">
        <v>245</v>
      </c>
      <c r="M607" s="1" t="s">
        <v>246</v>
      </c>
      <c r="N607" s="1" t="s">
        <v>253</v>
      </c>
      <c r="O607" s="1">
        <v>76</v>
      </c>
      <c r="P607" s="1" t="s">
        <v>152</v>
      </c>
    </row>
    <row r="608" spans="1:16">
      <c r="A608" s="7">
        <v>39855</v>
      </c>
      <c r="B608" s="1">
        <v>247</v>
      </c>
      <c r="C608" s="1" t="s">
        <v>234</v>
      </c>
      <c r="D608" s="1">
        <v>1</v>
      </c>
      <c r="E608" s="1">
        <v>572.5</v>
      </c>
      <c r="F608" s="1">
        <v>23</v>
      </c>
      <c r="G608" s="1" t="s">
        <v>29</v>
      </c>
      <c r="H608" s="1">
        <v>607</v>
      </c>
      <c r="K608" s="1" t="s">
        <v>110</v>
      </c>
      <c r="L608" s="1" t="s">
        <v>245</v>
      </c>
      <c r="M608" s="1" t="s">
        <v>246</v>
      </c>
      <c r="N608" s="1" t="s">
        <v>253</v>
      </c>
      <c r="O608" s="1">
        <v>260</v>
      </c>
      <c r="P608" s="1" t="s">
        <v>152</v>
      </c>
    </row>
    <row r="609" spans="1:16">
      <c r="A609" s="7">
        <v>39855</v>
      </c>
      <c r="B609" s="1">
        <v>248</v>
      </c>
      <c r="C609" s="1" t="s">
        <v>234</v>
      </c>
      <c r="D609" s="1">
        <v>1</v>
      </c>
      <c r="E609" s="1">
        <v>374.95</v>
      </c>
      <c r="F609" s="1">
        <v>23</v>
      </c>
      <c r="G609" s="1" t="s">
        <v>29</v>
      </c>
      <c r="H609" s="1">
        <v>1585</v>
      </c>
      <c r="K609" s="1" t="s">
        <v>80</v>
      </c>
      <c r="L609" s="1" t="s">
        <v>245</v>
      </c>
      <c r="M609" s="1" t="s">
        <v>246</v>
      </c>
      <c r="N609" s="1" t="s">
        <v>253</v>
      </c>
      <c r="O609" s="1">
        <v>157.96</v>
      </c>
      <c r="P609" s="1" t="s">
        <v>152</v>
      </c>
    </row>
    <row r="610" spans="1:16">
      <c r="A610" s="7">
        <v>39855</v>
      </c>
      <c r="B610" s="1">
        <v>249</v>
      </c>
      <c r="C610" s="1" t="s">
        <v>234</v>
      </c>
      <c r="D610" s="1">
        <v>1</v>
      </c>
      <c r="E610" s="1">
        <v>1205.72</v>
      </c>
      <c r="F610" s="1">
        <v>23</v>
      </c>
      <c r="G610" s="1" t="s">
        <v>29</v>
      </c>
      <c r="H610" s="1">
        <v>1953</v>
      </c>
      <c r="K610" s="1" t="s">
        <v>80</v>
      </c>
      <c r="L610" s="1" t="s">
        <v>245</v>
      </c>
      <c r="M610" s="1" t="s">
        <v>246</v>
      </c>
      <c r="N610" s="1" t="s">
        <v>253</v>
      </c>
      <c r="O610" s="1">
        <v>110.85</v>
      </c>
      <c r="P610" s="1" t="s">
        <v>152</v>
      </c>
    </row>
    <row r="611" spans="1:16">
      <c r="A611" s="7">
        <v>39855</v>
      </c>
      <c r="B611" s="1">
        <v>250</v>
      </c>
      <c r="C611" s="1" t="s">
        <v>235</v>
      </c>
      <c r="D611" s="1">
        <v>1</v>
      </c>
      <c r="E611" s="1">
        <v>54</v>
      </c>
      <c r="F611" s="1">
        <v>23</v>
      </c>
      <c r="G611" s="1" t="s">
        <v>29</v>
      </c>
      <c r="H611" s="1">
        <v>929</v>
      </c>
      <c r="K611" s="1" t="s">
        <v>127</v>
      </c>
      <c r="L611" s="1" t="s">
        <v>245</v>
      </c>
      <c r="M611" s="1" t="s">
        <v>246</v>
      </c>
      <c r="N611" s="1" t="s">
        <v>253</v>
      </c>
      <c r="O611" s="1">
        <v>158.47999999999999</v>
      </c>
      <c r="P611" s="1" t="s">
        <v>152</v>
      </c>
    </row>
    <row r="612" spans="1:16">
      <c r="A612" s="7">
        <v>39855</v>
      </c>
      <c r="B612" s="1">
        <v>251</v>
      </c>
      <c r="C612" s="1" t="s">
        <v>234</v>
      </c>
      <c r="D612" s="1">
        <v>3</v>
      </c>
      <c r="E612" s="1">
        <v>697.66</v>
      </c>
      <c r="F612" s="1">
        <v>23</v>
      </c>
      <c r="G612" s="1" t="s">
        <v>29</v>
      </c>
      <c r="H612" s="1">
        <v>666</v>
      </c>
      <c r="K612" s="1" t="s">
        <v>109</v>
      </c>
      <c r="L612" s="1" t="s">
        <v>245</v>
      </c>
      <c r="M612" s="1" t="s">
        <v>246</v>
      </c>
      <c r="N612" s="1" t="s">
        <v>253</v>
      </c>
      <c r="O612" s="1">
        <v>68.48</v>
      </c>
      <c r="P612" s="1" t="s">
        <v>152</v>
      </c>
    </row>
    <row r="613" spans="1:16">
      <c r="A613" s="7">
        <v>39855</v>
      </c>
      <c r="B613" s="1">
        <v>252</v>
      </c>
      <c r="C613" s="1" t="s">
        <v>234</v>
      </c>
      <c r="D613" s="1">
        <v>3</v>
      </c>
      <c r="E613" s="1">
        <v>216.91</v>
      </c>
      <c r="F613" s="1">
        <v>23</v>
      </c>
      <c r="G613" s="1" t="s">
        <v>29</v>
      </c>
      <c r="H613" s="1">
        <v>635</v>
      </c>
      <c r="K613" s="1" t="s">
        <v>77</v>
      </c>
      <c r="L613" s="1" t="s">
        <v>245</v>
      </c>
      <c r="M613" s="1" t="s">
        <v>246</v>
      </c>
      <c r="N613" s="1" t="s">
        <v>253</v>
      </c>
      <c r="O613" s="1">
        <v>118.56</v>
      </c>
      <c r="P613" s="1" t="s">
        <v>152</v>
      </c>
    </row>
    <row r="614" spans="1:16">
      <c r="A614" s="7">
        <v>39855</v>
      </c>
      <c r="B614" s="1">
        <v>253</v>
      </c>
      <c r="C614" s="1" t="s">
        <v>234</v>
      </c>
      <c r="D614" s="1">
        <v>3</v>
      </c>
      <c r="E614" s="1">
        <v>513.19000000000005</v>
      </c>
      <c r="F614" s="1">
        <v>23</v>
      </c>
      <c r="G614" s="1" t="s">
        <v>29</v>
      </c>
      <c r="H614" s="1">
        <v>668</v>
      </c>
      <c r="K614" s="1" t="s">
        <v>88</v>
      </c>
      <c r="L614" s="1" t="s">
        <v>245</v>
      </c>
      <c r="M614" s="1" t="s">
        <v>246</v>
      </c>
      <c r="N614" s="1" t="s">
        <v>253</v>
      </c>
      <c r="O614" s="1">
        <v>83.84</v>
      </c>
      <c r="P614" s="1" t="s">
        <v>152</v>
      </c>
    </row>
    <row r="615" spans="1:16">
      <c r="A615" s="7">
        <v>39855</v>
      </c>
      <c r="B615" s="1">
        <v>254</v>
      </c>
      <c r="C615" s="1" t="s">
        <v>234</v>
      </c>
      <c r="D615" s="1">
        <v>4</v>
      </c>
      <c r="E615" s="1">
        <v>410.95</v>
      </c>
      <c r="F615" s="1">
        <v>23</v>
      </c>
      <c r="G615" s="1" t="s">
        <v>29</v>
      </c>
      <c r="H615" s="1">
        <v>930</v>
      </c>
      <c r="K615" s="1" t="s">
        <v>88</v>
      </c>
      <c r="L615" s="1" t="s">
        <v>245</v>
      </c>
      <c r="M615" s="1" t="s">
        <v>246</v>
      </c>
      <c r="N615" s="1" t="s">
        <v>253</v>
      </c>
      <c r="O615" s="1">
        <v>169.68</v>
      </c>
      <c r="P615" s="1" t="s">
        <v>152</v>
      </c>
    </row>
    <row r="616" spans="1:16">
      <c r="A616" s="7">
        <v>39855</v>
      </c>
      <c r="B616" s="1">
        <v>255</v>
      </c>
      <c r="C616" s="1" t="s">
        <v>234</v>
      </c>
      <c r="D616" s="1">
        <v>4</v>
      </c>
      <c r="E616" s="1">
        <v>735.44</v>
      </c>
      <c r="F616" s="1">
        <v>23</v>
      </c>
      <c r="G616" s="1" t="s">
        <v>29</v>
      </c>
      <c r="H616" s="1">
        <v>51</v>
      </c>
      <c r="K616" s="1" t="s">
        <v>77</v>
      </c>
      <c r="L616" s="1" t="s">
        <v>245</v>
      </c>
      <c r="M616" s="1" t="s">
        <v>246</v>
      </c>
      <c r="N616" s="1" t="s">
        <v>253</v>
      </c>
      <c r="O616" s="1">
        <v>304.06</v>
      </c>
      <c r="P616" s="1" t="s">
        <v>152</v>
      </c>
    </row>
    <row r="617" spans="1:16">
      <c r="A617" s="7">
        <v>39855</v>
      </c>
      <c r="B617" s="1">
        <v>257</v>
      </c>
      <c r="C617" s="1" t="s">
        <v>234</v>
      </c>
      <c r="D617" s="1">
        <v>4</v>
      </c>
      <c r="E617" s="1">
        <v>184.13</v>
      </c>
      <c r="F617" s="1">
        <v>23</v>
      </c>
      <c r="G617" s="1" t="s">
        <v>29</v>
      </c>
      <c r="H617" s="1">
        <v>124</v>
      </c>
      <c r="K617" s="1" t="s">
        <v>77</v>
      </c>
      <c r="L617" s="1" t="s">
        <v>245</v>
      </c>
      <c r="M617" s="1" t="s">
        <v>246</v>
      </c>
      <c r="N617" s="1" t="s">
        <v>253</v>
      </c>
      <c r="O617" s="1">
        <v>170.48</v>
      </c>
      <c r="P617" s="1" t="s">
        <v>152</v>
      </c>
    </row>
    <row r="618" spans="1:16">
      <c r="A618" s="7">
        <v>39855</v>
      </c>
      <c r="B618" s="1">
        <v>242</v>
      </c>
      <c r="C618" s="1" t="s">
        <v>234</v>
      </c>
      <c r="D618" s="1">
        <v>1</v>
      </c>
      <c r="E618" s="1">
        <v>111.9</v>
      </c>
      <c r="F618" s="1">
        <v>23</v>
      </c>
      <c r="G618" s="1" t="s">
        <v>30</v>
      </c>
      <c r="H618" s="1">
        <v>2015</v>
      </c>
      <c r="K618" s="1" t="s">
        <v>77</v>
      </c>
      <c r="L618" s="1" t="s">
        <v>245</v>
      </c>
      <c r="M618" s="1" t="s">
        <v>246</v>
      </c>
      <c r="N618" s="1" t="s">
        <v>253</v>
      </c>
      <c r="O618" s="1">
        <v>2542.04</v>
      </c>
      <c r="P618" s="1" t="s">
        <v>152</v>
      </c>
    </row>
    <row r="619" spans="1:16">
      <c r="A619" s="7">
        <v>39855</v>
      </c>
      <c r="B619" s="1">
        <v>256</v>
      </c>
      <c r="C619" s="1" t="s">
        <v>234</v>
      </c>
      <c r="D619" s="1">
        <v>4</v>
      </c>
      <c r="E619" s="1">
        <v>150</v>
      </c>
      <c r="F619" s="1">
        <v>23</v>
      </c>
      <c r="G619" s="1" t="s">
        <v>41</v>
      </c>
      <c r="H619" s="1">
        <v>2016</v>
      </c>
      <c r="K619" s="1" t="s">
        <v>102</v>
      </c>
      <c r="L619" s="1" t="s">
        <v>245</v>
      </c>
      <c r="M619" s="1" t="s">
        <v>246</v>
      </c>
      <c r="N619" s="1" t="s">
        <v>253</v>
      </c>
      <c r="O619" s="1">
        <v>1168.44</v>
      </c>
      <c r="P619" s="1" t="s">
        <v>152</v>
      </c>
    </row>
    <row r="620" spans="1:16">
      <c r="A620" s="7">
        <v>39883</v>
      </c>
      <c r="B620" s="1">
        <v>501</v>
      </c>
      <c r="C620" s="1" t="s">
        <v>235</v>
      </c>
      <c r="D620" s="1">
        <v>4</v>
      </c>
      <c r="E620" s="1">
        <v>815.1</v>
      </c>
      <c r="F620" s="1">
        <v>23</v>
      </c>
      <c r="G620" s="1" t="s">
        <v>3</v>
      </c>
      <c r="H620" s="1">
        <v>1507</v>
      </c>
      <c r="K620" s="1" t="s">
        <v>98</v>
      </c>
      <c r="L620" s="1" t="s">
        <v>245</v>
      </c>
      <c r="M620" s="1" t="s">
        <v>246</v>
      </c>
      <c r="N620" s="1" t="s">
        <v>253</v>
      </c>
      <c r="O620" s="1">
        <v>669.24</v>
      </c>
      <c r="P620" s="1" t="s">
        <v>152</v>
      </c>
    </row>
    <row r="621" spans="1:16">
      <c r="A621" s="7">
        <v>39883</v>
      </c>
      <c r="B621" s="1">
        <v>499</v>
      </c>
      <c r="C621" s="1" t="s">
        <v>235</v>
      </c>
      <c r="D621" s="1">
        <v>1</v>
      </c>
      <c r="E621" s="1">
        <v>34</v>
      </c>
      <c r="F621" s="1">
        <v>23</v>
      </c>
      <c r="G621" s="1" t="s">
        <v>32</v>
      </c>
      <c r="H621" s="1">
        <v>949</v>
      </c>
      <c r="K621" s="1" t="s">
        <v>102</v>
      </c>
      <c r="L621" s="1" t="s">
        <v>245</v>
      </c>
      <c r="M621" s="1" t="s">
        <v>246</v>
      </c>
      <c r="N621" s="1" t="s">
        <v>253</v>
      </c>
      <c r="O621" s="1">
        <v>1040</v>
      </c>
      <c r="P621" s="1" t="s">
        <v>152</v>
      </c>
    </row>
    <row r="622" spans="1:16">
      <c r="A622" s="7">
        <v>39883</v>
      </c>
      <c r="B622" s="1">
        <v>500</v>
      </c>
      <c r="C622" s="1" t="s">
        <v>234</v>
      </c>
      <c r="D622" s="1">
        <v>4</v>
      </c>
      <c r="E622" s="1">
        <v>34</v>
      </c>
      <c r="F622" s="1">
        <v>23</v>
      </c>
      <c r="G622" s="1" t="s">
        <v>32</v>
      </c>
      <c r="H622" s="1">
        <v>630</v>
      </c>
      <c r="K622" s="1" t="s">
        <v>128</v>
      </c>
      <c r="L622" s="1" t="s">
        <v>245</v>
      </c>
      <c r="M622" s="1" t="s">
        <v>246</v>
      </c>
      <c r="N622" s="1" t="s">
        <v>253</v>
      </c>
      <c r="O622" s="1">
        <v>165</v>
      </c>
      <c r="P622" s="1" t="s">
        <v>152</v>
      </c>
    </row>
    <row r="623" spans="1:16">
      <c r="A623" s="7">
        <v>39944</v>
      </c>
      <c r="B623" s="1">
        <v>140</v>
      </c>
      <c r="C623" s="1" t="s">
        <v>239</v>
      </c>
      <c r="D623" s="1">
        <v>99</v>
      </c>
      <c r="E623" s="1">
        <v>13</v>
      </c>
      <c r="F623" s="1">
        <v>23</v>
      </c>
      <c r="G623" s="1" t="s">
        <v>16</v>
      </c>
      <c r="H623" s="1">
        <v>1415</v>
      </c>
      <c r="K623" s="1" t="s">
        <v>110</v>
      </c>
      <c r="L623" s="1" t="s">
        <v>245</v>
      </c>
      <c r="M623" s="1" t="s">
        <v>246</v>
      </c>
      <c r="N623" s="1" t="s">
        <v>253</v>
      </c>
      <c r="O623" s="1">
        <v>270.39999999999998</v>
      </c>
      <c r="P623" s="1" t="s">
        <v>152</v>
      </c>
    </row>
    <row r="624" spans="1:16">
      <c r="A624" s="7">
        <v>40067</v>
      </c>
      <c r="B624" s="1">
        <v>1058</v>
      </c>
      <c r="C624" s="1" t="s">
        <v>234</v>
      </c>
      <c r="D624" s="1">
        <v>1</v>
      </c>
      <c r="E624" s="1">
        <v>776.1</v>
      </c>
      <c r="F624" s="1">
        <v>23</v>
      </c>
      <c r="G624" s="1" t="s">
        <v>8</v>
      </c>
      <c r="H624" s="1">
        <v>2102</v>
      </c>
      <c r="K624" s="1" t="s">
        <v>110</v>
      </c>
      <c r="L624" s="1" t="s">
        <v>245</v>
      </c>
      <c r="M624" s="1" t="s">
        <v>246</v>
      </c>
      <c r="N624" s="1" t="s">
        <v>253</v>
      </c>
      <c r="O624" s="1">
        <v>162.24</v>
      </c>
      <c r="P624" s="1" t="s">
        <v>152</v>
      </c>
    </row>
    <row r="625" spans="1:16">
      <c r="A625" s="7">
        <v>40067</v>
      </c>
      <c r="B625" s="1">
        <v>1059</v>
      </c>
      <c r="C625" s="1" t="s">
        <v>234</v>
      </c>
      <c r="D625" s="1">
        <v>3</v>
      </c>
      <c r="E625" s="1">
        <v>235.31</v>
      </c>
      <c r="F625" s="1">
        <v>23</v>
      </c>
      <c r="G625" s="1" t="s">
        <v>8</v>
      </c>
      <c r="H625" s="1">
        <v>1386</v>
      </c>
      <c r="K625" s="1" t="s">
        <v>127</v>
      </c>
      <c r="L625" s="1" t="s">
        <v>245</v>
      </c>
      <c r="M625" s="1" t="s">
        <v>246</v>
      </c>
      <c r="N625" s="1" t="s">
        <v>253</v>
      </c>
      <c r="O625" s="1">
        <v>3016</v>
      </c>
      <c r="P625" s="1" t="s">
        <v>152</v>
      </c>
    </row>
    <row r="626" spans="1:16">
      <c r="A626" s="7">
        <v>40067</v>
      </c>
      <c r="B626" s="1">
        <v>1058</v>
      </c>
      <c r="C626" s="1" t="s">
        <v>234</v>
      </c>
      <c r="D626" s="1">
        <v>1</v>
      </c>
      <c r="E626" s="1">
        <v>78</v>
      </c>
      <c r="F626" s="1">
        <v>23</v>
      </c>
      <c r="G626" s="1" t="s">
        <v>11</v>
      </c>
      <c r="H626" s="1">
        <v>2102</v>
      </c>
      <c r="K626" s="1" t="s">
        <v>80</v>
      </c>
      <c r="L626" s="1" t="s">
        <v>245</v>
      </c>
      <c r="M626" s="1" t="s">
        <v>246</v>
      </c>
      <c r="N626" s="1" t="s">
        <v>253</v>
      </c>
      <c r="O626" s="1">
        <v>108</v>
      </c>
      <c r="P626" s="1" t="s">
        <v>152</v>
      </c>
    </row>
    <row r="627" spans="1:16">
      <c r="A627" s="7">
        <v>40067</v>
      </c>
      <c r="B627" s="1">
        <v>1059</v>
      </c>
      <c r="C627" s="1" t="s">
        <v>234</v>
      </c>
      <c r="D627" s="1">
        <v>3</v>
      </c>
      <c r="E627" s="1">
        <v>78</v>
      </c>
      <c r="F627" s="1">
        <v>23</v>
      </c>
      <c r="G627" s="1" t="s">
        <v>11</v>
      </c>
      <c r="H627" s="1">
        <v>1386</v>
      </c>
      <c r="K627" s="1" t="s">
        <v>80</v>
      </c>
      <c r="L627" s="1" t="s">
        <v>245</v>
      </c>
      <c r="M627" s="1" t="s">
        <v>246</v>
      </c>
      <c r="N627" s="1" t="s">
        <v>253</v>
      </c>
      <c r="O627" s="1">
        <v>162</v>
      </c>
      <c r="P627" s="1" t="s">
        <v>152</v>
      </c>
    </row>
    <row r="628" spans="1:16">
      <c r="A628" s="7">
        <v>40067</v>
      </c>
      <c r="B628" s="1">
        <v>1055</v>
      </c>
      <c r="C628" s="1" t="s">
        <v>234</v>
      </c>
      <c r="D628" s="1">
        <v>4</v>
      </c>
      <c r="E628" s="1">
        <v>158.04</v>
      </c>
      <c r="F628" s="1">
        <v>23</v>
      </c>
      <c r="G628" s="1" t="s">
        <v>12</v>
      </c>
      <c r="H628" s="1">
        <v>843</v>
      </c>
      <c r="K628" s="1" t="s">
        <v>82</v>
      </c>
      <c r="L628" s="1" t="s">
        <v>245</v>
      </c>
      <c r="M628" s="1" t="s">
        <v>246</v>
      </c>
      <c r="N628" s="1" t="s">
        <v>253</v>
      </c>
      <c r="O628" s="1">
        <v>255.43</v>
      </c>
      <c r="P628" s="1" t="s">
        <v>152</v>
      </c>
    </row>
    <row r="629" spans="1:16">
      <c r="A629" s="7">
        <v>40067</v>
      </c>
      <c r="B629" s="1">
        <v>1056</v>
      </c>
      <c r="C629" s="1" t="s">
        <v>234</v>
      </c>
      <c r="D629" s="1">
        <v>4</v>
      </c>
      <c r="E629" s="1">
        <v>803.88</v>
      </c>
      <c r="F629" s="1">
        <v>23</v>
      </c>
      <c r="G629" s="1" t="s">
        <v>12</v>
      </c>
      <c r="H629" s="1">
        <v>1469</v>
      </c>
      <c r="K629" s="1" t="s">
        <v>86</v>
      </c>
      <c r="L629" s="1" t="s">
        <v>245</v>
      </c>
      <c r="M629" s="1" t="s">
        <v>246</v>
      </c>
      <c r="N629" s="1" t="s">
        <v>253</v>
      </c>
      <c r="O629" s="1">
        <v>124.8</v>
      </c>
      <c r="P629" s="1" t="s">
        <v>152</v>
      </c>
    </row>
    <row r="630" spans="1:16">
      <c r="A630" s="7">
        <v>40067</v>
      </c>
      <c r="B630" s="1">
        <v>1051</v>
      </c>
      <c r="C630" s="1" t="s">
        <v>235</v>
      </c>
      <c r="D630" s="1">
        <v>4</v>
      </c>
      <c r="E630" s="1">
        <v>450.16</v>
      </c>
      <c r="F630" s="1">
        <v>23</v>
      </c>
      <c r="G630" s="1" t="s">
        <v>13</v>
      </c>
      <c r="H630" s="1">
        <v>1106</v>
      </c>
      <c r="K630" s="1" t="s">
        <v>86</v>
      </c>
      <c r="L630" s="1" t="s">
        <v>245</v>
      </c>
      <c r="M630" s="1" t="s">
        <v>246</v>
      </c>
      <c r="N630" s="1" t="s">
        <v>253</v>
      </c>
      <c r="O630" s="1">
        <v>49.92</v>
      </c>
      <c r="P630" s="1" t="s">
        <v>152</v>
      </c>
    </row>
    <row r="631" spans="1:16">
      <c r="A631" s="7">
        <v>40067</v>
      </c>
      <c r="B631" s="1">
        <v>1052</v>
      </c>
      <c r="C631" s="1" t="s">
        <v>234</v>
      </c>
      <c r="D631" s="1">
        <v>4</v>
      </c>
      <c r="E631" s="1">
        <v>969.26</v>
      </c>
      <c r="F631" s="1">
        <v>23</v>
      </c>
      <c r="G631" s="1" t="s">
        <v>13</v>
      </c>
      <c r="H631" s="1">
        <v>1417</v>
      </c>
      <c r="K631" s="1" t="s">
        <v>86</v>
      </c>
      <c r="L631" s="1" t="s">
        <v>245</v>
      </c>
      <c r="M631" s="1" t="s">
        <v>246</v>
      </c>
      <c r="N631" s="1" t="s">
        <v>253</v>
      </c>
      <c r="O631" s="1">
        <v>280.8</v>
      </c>
      <c r="P631" s="1" t="s">
        <v>152</v>
      </c>
    </row>
    <row r="632" spans="1:16">
      <c r="A632" s="7">
        <v>40067</v>
      </c>
      <c r="B632" s="1">
        <v>1053</v>
      </c>
      <c r="C632" s="1" t="s">
        <v>234</v>
      </c>
      <c r="D632" s="1">
        <v>4</v>
      </c>
      <c r="E632" s="1">
        <v>833.36</v>
      </c>
      <c r="F632" s="1">
        <v>23</v>
      </c>
      <c r="G632" s="1" t="s">
        <v>13</v>
      </c>
      <c r="H632" s="1">
        <v>1433</v>
      </c>
      <c r="K632" s="1" t="s">
        <v>155</v>
      </c>
      <c r="L632" s="1" t="s">
        <v>245</v>
      </c>
      <c r="M632" s="1" t="s">
        <v>246</v>
      </c>
      <c r="N632" s="1" t="s">
        <v>253</v>
      </c>
      <c r="O632" s="1">
        <v>152.88</v>
      </c>
      <c r="P632" s="1" t="s">
        <v>152</v>
      </c>
    </row>
    <row r="633" spans="1:16">
      <c r="A633" s="7">
        <v>40067</v>
      </c>
      <c r="B633" s="1">
        <v>1054</v>
      </c>
      <c r="C633" s="1" t="s">
        <v>234</v>
      </c>
      <c r="D633" s="1">
        <v>4</v>
      </c>
      <c r="E633" s="1">
        <v>635</v>
      </c>
      <c r="F633" s="1">
        <v>23</v>
      </c>
      <c r="G633" s="1" t="s">
        <v>5</v>
      </c>
      <c r="H633" s="1">
        <v>2100</v>
      </c>
      <c r="K633" s="1" t="s">
        <v>86</v>
      </c>
      <c r="L633" s="1" t="s">
        <v>245</v>
      </c>
      <c r="M633" s="1" t="s">
        <v>246</v>
      </c>
      <c r="N633" s="1" t="s">
        <v>253</v>
      </c>
      <c r="O633" s="1">
        <v>152.88</v>
      </c>
      <c r="P633" s="1" t="s">
        <v>152</v>
      </c>
    </row>
    <row r="634" spans="1:16">
      <c r="A634" s="7">
        <v>40067</v>
      </c>
      <c r="B634" s="1">
        <v>1060</v>
      </c>
      <c r="C634" s="1" t="s">
        <v>234</v>
      </c>
      <c r="D634" s="1">
        <v>3</v>
      </c>
      <c r="E634" s="1">
        <v>674.51</v>
      </c>
      <c r="F634" s="1">
        <v>23</v>
      </c>
      <c r="G634" s="1" t="s">
        <v>5</v>
      </c>
      <c r="H634" s="1">
        <v>1879</v>
      </c>
      <c r="K634" s="1" t="s">
        <v>158</v>
      </c>
      <c r="L634" s="1" t="s">
        <v>245</v>
      </c>
      <c r="M634" s="1" t="s">
        <v>246</v>
      </c>
      <c r="N634" s="1" t="s">
        <v>253</v>
      </c>
      <c r="O634" s="1">
        <v>413.74</v>
      </c>
      <c r="P634" s="1" t="s">
        <v>152</v>
      </c>
    </row>
    <row r="635" spans="1:16">
      <c r="A635" s="7">
        <v>40067</v>
      </c>
      <c r="B635" s="1">
        <v>1062</v>
      </c>
      <c r="C635" s="1" t="s">
        <v>234</v>
      </c>
      <c r="D635" s="1">
        <v>1</v>
      </c>
      <c r="E635" s="1">
        <v>516.47</v>
      </c>
      <c r="F635" s="1">
        <v>23</v>
      </c>
      <c r="G635" s="1" t="s">
        <v>5</v>
      </c>
      <c r="H635" s="1">
        <v>2103</v>
      </c>
      <c r="K635" s="1" t="s">
        <v>110</v>
      </c>
      <c r="L635" s="1" t="s">
        <v>245</v>
      </c>
      <c r="M635" s="1" t="s">
        <v>246</v>
      </c>
      <c r="N635" s="1" t="s">
        <v>253</v>
      </c>
      <c r="O635" s="1">
        <v>796.2</v>
      </c>
      <c r="P635" s="1" t="s">
        <v>152</v>
      </c>
    </row>
    <row r="636" spans="1:16">
      <c r="A636" s="7">
        <v>40067</v>
      </c>
      <c r="B636" s="1">
        <v>1063</v>
      </c>
      <c r="C636" s="1" t="s">
        <v>234</v>
      </c>
      <c r="D636" s="1">
        <v>4</v>
      </c>
      <c r="E636" s="1">
        <v>476.96</v>
      </c>
      <c r="F636" s="1">
        <v>23</v>
      </c>
      <c r="G636" s="1" t="s">
        <v>5</v>
      </c>
      <c r="H636" s="1">
        <v>939</v>
      </c>
      <c r="K636" s="1" t="s">
        <v>155</v>
      </c>
      <c r="L636" s="1" t="s">
        <v>245</v>
      </c>
      <c r="M636" s="1" t="s">
        <v>246</v>
      </c>
      <c r="N636" s="1" t="s">
        <v>253</v>
      </c>
      <c r="O636" s="1">
        <v>936</v>
      </c>
      <c r="P636" s="1" t="s">
        <v>152</v>
      </c>
    </row>
    <row r="637" spans="1:16">
      <c r="A637" s="7">
        <v>40067</v>
      </c>
      <c r="B637" s="1">
        <v>987</v>
      </c>
      <c r="C637" s="1" t="s">
        <v>235</v>
      </c>
      <c r="D637" s="1">
        <v>1</v>
      </c>
      <c r="E637" s="1">
        <v>612.01</v>
      </c>
      <c r="F637" s="1">
        <v>23</v>
      </c>
      <c r="G637" s="1" t="s">
        <v>6</v>
      </c>
      <c r="H637" s="1">
        <v>475</v>
      </c>
      <c r="K637" s="1" t="s">
        <v>155</v>
      </c>
      <c r="L637" s="1" t="s">
        <v>245</v>
      </c>
      <c r="M637" s="1" t="s">
        <v>246</v>
      </c>
      <c r="N637" s="1" t="s">
        <v>253</v>
      </c>
      <c r="O637" s="1">
        <v>3068</v>
      </c>
      <c r="P637" s="1" t="s">
        <v>152</v>
      </c>
    </row>
    <row r="638" spans="1:16">
      <c r="A638" s="7">
        <v>40067</v>
      </c>
      <c r="B638" s="1">
        <v>1061</v>
      </c>
      <c r="C638" s="1" t="s">
        <v>234</v>
      </c>
      <c r="D638" s="1">
        <v>3</v>
      </c>
      <c r="E638" s="1">
        <v>426.58</v>
      </c>
      <c r="F638" s="1">
        <v>23</v>
      </c>
      <c r="G638" s="1" t="s">
        <v>6</v>
      </c>
      <c r="H638" s="1">
        <v>273</v>
      </c>
      <c r="K638" s="1" t="s">
        <v>110</v>
      </c>
      <c r="L638" s="1" t="s">
        <v>245</v>
      </c>
      <c r="M638" s="1" t="s">
        <v>246</v>
      </c>
      <c r="N638" s="1" t="s">
        <v>253</v>
      </c>
      <c r="O638" s="1">
        <v>228.36</v>
      </c>
      <c r="P638" s="1" t="s">
        <v>152</v>
      </c>
    </row>
    <row r="639" spans="1:16">
      <c r="A639" s="7">
        <v>40067</v>
      </c>
      <c r="B639" s="1">
        <v>1057</v>
      </c>
      <c r="C639" s="1" t="s">
        <v>234</v>
      </c>
      <c r="D639" s="1">
        <v>1</v>
      </c>
      <c r="E639" s="1">
        <v>575</v>
      </c>
      <c r="F639" s="1">
        <v>23</v>
      </c>
      <c r="G639" s="1" t="s">
        <v>17</v>
      </c>
      <c r="H639" s="1">
        <v>2101</v>
      </c>
      <c r="K639" s="1" t="s">
        <v>72</v>
      </c>
      <c r="L639" s="1" t="s">
        <v>245</v>
      </c>
      <c r="M639" s="1" t="s">
        <v>246</v>
      </c>
      <c r="N639" s="1" t="s">
        <v>253</v>
      </c>
      <c r="O639" s="1">
        <v>1770</v>
      </c>
      <c r="P639" s="1" t="s">
        <v>152</v>
      </c>
    </row>
    <row r="640" spans="1:16">
      <c r="A640" s="7">
        <v>40128</v>
      </c>
      <c r="B640" s="1">
        <v>1500</v>
      </c>
      <c r="C640" s="1" t="s">
        <v>234</v>
      </c>
      <c r="D640" s="1">
        <v>4</v>
      </c>
      <c r="E640" s="1">
        <v>312</v>
      </c>
      <c r="F640" s="1">
        <v>23</v>
      </c>
      <c r="G640" s="1" t="s">
        <v>46</v>
      </c>
      <c r="H640" s="1">
        <v>0</v>
      </c>
      <c r="K640" s="1" t="s">
        <v>159</v>
      </c>
      <c r="L640" s="1" t="s">
        <v>245</v>
      </c>
      <c r="M640" s="1" t="s">
        <v>246</v>
      </c>
      <c r="N640" s="1" t="s">
        <v>253</v>
      </c>
      <c r="O640" s="1">
        <v>251.92</v>
      </c>
      <c r="P640" s="1" t="s">
        <v>152</v>
      </c>
    </row>
    <row r="641" spans="1:16">
      <c r="A641" s="7">
        <v>40158</v>
      </c>
      <c r="B641" s="1">
        <v>1541</v>
      </c>
      <c r="C641" s="1" t="s">
        <v>235</v>
      </c>
      <c r="D641" s="1">
        <v>4</v>
      </c>
      <c r="E641" s="1">
        <v>9</v>
      </c>
      <c r="F641" s="1">
        <v>23</v>
      </c>
      <c r="G641" s="1" t="s">
        <v>14</v>
      </c>
      <c r="H641" s="1">
        <v>2201</v>
      </c>
      <c r="K641" s="1" t="s">
        <v>99</v>
      </c>
      <c r="L641" s="1" t="s">
        <v>245</v>
      </c>
      <c r="M641" s="1" t="s">
        <v>246</v>
      </c>
      <c r="N641" s="1" t="s">
        <v>253</v>
      </c>
      <c r="O641" s="1">
        <v>119.29</v>
      </c>
      <c r="P641" s="1" t="s">
        <v>152</v>
      </c>
    </row>
    <row r="642" spans="1:16">
      <c r="A642" s="7">
        <v>39825</v>
      </c>
      <c r="B642" s="1">
        <v>14</v>
      </c>
      <c r="C642" s="1" t="s">
        <v>234</v>
      </c>
      <c r="D642" s="1">
        <v>2</v>
      </c>
      <c r="E642" s="1">
        <v>360</v>
      </c>
      <c r="F642" s="1">
        <v>23</v>
      </c>
      <c r="G642" s="1" t="s">
        <v>22</v>
      </c>
      <c r="H642" s="1">
        <v>1277</v>
      </c>
      <c r="K642" s="1" t="s">
        <v>85</v>
      </c>
      <c r="L642" s="1" t="s">
        <v>245</v>
      </c>
      <c r="M642" s="1" t="s">
        <v>246</v>
      </c>
      <c r="N642" s="1" t="s">
        <v>253</v>
      </c>
      <c r="O642" s="1">
        <v>156</v>
      </c>
      <c r="P642" s="1" t="s">
        <v>152</v>
      </c>
    </row>
    <row r="643" spans="1:16">
      <c r="A643" s="7">
        <v>39856</v>
      </c>
      <c r="B643" s="1">
        <v>269</v>
      </c>
      <c r="C643" s="1" t="s">
        <v>235</v>
      </c>
      <c r="D643" s="1">
        <v>4</v>
      </c>
      <c r="E643" s="1">
        <v>423.23</v>
      </c>
      <c r="F643" s="1">
        <v>23</v>
      </c>
      <c r="G643" s="1" t="s">
        <v>3</v>
      </c>
      <c r="H643" s="1">
        <v>1836</v>
      </c>
      <c r="K643" s="1" t="s">
        <v>85</v>
      </c>
      <c r="L643" s="1" t="s">
        <v>245</v>
      </c>
      <c r="M643" s="1" t="s">
        <v>246</v>
      </c>
      <c r="N643" s="1" t="s">
        <v>253</v>
      </c>
      <c r="O643" s="1">
        <v>124.8</v>
      </c>
      <c r="P643" s="1" t="s">
        <v>152</v>
      </c>
    </row>
    <row r="644" spans="1:16">
      <c r="A644" s="7">
        <v>39856</v>
      </c>
      <c r="B644" s="1">
        <v>259</v>
      </c>
      <c r="C644" s="1" t="s">
        <v>234</v>
      </c>
      <c r="D644" s="1">
        <v>4</v>
      </c>
      <c r="E644" s="1">
        <v>710.8</v>
      </c>
      <c r="F644" s="1">
        <v>23</v>
      </c>
      <c r="G644" s="1" t="s">
        <v>29</v>
      </c>
      <c r="H644" s="1">
        <v>673</v>
      </c>
      <c r="K644" s="1" t="s">
        <v>110</v>
      </c>
      <c r="L644" s="1" t="s">
        <v>245</v>
      </c>
      <c r="M644" s="1" t="s">
        <v>246</v>
      </c>
      <c r="N644" s="1" t="s">
        <v>253</v>
      </c>
      <c r="O644" s="1">
        <v>119.34</v>
      </c>
      <c r="P644" s="1" t="s">
        <v>152</v>
      </c>
    </row>
    <row r="645" spans="1:16">
      <c r="A645" s="7">
        <v>39856</v>
      </c>
      <c r="B645" s="1">
        <v>260</v>
      </c>
      <c r="C645" s="1" t="s">
        <v>234</v>
      </c>
      <c r="D645" s="1">
        <v>4</v>
      </c>
      <c r="E645" s="1">
        <v>414.46</v>
      </c>
      <c r="F645" s="1">
        <v>23</v>
      </c>
      <c r="G645" s="1" t="s">
        <v>29</v>
      </c>
      <c r="H645" s="1">
        <v>33</v>
      </c>
      <c r="K645" s="1" t="s">
        <v>76</v>
      </c>
      <c r="L645" s="1" t="s">
        <v>248</v>
      </c>
      <c r="M645" s="1" t="s">
        <v>249</v>
      </c>
      <c r="N645" s="1" t="s">
        <v>250</v>
      </c>
      <c r="O645" s="1">
        <v>500</v>
      </c>
      <c r="P645" s="1" t="s">
        <v>160</v>
      </c>
    </row>
    <row r="646" spans="1:16">
      <c r="A646" s="7">
        <v>39856</v>
      </c>
      <c r="B646" s="1">
        <v>261</v>
      </c>
      <c r="C646" s="1" t="s">
        <v>235</v>
      </c>
      <c r="D646" s="1">
        <v>1</v>
      </c>
      <c r="E646" s="1">
        <v>256.42</v>
      </c>
      <c r="F646" s="1">
        <v>23</v>
      </c>
      <c r="G646" s="1" t="s">
        <v>29</v>
      </c>
      <c r="H646" s="1">
        <v>60</v>
      </c>
      <c r="K646" s="1" t="s">
        <v>116</v>
      </c>
      <c r="L646" s="1" t="s">
        <v>245</v>
      </c>
      <c r="M646" s="1" t="s">
        <v>246</v>
      </c>
      <c r="N646" s="1" t="s">
        <v>255</v>
      </c>
      <c r="O646" s="1">
        <v>78.900000000000006</v>
      </c>
      <c r="P646" s="1" t="s">
        <v>152</v>
      </c>
    </row>
    <row r="647" spans="1:16">
      <c r="A647" s="7">
        <v>39856</v>
      </c>
      <c r="B647" s="1">
        <v>262</v>
      </c>
      <c r="C647" s="1" t="s">
        <v>235</v>
      </c>
      <c r="D647" s="1">
        <v>1</v>
      </c>
      <c r="E647" s="1">
        <v>286.7</v>
      </c>
      <c r="F647" s="1">
        <v>23</v>
      </c>
      <c r="G647" s="1" t="s">
        <v>29</v>
      </c>
      <c r="H647" s="1">
        <v>69</v>
      </c>
      <c r="K647" s="1" t="s">
        <v>86</v>
      </c>
      <c r="L647" s="1" t="s">
        <v>242</v>
      </c>
      <c r="M647" s="1" t="s">
        <v>243</v>
      </c>
      <c r="N647" s="1" t="s">
        <v>254</v>
      </c>
      <c r="O647" s="1">
        <v>45.48</v>
      </c>
      <c r="P647" s="1" t="s">
        <v>161</v>
      </c>
    </row>
    <row r="648" spans="1:16">
      <c r="A648" s="7">
        <v>39856</v>
      </c>
      <c r="B648" s="1">
        <v>264</v>
      </c>
      <c r="C648" s="1" t="s">
        <v>234</v>
      </c>
      <c r="D648" s="1">
        <v>4</v>
      </c>
      <c r="E648" s="1">
        <v>551.05999999999995</v>
      </c>
      <c r="F648" s="1">
        <v>23</v>
      </c>
      <c r="G648" s="1" t="s">
        <v>29</v>
      </c>
      <c r="H648" s="1">
        <v>665</v>
      </c>
      <c r="K648" s="1" t="s">
        <v>109</v>
      </c>
      <c r="L648" s="1" t="s">
        <v>242</v>
      </c>
      <c r="M648" s="1" t="s">
        <v>243</v>
      </c>
      <c r="N648" s="1" t="s">
        <v>254</v>
      </c>
      <c r="O648" s="1">
        <v>4.75</v>
      </c>
      <c r="P648" s="1" t="s">
        <v>161</v>
      </c>
    </row>
    <row r="649" spans="1:16">
      <c r="A649" s="7">
        <v>39856</v>
      </c>
      <c r="B649" s="1">
        <v>265</v>
      </c>
      <c r="C649" s="1" t="s">
        <v>235</v>
      </c>
      <c r="D649" s="1">
        <v>1</v>
      </c>
      <c r="E649" s="1">
        <v>216.91</v>
      </c>
      <c r="F649" s="1">
        <v>23</v>
      </c>
      <c r="G649" s="1" t="s">
        <v>29</v>
      </c>
      <c r="H649" s="1">
        <v>1625</v>
      </c>
      <c r="K649" s="1" t="s">
        <v>79</v>
      </c>
      <c r="L649" s="1" t="s">
        <v>245</v>
      </c>
      <c r="M649" s="1" t="s">
        <v>246</v>
      </c>
      <c r="N649" s="1" t="s">
        <v>251</v>
      </c>
      <c r="O649" s="1">
        <v>6</v>
      </c>
      <c r="P649" s="1" t="s">
        <v>161</v>
      </c>
    </row>
    <row r="650" spans="1:16">
      <c r="A650" s="7">
        <v>39856</v>
      </c>
      <c r="B650" s="1">
        <v>266</v>
      </c>
      <c r="C650" s="1" t="s">
        <v>235</v>
      </c>
      <c r="D650" s="1">
        <v>1</v>
      </c>
      <c r="E650" s="1">
        <v>414.46</v>
      </c>
      <c r="F650" s="1">
        <v>23</v>
      </c>
      <c r="G650" s="1" t="s">
        <v>29</v>
      </c>
      <c r="H650" s="1">
        <v>35</v>
      </c>
      <c r="K650" s="1" t="s">
        <v>69</v>
      </c>
      <c r="L650" s="1" t="s">
        <v>242</v>
      </c>
      <c r="M650" s="1" t="s">
        <v>243</v>
      </c>
      <c r="N650" s="1" t="s">
        <v>244</v>
      </c>
      <c r="O650" s="1">
        <v>92.2</v>
      </c>
      <c r="P650" s="1" t="s">
        <v>162</v>
      </c>
    </row>
    <row r="651" spans="1:16">
      <c r="A651" s="7">
        <v>39856</v>
      </c>
      <c r="B651" s="1">
        <v>267</v>
      </c>
      <c r="C651" s="1" t="s">
        <v>235</v>
      </c>
      <c r="D651" s="1">
        <v>1</v>
      </c>
      <c r="E651" s="1">
        <v>286.7</v>
      </c>
      <c r="F651" s="1">
        <v>23</v>
      </c>
      <c r="G651" s="1" t="s">
        <v>29</v>
      </c>
      <c r="H651" s="1">
        <v>153</v>
      </c>
      <c r="K651" s="1" t="s">
        <v>70</v>
      </c>
      <c r="L651" s="1" t="s">
        <v>242</v>
      </c>
      <c r="M651" s="1" t="s">
        <v>243</v>
      </c>
      <c r="N651" s="1" t="s">
        <v>244</v>
      </c>
      <c r="O651" s="1">
        <v>72.540000000000006</v>
      </c>
      <c r="P651" s="1" t="s">
        <v>162</v>
      </c>
    </row>
    <row r="652" spans="1:16">
      <c r="A652" s="7">
        <v>39856</v>
      </c>
      <c r="B652" s="1">
        <v>268</v>
      </c>
      <c r="C652" s="1" t="s">
        <v>234</v>
      </c>
      <c r="D652" s="1">
        <v>1</v>
      </c>
      <c r="E652" s="1">
        <v>410.95</v>
      </c>
      <c r="F652" s="1">
        <v>23</v>
      </c>
      <c r="G652" s="1" t="s">
        <v>29</v>
      </c>
      <c r="H652" s="1">
        <v>1661</v>
      </c>
      <c r="K652" s="1" t="s">
        <v>68</v>
      </c>
      <c r="L652" s="1" t="s">
        <v>242</v>
      </c>
      <c r="M652" s="1" t="s">
        <v>243</v>
      </c>
      <c r="N652" s="1" t="s">
        <v>244</v>
      </c>
      <c r="O652" s="1">
        <v>218.55</v>
      </c>
      <c r="P652" s="1" t="s">
        <v>162</v>
      </c>
    </row>
    <row r="653" spans="1:16">
      <c r="A653" s="7">
        <v>39856</v>
      </c>
      <c r="B653" s="1">
        <v>270</v>
      </c>
      <c r="C653" s="1" t="s">
        <v>234</v>
      </c>
      <c r="D653" s="1">
        <v>3</v>
      </c>
      <c r="E653" s="1">
        <v>475.31</v>
      </c>
      <c r="F653" s="1">
        <v>23</v>
      </c>
      <c r="G653" s="1" t="s">
        <v>29</v>
      </c>
      <c r="H653" s="1">
        <v>1737</v>
      </c>
      <c r="K653" s="1" t="s">
        <v>68</v>
      </c>
      <c r="L653" s="1" t="s">
        <v>242</v>
      </c>
      <c r="M653" s="1" t="s">
        <v>243</v>
      </c>
      <c r="N653" s="1" t="s">
        <v>244</v>
      </c>
      <c r="O653" s="1">
        <v>375.31</v>
      </c>
      <c r="P653" s="1" t="s">
        <v>162</v>
      </c>
    </row>
    <row r="654" spans="1:16">
      <c r="A654" s="7">
        <v>39856</v>
      </c>
      <c r="B654" s="1">
        <v>271</v>
      </c>
      <c r="C654" s="1" t="s">
        <v>234</v>
      </c>
      <c r="D654" s="1">
        <v>3</v>
      </c>
      <c r="E654" s="1">
        <v>414.46</v>
      </c>
      <c r="F654" s="1">
        <v>23</v>
      </c>
      <c r="G654" s="1" t="s">
        <v>29</v>
      </c>
      <c r="H654" s="1">
        <v>1476</v>
      </c>
      <c r="K654" s="1" t="s">
        <v>70</v>
      </c>
      <c r="L654" s="1" t="s">
        <v>242</v>
      </c>
      <c r="M654" s="1" t="s">
        <v>243</v>
      </c>
      <c r="N654" s="1" t="s">
        <v>244</v>
      </c>
      <c r="O654" s="1">
        <v>171.6</v>
      </c>
      <c r="P654" s="1" t="s">
        <v>162</v>
      </c>
    </row>
    <row r="655" spans="1:16">
      <c r="A655" s="7">
        <v>39856</v>
      </c>
      <c r="B655" s="1">
        <v>272</v>
      </c>
      <c r="C655" s="1" t="s">
        <v>235</v>
      </c>
      <c r="D655" s="1">
        <v>1</v>
      </c>
      <c r="E655" s="1">
        <v>1046.6199999999999</v>
      </c>
      <c r="F655" s="1">
        <v>23</v>
      </c>
      <c r="G655" s="1" t="s">
        <v>29</v>
      </c>
      <c r="H655" s="1">
        <v>163</v>
      </c>
      <c r="K655" s="1" t="s">
        <v>68</v>
      </c>
      <c r="L655" s="1" t="s">
        <v>242</v>
      </c>
      <c r="M655" s="1" t="s">
        <v>243</v>
      </c>
      <c r="N655" s="1" t="s">
        <v>244</v>
      </c>
      <c r="O655" s="1">
        <v>117.84</v>
      </c>
      <c r="P655" s="1" t="s">
        <v>162</v>
      </c>
    </row>
    <row r="656" spans="1:16">
      <c r="A656" s="7">
        <v>39856</v>
      </c>
      <c r="B656" s="1">
        <v>273</v>
      </c>
      <c r="C656" s="1" t="s">
        <v>235</v>
      </c>
      <c r="D656" s="1">
        <v>1</v>
      </c>
      <c r="E656" s="1">
        <v>809.56</v>
      </c>
      <c r="F656" s="1">
        <v>23</v>
      </c>
      <c r="G656" s="1" t="s">
        <v>29</v>
      </c>
      <c r="H656" s="1">
        <v>1390</v>
      </c>
      <c r="K656" s="1" t="s">
        <v>70</v>
      </c>
      <c r="L656" s="1" t="s">
        <v>242</v>
      </c>
      <c r="M656" s="1" t="s">
        <v>243</v>
      </c>
      <c r="N656" s="1" t="s">
        <v>244</v>
      </c>
      <c r="O656" s="1">
        <v>20.41</v>
      </c>
      <c r="P656" s="1" t="s">
        <v>162</v>
      </c>
    </row>
    <row r="657" spans="1:16">
      <c r="A657" s="7">
        <v>39856</v>
      </c>
      <c r="B657" s="1">
        <v>274</v>
      </c>
      <c r="C657" s="1" t="s">
        <v>235</v>
      </c>
      <c r="D657" s="1">
        <v>1</v>
      </c>
      <c r="E657" s="1">
        <v>546.16</v>
      </c>
      <c r="F657" s="1">
        <v>23</v>
      </c>
      <c r="G657" s="1" t="s">
        <v>29</v>
      </c>
      <c r="H657" s="1">
        <v>1140</v>
      </c>
      <c r="K657" s="1" t="s">
        <v>68</v>
      </c>
      <c r="L657" s="1" t="s">
        <v>242</v>
      </c>
      <c r="M657" s="1" t="s">
        <v>243</v>
      </c>
      <c r="N657" s="1" t="s">
        <v>244</v>
      </c>
      <c r="O657" s="1">
        <v>130.96</v>
      </c>
      <c r="P657" s="1" t="s">
        <v>162</v>
      </c>
    </row>
    <row r="658" spans="1:16">
      <c r="A658" s="7">
        <v>39856</v>
      </c>
      <c r="B658" s="1">
        <v>275</v>
      </c>
      <c r="C658" s="1" t="s">
        <v>234</v>
      </c>
      <c r="D658" s="1">
        <v>4</v>
      </c>
      <c r="E658" s="1">
        <v>648.07000000000005</v>
      </c>
      <c r="F658" s="1">
        <v>23</v>
      </c>
      <c r="G658" s="1" t="s">
        <v>29</v>
      </c>
      <c r="H658" s="1">
        <v>974</v>
      </c>
      <c r="K658" s="1" t="s">
        <v>70</v>
      </c>
      <c r="L658" s="1" t="s">
        <v>242</v>
      </c>
      <c r="M658" s="1" t="s">
        <v>243</v>
      </c>
      <c r="N658" s="1" t="s">
        <v>244</v>
      </c>
      <c r="O658" s="1">
        <v>37.19</v>
      </c>
      <c r="P658" s="1" t="s">
        <v>162</v>
      </c>
    </row>
    <row r="659" spans="1:16">
      <c r="A659" s="7">
        <v>39856</v>
      </c>
      <c r="B659" s="1">
        <v>276</v>
      </c>
      <c r="C659" s="1" t="s">
        <v>234</v>
      </c>
      <c r="D659" s="1">
        <v>4</v>
      </c>
      <c r="E659" s="1">
        <v>572.5</v>
      </c>
      <c r="F659" s="1">
        <v>23</v>
      </c>
      <c r="G659" s="1" t="s">
        <v>29</v>
      </c>
      <c r="H659" s="1">
        <v>27</v>
      </c>
      <c r="K659" s="1" t="s">
        <v>63</v>
      </c>
      <c r="L659" s="1" t="s">
        <v>242</v>
      </c>
      <c r="M659" s="1" t="s">
        <v>243</v>
      </c>
      <c r="N659" s="1" t="s">
        <v>244</v>
      </c>
      <c r="O659" s="1">
        <v>20365.48</v>
      </c>
      <c r="P659" s="1" t="s">
        <v>163</v>
      </c>
    </row>
    <row r="660" spans="1:16">
      <c r="A660" s="7">
        <v>39856</v>
      </c>
      <c r="B660" s="1">
        <v>280</v>
      </c>
      <c r="C660" s="1" t="s">
        <v>234</v>
      </c>
      <c r="D660" s="1">
        <v>2</v>
      </c>
      <c r="E660" s="1">
        <v>111.9</v>
      </c>
      <c r="F660" s="1">
        <v>23</v>
      </c>
      <c r="G660" s="1" t="s">
        <v>30</v>
      </c>
      <c r="H660" s="1">
        <v>1739</v>
      </c>
      <c r="K660" s="1" t="s">
        <v>63</v>
      </c>
      <c r="L660" s="1" t="s">
        <v>242</v>
      </c>
      <c r="M660" s="1" t="s">
        <v>243</v>
      </c>
      <c r="N660" s="1" t="s">
        <v>244</v>
      </c>
      <c r="O660" s="1">
        <v>12839.25</v>
      </c>
      <c r="P660" s="1" t="s">
        <v>163</v>
      </c>
    </row>
    <row r="661" spans="1:16">
      <c r="A661" s="7">
        <v>39856</v>
      </c>
      <c r="B661" s="1">
        <v>263</v>
      </c>
      <c r="C661" s="1" t="s">
        <v>234</v>
      </c>
      <c r="D661" s="1">
        <v>4</v>
      </c>
      <c r="E661" s="1">
        <v>568.36</v>
      </c>
      <c r="F661" s="1">
        <v>23</v>
      </c>
      <c r="G661" s="1" t="s">
        <v>47</v>
      </c>
      <c r="H661" s="1">
        <v>2017</v>
      </c>
      <c r="K661" s="1" t="s">
        <v>63</v>
      </c>
      <c r="L661" s="1" t="s">
        <v>242</v>
      </c>
      <c r="M661" s="1" t="s">
        <v>243</v>
      </c>
      <c r="N661" s="1" t="s">
        <v>244</v>
      </c>
      <c r="O661" s="1">
        <v>-2407.9899999999998</v>
      </c>
      <c r="P661" s="1" t="s">
        <v>163</v>
      </c>
    </row>
    <row r="662" spans="1:16">
      <c r="A662" s="7">
        <v>39884</v>
      </c>
      <c r="B662" s="1">
        <v>504</v>
      </c>
      <c r="C662" s="1" t="s">
        <v>234</v>
      </c>
      <c r="D662" s="1">
        <v>4</v>
      </c>
      <c r="E662" s="1">
        <v>138.72</v>
      </c>
      <c r="F662" s="1">
        <v>23</v>
      </c>
      <c r="G662" s="1" t="s">
        <v>48</v>
      </c>
      <c r="H662" s="1">
        <v>156</v>
      </c>
      <c r="K662" s="1" t="s">
        <v>63</v>
      </c>
      <c r="L662" s="1" t="s">
        <v>242</v>
      </c>
      <c r="M662" s="1" t="s">
        <v>243</v>
      </c>
      <c r="N662" s="1" t="s">
        <v>244</v>
      </c>
      <c r="O662" s="1">
        <v>33229.5</v>
      </c>
      <c r="P662" s="1" t="s">
        <v>163</v>
      </c>
    </row>
    <row r="663" spans="1:16">
      <c r="A663" s="7">
        <v>39884</v>
      </c>
      <c r="B663" s="1">
        <v>468</v>
      </c>
      <c r="C663" s="1" t="s">
        <v>234</v>
      </c>
      <c r="D663" s="1">
        <v>3</v>
      </c>
      <c r="E663" s="1">
        <v>454.55</v>
      </c>
      <c r="F663" s="1">
        <v>23</v>
      </c>
      <c r="G663" s="1" t="s">
        <v>3</v>
      </c>
      <c r="H663" s="1">
        <v>1813</v>
      </c>
      <c r="K663" s="1" t="s">
        <v>63</v>
      </c>
      <c r="L663" s="1" t="s">
        <v>242</v>
      </c>
      <c r="M663" s="1" t="s">
        <v>243</v>
      </c>
      <c r="N663" s="1" t="s">
        <v>244</v>
      </c>
      <c r="O663" s="1">
        <v>12670.6</v>
      </c>
      <c r="P663" s="1" t="s">
        <v>163</v>
      </c>
    </row>
    <row r="664" spans="1:16">
      <c r="A664" s="7">
        <v>39945</v>
      </c>
      <c r="B664" s="1">
        <v>548</v>
      </c>
      <c r="C664" s="1" t="s">
        <v>234</v>
      </c>
      <c r="D664" s="1">
        <v>4</v>
      </c>
      <c r="E664" s="1">
        <v>1800</v>
      </c>
      <c r="F664" s="1">
        <v>23</v>
      </c>
      <c r="G664" s="1" t="s">
        <v>49</v>
      </c>
      <c r="H664" s="1">
        <v>0</v>
      </c>
      <c r="K664" s="1" t="s">
        <v>65</v>
      </c>
      <c r="L664" s="1" t="s">
        <v>242</v>
      </c>
      <c r="M664" s="1" t="s">
        <v>243</v>
      </c>
      <c r="N664" s="1" t="s">
        <v>244</v>
      </c>
      <c r="O664" s="1">
        <v>9221.1200000000008</v>
      </c>
      <c r="P664" s="1" t="s">
        <v>163</v>
      </c>
    </row>
    <row r="665" spans="1:16">
      <c r="A665" s="7">
        <v>39976</v>
      </c>
      <c r="B665" s="1">
        <v>600</v>
      </c>
      <c r="C665" s="1" t="s">
        <v>234</v>
      </c>
      <c r="D665" s="1">
        <v>4</v>
      </c>
      <c r="E665" s="1">
        <v>54.95</v>
      </c>
      <c r="F665" s="1">
        <v>23</v>
      </c>
      <c r="G665" s="1" t="s">
        <v>48</v>
      </c>
      <c r="H665" s="1">
        <v>156</v>
      </c>
      <c r="K665" s="1" t="s">
        <v>66</v>
      </c>
      <c r="L665" s="1" t="s">
        <v>242</v>
      </c>
      <c r="M665" s="1" t="s">
        <v>243</v>
      </c>
      <c r="N665" s="1" t="s">
        <v>244</v>
      </c>
      <c r="O665" s="1">
        <v>7623.5</v>
      </c>
      <c r="P665" s="1" t="s">
        <v>163</v>
      </c>
    </row>
    <row r="666" spans="1:16">
      <c r="A666" s="7">
        <v>40098</v>
      </c>
      <c r="B666" s="1">
        <v>1453</v>
      </c>
      <c r="C666" s="1" t="s">
        <v>234</v>
      </c>
      <c r="D666" s="1">
        <v>3</v>
      </c>
      <c r="E666" s="1">
        <v>287.5</v>
      </c>
      <c r="F666" s="1">
        <v>23</v>
      </c>
      <c r="G666" s="1" t="s">
        <v>17</v>
      </c>
      <c r="H666" s="1">
        <v>1494</v>
      </c>
      <c r="K666" s="1" t="s">
        <v>66</v>
      </c>
      <c r="L666" s="1" t="s">
        <v>242</v>
      </c>
      <c r="M666" s="1" t="s">
        <v>243</v>
      </c>
      <c r="N666" s="1" t="s">
        <v>244</v>
      </c>
      <c r="O666" s="1">
        <v>-418.69</v>
      </c>
      <c r="P666" s="1" t="s">
        <v>163</v>
      </c>
    </row>
    <row r="667" spans="1:16">
      <c r="A667" s="7">
        <v>39826</v>
      </c>
      <c r="B667" s="1">
        <v>4</v>
      </c>
      <c r="C667" s="1" t="s">
        <v>234</v>
      </c>
      <c r="D667" s="1">
        <v>4</v>
      </c>
      <c r="E667" s="1">
        <v>150</v>
      </c>
      <c r="F667" s="1">
        <v>23</v>
      </c>
      <c r="G667" s="1" t="s">
        <v>41</v>
      </c>
      <c r="H667" s="1">
        <v>1980</v>
      </c>
      <c r="K667" s="1" t="s">
        <v>66</v>
      </c>
      <c r="L667" s="1" t="s">
        <v>242</v>
      </c>
      <c r="M667" s="1" t="s">
        <v>243</v>
      </c>
      <c r="N667" s="1" t="s">
        <v>244</v>
      </c>
      <c r="O667" s="1">
        <v>1717.75</v>
      </c>
      <c r="P667" s="1" t="s">
        <v>163</v>
      </c>
    </row>
    <row r="668" spans="1:16">
      <c r="A668" s="7">
        <v>39826</v>
      </c>
      <c r="B668" s="1">
        <v>5</v>
      </c>
      <c r="C668" s="1" t="s">
        <v>234</v>
      </c>
      <c r="D668" s="1">
        <v>4</v>
      </c>
      <c r="E668" s="1">
        <v>150</v>
      </c>
      <c r="F668" s="1">
        <v>23</v>
      </c>
      <c r="G668" s="1" t="s">
        <v>41</v>
      </c>
      <c r="H668" s="1">
        <v>1981</v>
      </c>
      <c r="K668" s="1" t="s">
        <v>66</v>
      </c>
      <c r="L668" s="1" t="s">
        <v>242</v>
      </c>
      <c r="M668" s="1" t="s">
        <v>243</v>
      </c>
      <c r="N668" s="1" t="s">
        <v>244</v>
      </c>
      <c r="O668" s="1">
        <v>16550.78</v>
      </c>
      <c r="P668" s="1" t="s">
        <v>163</v>
      </c>
    </row>
    <row r="669" spans="1:16">
      <c r="A669" s="7">
        <v>39826</v>
      </c>
      <c r="B669" s="1">
        <v>6</v>
      </c>
      <c r="C669" s="1" t="s">
        <v>234</v>
      </c>
      <c r="D669" s="1">
        <v>4</v>
      </c>
      <c r="E669" s="1">
        <v>150</v>
      </c>
      <c r="F669" s="1">
        <v>23</v>
      </c>
      <c r="G669" s="1" t="s">
        <v>41</v>
      </c>
      <c r="H669" s="1">
        <v>1982</v>
      </c>
      <c r="K669" s="1" t="s">
        <v>66</v>
      </c>
      <c r="L669" s="1" t="s">
        <v>242</v>
      </c>
      <c r="M669" s="1" t="s">
        <v>243</v>
      </c>
      <c r="N669" s="1" t="s">
        <v>244</v>
      </c>
      <c r="O669" s="1">
        <v>2914.32</v>
      </c>
      <c r="P669" s="1" t="s">
        <v>163</v>
      </c>
    </row>
    <row r="670" spans="1:16">
      <c r="A670" s="7">
        <v>40191</v>
      </c>
      <c r="B670" s="1">
        <v>1575</v>
      </c>
      <c r="C670" s="1" t="s">
        <v>234</v>
      </c>
      <c r="D670" s="1">
        <v>2</v>
      </c>
      <c r="E670" s="1">
        <v>130</v>
      </c>
      <c r="F670" s="1">
        <v>23</v>
      </c>
      <c r="G670" s="1" t="s">
        <v>50</v>
      </c>
      <c r="H670" s="1">
        <v>0</v>
      </c>
      <c r="K670" s="1" t="s">
        <v>67</v>
      </c>
      <c r="L670" s="1" t="s">
        <v>242</v>
      </c>
      <c r="M670" s="1" t="s">
        <v>243</v>
      </c>
      <c r="N670" s="1" t="s">
        <v>244</v>
      </c>
      <c r="O670" s="1">
        <v>1781.67</v>
      </c>
      <c r="P670" s="1" t="s">
        <v>163</v>
      </c>
    </row>
    <row r="671" spans="1:16">
      <c r="A671" s="7">
        <v>39857</v>
      </c>
      <c r="B671" s="1">
        <v>514</v>
      </c>
      <c r="C671" s="1" t="s">
        <v>234</v>
      </c>
      <c r="D671" s="1">
        <v>3</v>
      </c>
      <c r="E671" s="1">
        <v>727.14</v>
      </c>
      <c r="F671" s="1">
        <v>23</v>
      </c>
      <c r="G671" s="1" t="s">
        <v>12</v>
      </c>
      <c r="H671" s="1">
        <v>520</v>
      </c>
      <c r="K671" s="1" t="s">
        <v>67</v>
      </c>
      <c r="L671" s="1" t="s">
        <v>242</v>
      </c>
      <c r="M671" s="1" t="s">
        <v>243</v>
      </c>
      <c r="N671" s="1" t="s">
        <v>244</v>
      </c>
      <c r="O671" s="1">
        <v>948.89</v>
      </c>
      <c r="P671" s="1" t="s">
        <v>163</v>
      </c>
    </row>
    <row r="672" spans="1:16">
      <c r="A672" s="7">
        <v>39857</v>
      </c>
      <c r="B672" s="1">
        <v>282</v>
      </c>
      <c r="C672" s="1" t="s">
        <v>235</v>
      </c>
      <c r="D672" s="1">
        <v>4</v>
      </c>
      <c r="E672" s="1">
        <v>1097.25</v>
      </c>
      <c r="F672" s="1">
        <v>23</v>
      </c>
      <c r="G672" s="1" t="s">
        <v>3</v>
      </c>
      <c r="H672" s="1">
        <v>98</v>
      </c>
      <c r="K672" s="1" t="s">
        <v>67</v>
      </c>
      <c r="L672" s="1" t="s">
        <v>242</v>
      </c>
      <c r="M672" s="1" t="s">
        <v>243</v>
      </c>
      <c r="N672" s="1" t="s">
        <v>244</v>
      </c>
      <c r="O672" s="1">
        <v>4137.8500000000004</v>
      </c>
      <c r="P672" s="1" t="s">
        <v>163</v>
      </c>
    </row>
    <row r="673" spans="1:16">
      <c r="A673" s="7">
        <v>39857</v>
      </c>
      <c r="B673" s="1">
        <v>293</v>
      </c>
      <c r="C673" s="1" t="s">
        <v>235</v>
      </c>
      <c r="D673" s="1">
        <v>4</v>
      </c>
      <c r="E673" s="1">
        <v>454.58</v>
      </c>
      <c r="F673" s="1">
        <v>23</v>
      </c>
      <c r="G673" s="1" t="s">
        <v>3</v>
      </c>
      <c r="H673" s="1">
        <v>1340</v>
      </c>
      <c r="K673" s="1" t="s">
        <v>67</v>
      </c>
      <c r="L673" s="1" t="s">
        <v>242</v>
      </c>
      <c r="M673" s="1" t="s">
        <v>243</v>
      </c>
      <c r="N673" s="1" t="s">
        <v>244</v>
      </c>
      <c r="O673" s="1">
        <v>466.9</v>
      </c>
      <c r="P673" s="1" t="s">
        <v>163</v>
      </c>
    </row>
    <row r="674" spans="1:16">
      <c r="A674" s="7">
        <v>39857</v>
      </c>
      <c r="B674" s="1">
        <v>294</v>
      </c>
      <c r="C674" s="1" t="s">
        <v>234</v>
      </c>
      <c r="D674" s="1">
        <v>4</v>
      </c>
      <c r="E674" s="1">
        <v>909.15</v>
      </c>
      <c r="F674" s="1">
        <v>23</v>
      </c>
      <c r="G674" s="1" t="s">
        <v>3</v>
      </c>
      <c r="H674" s="1">
        <v>1383</v>
      </c>
      <c r="K674" s="1" t="s">
        <v>68</v>
      </c>
      <c r="L674" s="1" t="s">
        <v>242</v>
      </c>
      <c r="M674" s="1" t="s">
        <v>243</v>
      </c>
      <c r="N674" s="1" t="s">
        <v>244</v>
      </c>
      <c r="O674" s="1">
        <v>2879.22</v>
      </c>
      <c r="P674" s="1" t="s">
        <v>163</v>
      </c>
    </row>
    <row r="675" spans="1:16">
      <c r="A675" s="7">
        <v>39857</v>
      </c>
      <c r="B675" s="1">
        <v>277</v>
      </c>
      <c r="C675" s="1" t="s">
        <v>235</v>
      </c>
      <c r="D675" s="1">
        <v>1</v>
      </c>
      <c r="E675" s="1">
        <v>793.02</v>
      </c>
      <c r="F675" s="1">
        <v>23</v>
      </c>
      <c r="G675" s="1" t="s">
        <v>28</v>
      </c>
      <c r="H675" s="1">
        <v>2018</v>
      </c>
      <c r="K675" s="1" t="s">
        <v>68</v>
      </c>
      <c r="L675" s="1" t="s">
        <v>242</v>
      </c>
      <c r="M675" s="1" t="s">
        <v>243</v>
      </c>
      <c r="N675" s="1" t="s">
        <v>244</v>
      </c>
      <c r="O675" s="1">
        <v>1479.45</v>
      </c>
      <c r="P675" s="1" t="s">
        <v>163</v>
      </c>
    </row>
    <row r="676" spans="1:16">
      <c r="A676" s="7">
        <v>39857</v>
      </c>
      <c r="B676" s="1">
        <v>302</v>
      </c>
      <c r="C676" s="1" t="s">
        <v>234</v>
      </c>
      <c r="D676" s="1">
        <v>1</v>
      </c>
      <c r="E676" s="1">
        <v>437.44</v>
      </c>
      <c r="F676" s="1">
        <v>23</v>
      </c>
      <c r="G676" s="1" t="s">
        <v>28</v>
      </c>
      <c r="H676" s="1">
        <v>2020</v>
      </c>
      <c r="K676" s="1" t="s">
        <v>68</v>
      </c>
      <c r="L676" s="1" t="s">
        <v>242</v>
      </c>
      <c r="M676" s="1" t="s">
        <v>243</v>
      </c>
      <c r="N676" s="1" t="s">
        <v>244</v>
      </c>
      <c r="O676" s="1">
        <v>4857.87</v>
      </c>
      <c r="P676" s="1" t="s">
        <v>163</v>
      </c>
    </row>
    <row r="677" spans="1:16">
      <c r="A677" s="7">
        <v>39857</v>
      </c>
      <c r="B677" s="1">
        <v>278</v>
      </c>
      <c r="C677" s="1" t="s">
        <v>235</v>
      </c>
      <c r="D677" s="1">
        <v>1</v>
      </c>
      <c r="E677" s="1">
        <v>387.47</v>
      </c>
      <c r="F677" s="1">
        <v>23</v>
      </c>
      <c r="G677" s="1" t="s">
        <v>29</v>
      </c>
      <c r="H677" s="1">
        <v>1638</v>
      </c>
      <c r="K677" s="1" t="s">
        <v>68</v>
      </c>
      <c r="L677" s="1" t="s">
        <v>242</v>
      </c>
      <c r="M677" s="1" t="s">
        <v>243</v>
      </c>
      <c r="N677" s="1" t="s">
        <v>244</v>
      </c>
      <c r="O677" s="1">
        <v>1707.91</v>
      </c>
      <c r="P677" s="1" t="s">
        <v>163</v>
      </c>
    </row>
    <row r="678" spans="1:16">
      <c r="A678" s="7">
        <v>39857</v>
      </c>
      <c r="B678" s="1">
        <v>279</v>
      </c>
      <c r="C678" s="1" t="s">
        <v>234</v>
      </c>
      <c r="D678" s="1">
        <v>2</v>
      </c>
      <c r="E678" s="1">
        <v>230.08</v>
      </c>
      <c r="F678" s="1">
        <v>23</v>
      </c>
      <c r="G678" s="1" t="s">
        <v>29</v>
      </c>
      <c r="H678" s="1">
        <v>1278</v>
      </c>
      <c r="K678" s="1" t="s">
        <v>69</v>
      </c>
      <c r="L678" s="1" t="s">
        <v>242</v>
      </c>
      <c r="M678" s="1" t="s">
        <v>243</v>
      </c>
      <c r="N678" s="1" t="s">
        <v>244</v>
      </c>
      <c r="O678" s="1">
        <v>1198.76</v>
      </c>
      <c r="P678" s="1" t="s">
        <v>163</v>
      </c>
    </row>
    <row r="679" spans="1:16">
      <c r="A679" s="7">
        <v>39857</v>
      </c>
      <c r="B679" s="1">
        <v>281</v>
      </c>
      <c r="C679" s="1" t="s">
        <v>235</v>
      </c>
      <c r="D679" s="1">
        <v>1</v>
      </c>
      <c r="E679" s="1">
        <v>361.78</v>
      </c>
      <c r="F679" s="1">
        <v>23</v>
      </c>
      <c r="G679" s="1" t="s">
        <v>29</v>
      </c>
      <c r="H679" s="1">
        <v>1793</v>
      </c>
      <c r="K679" s="1" t="s">
        <v>70</v>
      </c>
      <c r="L679" s="1" t="s">
        <v>242</v>
      </c>
      <c r="M679" s="1" t="s">
        <v>243</v>
      </c>
      <c r="N679" s="1" t="s">
        <v>244</v>
      </c>
      <c r="O679" s="1">
        <v>936.68</v>
      </c>
      <c r="P679" s="1" t="s">
        <v>163</v>
      </c>
    </row>
    <row r="680" spans="1:16">
      <c r="A680" s="7">
        <v>39857</v>
      </c>
      <c r="B680" s="1">
        <v>283</v>
      </c>
      <c r="C680" s="1" t="s">
        <v>234</v>
      </c>
      <c r="D680" s="1">
        <v>2</v>
      </c>
      <c r="E680" s="1">
        <v>533.98</v>
      </c>
      <c r="F680" s="1">
        <v>23</v>
      </c>
      <c r="G680" s="1" t="s">
        <v>29</v>
      </c>
      <c r="H680" s="1">
        <v>730</v>
      </c>
      <c r="K680" s="1" t="s">
        <v>70</v>
      </c>
      <c r="L680" s="1" t="s">
        <v>242</v>
      </c>
      <c r="M680" s="1" t="s">
        <v>243</v>
      </c>
      <c r="N680" s="1" t="s">
        <v>244</v>
      </c>
      <c r="O680" s="1">
        <v>223.32</v>
      </c>
      <c r="P680" s="1" t="s">
        <v>163</v>
      </c>
    </row>
    <row r="681" spans="1:16">
      <c r="A681" s="7">
        <v>39857</v>
      </c>
      <c r="B681" s="1">
        <v>285</v>
      </c>
      <c r="C681" s="1" t="s">
        <v>235</v>
      </c>
      <c r="D681" s="1">
        <v>1</v>
      </c>
      <c r="E681" s="1">
        <v>351.98</v>
      </c>
      <c r="F681" s="1">
        <v>23</v>
      </c>
      <c r="G681" s="1" t="s">
        <v>29</v>
      </c>
      <c r="H681" s="1">
        <v>13</v>
      </c>
      <c r="K681" s="1" t="s">
        <v>70</v>
      </c>
      <c r="L681" s="1" t="s">
        <v>242</v>
      </c>
      <c r="M681" s="1" t="s">
        <v>243</v>
      </c>
      <c r="N681" s="1" t="s">
        <v>244</v>
      </c>
      <c r="O681" s="1">
        <v>2151.61</v>
      </c>
      <c r="P681" s="1" t="s">
        <v>163</v>
      </c>
    </row>
    <row r="682" spans="1:16">
      <c r="A682" s="7">
        <v>39857</v>
      </c>
      <c r="B682" s="1">
        <v>286</v>
      </c>
      <c r="C682" s="1" t="s">
        <v>235</v>
      </c>
      <c r="D682" s="1">
        <v>1</v>
      </c>
      <c r="E682" s="1">
        <v>585.66999999999996</v>
      </c>
      <c r="F682" s="1">
        <v>23</v>
      </c>
      <c r="G682" s="1" t="s">
        <v>29</v>
      </c>
      <c r="H682" s="1">
        <v>902</v>
      </c>
      <c r="K682" s="1" t="s">
        <v>70</v>
      </c>
      <c r="L682" s="1" t="s">
        <v>242</v>
      </c>
      <c r="M682" s="1" t="s">
        <v>243</v>
      </c>
      <c r="N682" s="1" t="s">
        <v>244</v>
      </c>
      <c r="O682" s="1">
        <v>378.91</v>
      </c>
      <c r="P682" s="1" t="s">
        <v>163</v>
      </c>
    </row>
    <row r="683" spans="1:16">
      <c r="A683" s="7">
        <v>39857</v>
      </c>
      <c r="B683" s="1">
        <v>287</v>
      </c>
      <c r="C683" s="1" t="s">
        <v>235</v>
      </c>
      <c r="D683" s="1">
        <v>1</v>
      </c>
      <c r="E683" s="1">
        <v>458.87</v>
      </c>
      <c r="F683" s="1">
        <v>23</v>
      </c>
      <c r="G683" s="1" t="s">
        <v>29</v>
      </c>
      <c r="H683" s="1">
        <v>661</v>
      </c>
      <c r="K683" s="1" t="s">
        <v>71</v>
      </c>
      <c r="L683" s="1" t="s">
        <v>242</v>
      </c>
      <c r="M683" s="1" t="s">
        <v>243</v>
      </c>
      <c r="N683" s="1" t="s">
        <v>244</v>
      </c>
      <c r="O683" s="1">
        <v>313.64</v>
      </c>
      <c r="P683" s="1" t="s">
        <v>163</v>
      </c>
    </row>
    <row r="684" spans="1:16">
      <c r="A684" s="7">
        <v>39857</v>
      </c>
      <c r="B684" s="1">
        <v>288</v>
      </c>
      <c r="C684" s="1" t="s">
        <v>234</v>
      </c>
      <c r="D684" s="1">
        <v>4</v>
      </c>
      <c r="E684" s="1">
        <v>572.5</v>
      </c>
      <c r="F684" s="1">
        <v>23</v>
      </c>
      <c r="G684" s="1" t="s">
        <v>29</v>
      </c>
      <c r="H684" s="1">
        <v>958</v>
      </c>
      <c r="K684" s="1" t="s">
        <v>71</v>
      </c>
      <c r="L684" s="1" t="s">
        <v>242</v>
      </c>
      <c r="M684" s="1" t="s">
        <v>243</v>
      </c>
      <c r="N684" s="1" t="s">
        <v>244</v>
      </c>
      <c r="O684" s="1">
        <v>113.78</v>
      </c>
      <c r="P684" s="1" t="s">
        <v>163</v>
      </c>
    </row>
    <row r="685" spans="1:16">
      <c r="A685" s="7">
        <v>39857</v>
      </c>
      <c r="B685" s="1">
        <v>289</v>
      </c>
      <c r="C685" s="1" t="s">
        <v>234</v>
      </c>
      <c r="D685" s="1">
        <v>3</v>
      </c>
      <c r="E685" s="1">
        <v>223.54</v>
      </c>
      <c r="F685" s="1">
        <v>23</v>
      </c>
      <c r="G685" s="1" t="s">
        <v>29</v>
      </c>
      <c r="H685" s="1">
        <v>1453</v>
      </c>
      <c r="K685" s="1" t="s">
        <v>71</v>
      </c>
      <c r="L685" s="1" t="s">
        <v>242</v>
      </c>
      <c r="M685" s="1" t="s">
        <v>243</v>
      </c>
      <c r="N685" s="1" t="s">
        <v>244</v>
      </c>
      <c r="O685" s="1">
        <v>373.62</v>
      </c>
      <c r="P685" s="1" t="s">
        <v>163</v>
      </c>
    </row>
    <row r="686" spans="1:16">
      <c r="A686" s="7">
        <v>39857</v>
      </c>
      <c r="B686" s="1">
        <v>290</v>
      </c>
      <c r="C686" s="1" t="s">
        <v>234</v>
      </c>
      <c r="D686" s="1">
        <v>3</v>
      </c>
      <c r="E686" s="1">
        <v>770.05</v>
      </c>
      <c r="F686" s="1">
        <v>23</v>
      </c>
      <c r="G686" s="1" t="s">
        <v>29</v>
      </c>
      <c r="H686" s="1">
        <v>1119</v>
      </c>
      <c r="K686" s="1" t="s">
        <v>71</v>
      </c>
      <c r="L686" s="1" t="s">
        <v>242</v>
      </c>
      <c r="M686" s="1" t="s">
        <v>243</v>
      </c>
      <c r="N686" s="1" t="s">
        <v>244</v>
      </c>
      <c r="O686" s="1">
        <v>131.35</v>
      </c>
      <c r="P686" s="1" t="s">
        <v>163</v>
      </c>
    </row>
    <row r="687" spans="1:16">
      <c r="A687" s="7">
        <v>39857</v>
      </c>
      <c r="B687" s="1">
        <v>291</v>
      </c>
      <c r="C687" s="1" t="s">
        <v>234</v>
      </c>
      <c r="D687" s="1">
        <v>3</v>
      </c>
      <c r="E687" s="1">
        <v>598.84</v>
      </c>
      <c r="F687" s="1">
        <v>23</v>
      </c>
      <c r="G687" s="1" t="s">
        <v>29</v>
      </c>
      <c r="H687" s="1">
        <v>969</v>
      </c>
      <c r="K687" s="1" t="s">
        <v>90</v>
      </c>
      <c r="L687" s="1" t="s">
        <v>245</v>
      </c>
      <c r="M687" s="1" t="s">
        <v>246</v>
      </c>
      <c r="N687" s="1" t="s">
        <v>255</v>
      </c>
      <c r="O687" s="1">
        <v>442.1</v>
      </c>
      <c r="P687" s="1" t="s">
        <v>162</v>
      </c>
    </row>
    <row r="688" spans="1:16">
      <c r="A688" s="7">
        <v>39857</v>
      </c>
      <c r="B688" s="1">
        <v>292</v>
      </c>
      <c r="C688" s="1" t="s">
        <v>234</v>
      </c>
      <c r="D688" s="1">
        <v>4</v>
      </c>
      <c r="E688" s="1">
        <v>192.8</v>
      </c>
      <c r="F688" s="1">
        <v>23</v>
      </c>
      <c r="G688" s="1" t="s">
        <v>29</v>
      </c>
      <c r="H688" s="1">
        <v>608</v>
      </c>
      <c r="K688" s="1" t="s">
        <v>92</v>
      </c>
      <c r="L688" s="1" t="s">
        <v>245</v>
      </c>
      <c r="M688" s="1" t="s">
        <v>246</v>
      </c>
      <c r="N688" s="1" t="s">
        <v>255</v>
      </c>
      <c r="O688" s="1">
        <v>4225.34</v>
      </c>
      <c r="P688" s="1" t="s">
        <v>164</v>
      </c>
    </row>
    <row r="689" spans="1:16">
      <c r="A689" s="7">
        <v>39857</v>
      </c>
      <c r="B689" s="1">
        <v>295</v>
      </c>
      <c r="C689" s="1" t="s">
        <v>235</v>
      </c>
      <c r="D689" s="1">
        <v>4</v>
      </c>
      <c r="E689" s="1">
        <v>375.28</v>
      </c>
      <c r="F689" s="1">
        <v>23</v>
      </c>
      <c r="G689" s="1" t="s">
        <v>29</v>
      </c>
      <c r="H689" s="1">
        <v>484</v>
      </c>
      <c r="K689" s="1" t="s">
        <v>94</v>
      </c>
      <c r="L689" s="1" t="s">
        <v>245</v>
      </c>
      <c r="M689" s="1" t="s">
        <v>246</v>
      </c>
      <c r="N689" s="1" t="s">
        <v>255</v>
      </c>
      <c r="O689" s="1">
        <v>1128.21</v>
      </c>
      <c r="P689" s="1" t="s">
        <v>165</v>
      </c>
    </row>
    <row r="690" spans="1:16">
      <c r="A690" s="7">
        <v>39857</v>
      </c>
      <c r="B690" s="1">
        <v>296</v>
      </c>
      <c r="C690" s="1" t="s">
        <v>235</v>
      </c>
      <c r="D690" s="1">
        <v>1</v>
      </c>
      <c r="E690" s="1">
        <v>234.73</v>
      </c>
      <c r="F690" s="1">
        <v>23</v>
      </c>
      <c r="G690" s="1" t="s">
        <v>29</v>
      </c>
      <c r="H690" s="1">
        <v>308</v>
      </c>
      <c r="K690" s="1" t="s">
        <v>90</v>
      </c>
      <c r="L690" s="1" t="s">
        <v>245</v>
      </c>
      <c r="M690" s="1" t="s">
        <v>246</v>
      </c>
      <c r="N690" s="1" t="s">
        <v>255</v>
      </c>
      <c r="O690" s="1">
        <v>312.13</v>
      </c>
      <c r="P690" s="1" t="s">
        <v>166</v>
      </c>
    </row>
    <row r="691" spans="1:16">
      <c r="A691" s="7">
        <v>39857</v>
      </c>
      <c r="B691" s="1">
        <v>297</v>
      </c>
      <c r="C691" s="1" t="s">
        <v>235</v>
      </c>
      <c r="D691" s="1">
        <v>1</v>
      </c>
      <c r="E691" s="1">
        <v>414.46</v>
      </c>
      <c r="F691" s="1">
        <v>23</v>
      </c>
      <c r="G691" s="1" t="s">
        <v>29</v>
      </c>
      <c r="H691" s="1">
        <v>157</v>
      </c>
      <c r="K691" s="1" t="s">
        <v>121</v>
      </c>
      <c r="L691" s="1" t="s">
        <v>245</v>
      </c>
      <c r="M691" s="1" t="s">
        <v>246</v>
      </c>
      <c r="N691" s="1" t="s">
        <v>247</v>
      </c>
      <c r="O691" s="1">
        <v>125</v>
      </c>
      <c r="P691" s="1" t="s">
        <v>167</v>
      </c>
    </row>
    <row r="692" spans="1:16">
      <c r="A692" s="7">
        <v>39857</v>
      </c>
      <c r="B692" s="1">
        <v>299</v>
      </c>
      <c r="C692" s="1" t="s">
        <v>234</v>
      </c>
      <c r="D692" s="1">
        <v>1</v>
      </c>
      <c r="E692" s="1">
        <v>368.32</v>
      </c>
      <c r="F692" s="1">
        <v>23</v>
      </c>
      <c r="G692" s="1" t="s">
        <v>29</v>
      </c>
      <c r="H692" s="1">
        <v>455</v>
      </c>
      <c r="K692" s="1" t="s">
        <v>82</v>
      </c>
      <c r="L692" s="1" t="s">
        <v>245</v>
      </c>
      <c r="M692" s="1" t="s">
        <v>246</v>
      </c>
      <c r="N692" s="1" t="s">
        <v>247</v>
      </c>
      <c r="O692" s="1">
        <v>33.799999999999997</v>
      </c>
      <c r="P692" s="1" t="s">
        <v>167</v>
      </c>
    </row>
    <row r="693" spans="1:16">
      <c r="A693" s="7">
        <v>39857</v>
      </c>
      <c r="B693" s="1">
        <v>300</v>
      </c>
      <c r="C693" s="1" t="s">
        <v>235</v>
      </c>
      <c r="D693" s="1">
        <v>1</v>
      </c>
      <c r="E693" s="1">
        <v>388.12</v>
      </c>
      <c r="F693" s="1">
        <v>23</v>
      </c>
      <c r="G693" s="1" t="s">
        <v>29</v>
      </c>
      <c r="H693" s="1">
        <v>1045</v>
      </c>
      <c r="K693" s="1" t="s">
        <v>82</v>
      </c>
      <c r="L693" s="1" t="s">
        <v>245</v>
      </c>
      <c r="M693" s="1" t="s">
        <v>246</v>
      </c>
      <c r="N693" s="1" t="s">
        <v>247</v>
      </c>
      <c r="O693" s="1">
        <v>239.2</v>
      </c>
      <c r="P693" s="1" t="s">
        <v>167</v>
      </c>
    </row>
    <row r="694" spans="1:16">
      <c r="A694" s="7">
        <v>39857</v>
      </c>
      <c r="B694" s="1">
        <v>301</v>
      </c>
      <c r="C694" s="1" t="s">
        <v>234</v>
      </c>
      <c r="D694" s="1">
        <v>1</v>
      </c>
      <c r="E694" s="1">
        <v>572.5</v>
      </c>
      <c r="F694" s="1">
        <v>23</v>
      </c>
      <c r="G694" s="1" t="s">
        <v>29</v>
      </c>
      <c r="H694" s="1">
        <v>345</v>
      </c>
      <c r="K694" s="1" t="s">
        <v>82</v>
      </c>
      <c r="L694" s="1" t="s">
        <v>245</v>
      </c>
      <c r="M694" s="1" t="s">
        <v>246</v>
      </c>
      <c r="N694" s="1" t="s">
        <v>247</v>
      </c>
      <c r="O694" s="1">
        <v>133.03</v>
      </c>
      <c r="P694" s="1" t="s">
        <v>167</v>
      </c>
    </row>
    <row r="695" spans="1:16">
      <c r="A695" s="7">
        <v>39857</v>
      </c>
      <c r="B695" s="1">
        <v>304</v>
      </c>
      <c r="C695" s="1" t="s">
        <v>234</v>
      </c>
      <c r="D695" s="1">
        <v>4</v>
      </c>
      <c r="E695" s="1">
        <v>453.97</v>
      </c>
      <c r="F695" s="1">
        <v>23</v>
      </c>
      <c r="G695" s="1" t="s">
        <v>29</v>
      </c>
      <c r="H695" s="1">
        <v>752</v>
      </c>
      <c r="K695" s="1" t="s">
        <v>76</v>
      </c>
      <c r="L695" s="1" t="s">
        <v>248</v>
      </c>
      <c r="M695" s="1" t="s">
        <v>249</v>
      </c>
      <c r="N695" s="1" t="s">
        <v>250</v>
      </c>
      <c r="O695" s="1">
        <v>429.5</v>
      </c>
      <c r="P695" s="1" t="s">
        <v>167</v>
      </c>
    </row>
    <row r="696" spans="1:16">
      <c r="A696" s="7">
        <v>39857</v>
      </c>
      <c r="B696" s="1">
        <v>284</v>
      </c>
      <c r="C696" s="1" t="s">
        <v>234</v>
      </c>
      <c r="D696" s="1">
        <v>2</v>
      </c>
      <c r="E696" s="1">
        <v>75</v>
      </c>
      <c r="F696" s="1">
        <v>23</v>
      </c>
      <c r="G696" s="1" t="s">
        <v>21</v>
      </c>
      <c r="H696" s="1">
        <v>2019</v>
      </c>
      <c r="K696" s="1" t="s">
        <v>76</v>
      </c>
      <c r="L696" s="1" t="s">
        <v>248</v>
      </c>
      <c r="M696" s="1" t="s">
        <v>249</v>
      </c>
      <c r="N696" s="1" t="s">
        <v>250</v>
      </c>
      <c r="O696" s="1">
        <v>859</v>
      </c>
      <c r="P696" s="1" t="s">
        <v>167</v>
      </c>
    </row>
    <row r="697" spans="1:16">
      <c r="A697" s="7">
        <v>39885</v>
      </c>
      <c r="B697" s="1">
        <v>24</v>
      </c>
      <c r="C697" s="1" t="s">
        <v>234</v>
      </c>
      <c r="D697" s="1">
        <v>4</v>
      </c>
      <c r="E697" s="1">
        <v>450</v>
      </c>
      <c r="F697" s="1">
        <v>23</v>
      </c>
      <c r="G697" s="1" t="s">
        <v>41</v>
      </c>
      <c r="H697" s="1">
        <v>0</v>
      </c>
      <c r="K697" s="1" t="s">
        <v>76</v>
      </c>
      <c r="L697" s="1" t="s">
        <v>248</v>
      </c>
      <c r="M697" s="1" t="s">
        <v>249</v>
      </c>
      <c r="N697" s="1" t="s">
        <v>250</v>
      </c>
      <c r="O697" s="1">
        <v>78</v>
      </c>
      <c r="P697" s="1" t="s">
        <v>167</v>
      </c>
    </row>
    <row r="698" spans="1:16">
      <c r="A698" s="7">
        <v>40007</v>
      </c>
      <c r="B698" s="1">
        <v>760</v>
      </c>
      <c r="C698" s="1" t="s">
        <v>234</v>
      </c>
      <c r="D698" s="1">
        <v>3</v>
      </c>
      <c r="E698" s="1">
        <v>1301.73</v>
      </c>
      <c r="F698" s="1">
        <v>23</v>
      </c>
      <c r="G698" s="1" t="s">
        <v>16</v>
      </c>
      <c r="H698" s="1">
        <v>0</v>
      </c>
      <c r="K698" s="1" t="s">
        <v>76</v>
      </c>
      <c r="L698" s="1" t="s">
        <v>248</v>
      </c>
      <c r="M698" s="1" t="s">
        <v>249</v>
      </c>
      <c r="N698" s="1" t="s">
        <v>250</v>
      </c>
      <c r="O698" s="1">
        <v>353</v>
      </c>
      <c r="P698" s="1" t="s">
        <v>167</v>
      </c>
    </row>
    <row r="699" spans="1:16">
      <c r="A699" s="7">
        <v>40007</v>
      </c>
      <c r="B699" s="1">
        <v>692</v>
      </c>
      <c r="C699" s="1" t="s">
        <v>235</v>
      </c>
      <c r="D699" s="1">
        <v>3</v>
      </c>
      <c r="E699" s="1">
        <v>887.33</v>
      </c>
      <c r="F699" s="1">
        <v>23</v>
      </c>
      <c r="G699" s="1" t="s">
        <v>7</v>
      </c>
      <c r="H699" s="1">
        <v>0</v>
      </c>
      <c r="K699" s="1" t="s">
        <v>76</v>
      </c>
      <c r="L699" s="1" t="s">
        <v>248</v>
      </c>
      <c r="M699" s="1" t="s">
        <v>249</v>
      </c>
      <c r="N699" s="1" t="s">
        <v>250</v>
      </c>
      <c r="O699" s="1">
        <v>506</v>
      </c>
      <c r="P699" s="1" t="s">
        <v>167</v>
      </c>
    </row>
    <row r="700" spans="1:16">
      <c r="A700" s="7">
        <v>40007</v>
      </c>
      <c r="B700" s="1">
        <v>692</v>
      </c>
      <c r="C700" s="1" t="s">
        <v>235</v>
      </c>
      <c r="D700" s="1">
        <v>3</v>
      </c>
      <c r="E700" s="1">
        <v>78</v>
      </c>
      <c r="F700" s="1">
        <v>23</v>
      </c>
      <c r="G700" s="1" t="s">
        <v>11</v>
      </c>
      <c r="H700" s="1">
        <v>0</v>
      </c>
      <c r="K700" s="1" t="s">
        <v>76</v>
      </c>
      <c r="L700" s="1" t="s">
        <v>256</v>
      </c>
      <c r="M700" s="1" t="s">
        <v>257</v>
      </c>
      <c r="N700" s="1" t="s">
        <v>250</v>
      </c>
      <c r="O700" s="1">
        <v>960</v>
      </c>
      <c r="P700" s="1" t="s">
        <v>167</v>
      </c>
    </row>
    <row r="701" spans="1:16">
      <c r="A701" s="7">
        <v>40007</v>
      </c>
      <c r="B701" s="1">
        <v>684</v>
      </c>
      <c r="C701" s="1" t="s">
        <v>234</v>
      </c>
      <c r="D701" s="1">
        <v>1</v>
      </c>
      <c r="E701" s="1">
        <v>406.5</v>
      </c>
      <c r="F701" s="1">
        <v>23</v>
      </c>
      <c r="G701" s="1" t="s">
        <v>12</v>
      </c>
      <c r="H701" s="1">
        <v>2067</v>
      </c>
      <c r="K701" s="1" t="s">
        <v>75</v>
      </c>
      <c r="L701" s="1" t="s">
        <v>245</v>
      </c>
      <c r="M701" s="1" t="s">
        <v>246</v>
      </c>
      <c r="N701" s="1" t="s">
        <v>250</v>
      </c>
      <c r="O701" s="1">
        <v>173.08</v>
      </c>
      <c r="P701" s="1" t="s">
        <v>167</v>
      </c>
    </row>
    <row r="702" spans="1:16">
      <c r="A702" s="7">
        <v>40007</v>
      </c>
      <c r="B702" s="1">
        <v>690</v>
      </c>
      <c r="C702" s="1" t="s">
        <v>234</v>
      </c>
      <c r="D702" s="1">
        <v>3</v>
      </c>
      <c r="E702" s="1">
        <v>813</v>
      </c>
      <c r="F702" s="1">
        <v>23</v>
      </c>
      <c r="G702" s="1" t="s">
        <v>12</v>
      </c>
      <c r="H702" s="1">
        <v>2068</v>
      </c>
      <c r="K702" s="1" t="s">
        <v>76</v>
      </c>
      <c r="L702" s="1" t="s">
        <v>245</v>
      </c>
      <c r="M702" s="1" t="s">
        <v>246</v>
      </c>
      <c r="N702" s="1" t="s">
        <v>250</v>
      </c>
      <c r="O702" s="1">
        <v>540</v>
      </c>
      <c r="P702" s="1" t="s">
        <v>167</v>
      </c>
    </row>
    <row r="703" spans="1:16">
      <c r="A703" s="7">
        <v>40007</v>
      </c>
      <c r="B703" s="1">
        <v>681</v>
      </c>
      <c r="C703" s="1" t="s">
        <v>234</v>
      </c>
      <c r="D703" s="1">
        <v>4</v>
      </c>
      <c r="E703" s="1">
        <v>940.5</v>
      </c>
      <c r="F703" s="1">
        <v>23</v>
      </c>
      <c r="G703" s="1" t="s">
        <v>3</v>
      </c>
      <c r="H703" s="1">
        <v>0</v>
      </c>
      <c r="K703" s="1" t="s">
        <v>82</v>
      </c>
      <c r="L703" s="1" t="s">
        <v>245</v>
      </c>
      <c r="M703" s="1" t="s">
        <v>246</v>
      </c>
      <c r="N703" s="1" t="s">
        <v>250</v>
      </c>
      <c r="O703" s="1">
        <v>271.83</v>
      </c>
      <c r="P703" s="1" t="s">
        <v>167</v>
      </c>
    </row>
    <row r="704" spans="1:16">
      <c r="A704" s="7">
        <v>40007</v>
      </c>
      <c r="B704" s="1">
        <v>691</v>
      </c>
      <c r="C704" s="1" t="s">
        <v>234</v>
      </c>
      <c r="D704" s="1">
        <v>3</v>
      </c>
      <c r="E704" s="1">
        <v>470.25</v>
      </c>
      <c r="F704" s="1">
        <v>23</v>
      </c>
      <c r="G704" s="1" t="s">
        <v>3</v>
      </c>
      <c r="H704" s="1">
        <v>2069</v>
      </c>
      <c r="K704" s="1" t="s">
        <v>122</v>
      </c>
      <c r="L704" s="1" t="s">
        <v>245</v>
      </c>
      <c r="M704" s="1" t="s">
        <v>246</v>
      </c>
      <c r="N704" s="1" t="s">
        <v>250</v>
      </c>
      <c r="O704" s="1">
        <v>435.73</v>
      </c>
      <c r="P704" s="1" t="s">
        <v>167</v>
      </c>
    </row>
    <row r="705" spans="1:16">
      <c r="A705" s="7">
        <v>40007</v>
      </c>
      <c r="B705" s="1">
        <v>699</v>
      </c>
      <c r="C705" s="1" t="s">
        <v>234</v>
      </c>
      <c r="D705" s="1">
        <v>4</v>
      </c>
      <c r="E705" s="1">
        <v>940.5</v>
      </c>
      <c r="F705" s="1">
        <v>23</v>
      </c>
      <c r="G705" s="1" t="s">
        <v>3</v>
      </c>
      <c r="H705" s="1">
        <v>2071</v>
      </c>
      <c r="K705" s="1" t="s">
        <v>76</v>
      </c>
      <c r="L705" s="1" t="s">
        <v>245</v>
      </c>
      <c r="M705" s="1" t="s">
        <v>246</v>
      </c>
      <c r="N705" s="1" t="s">
        <v>250</v>
      </c>
      <c r="O705" s="1">
        <v>520</v>
      </c>
      <c r="P705" s="1" t="s">
        <v>167</v>
      </c>
    </row>
    <row r="706" spans="1:16">
      <c r="A706" s="7">
        <v>40007</v>
      </c>
      <c r="B706" s="1">
        <v>683</v>
      </c>
      <c r="C706" s="1" t="s">
        <v>235</v>
      </c>
      <c r="D706" s="1">
        <v>4</v>
      </c>
      <c r="E706" s="1">
        <v>45</v>
      </c>
      <c r="F706" s="1">
        <v>23</v>
      </c>
      <c r="G706" s="1" t="s">
        <v>15</v>
      </c>
      <c r="H706" s="1">
        <v>2066</v>
      </c>
      <c r="K706" s="1" t="s">
        <v>76</v>
      </c>
      <c r="L706" s="1" t="s">
        <v>245</v>
      </c>
      <c r="M706" s="1" t="s">
        <v>246</v>
      </c>
      <c r="N706" s="1" t="s">
        <v>250</v>
      </c>
      <c r="O706" s="1">
        <v>630</v>
      </c>
      <c r="P706" s="1" t="s">
        <v>167</v>
      </c>
    </row>
    <row r="707" spans="1:16">
      <c r="A707" s="7">
        <v>40007</v>
      </c>
      <c r="B707" s="1">
        <v>694</v>
      </c>
      <c r="C707" s="1" t="s">
        <v>234</v>
      </c>
      <c r="D707" s="1">
        <v>4</v>
      </c>
      <c r="E707" s="1">
        <v>888.58</v>
      </c>
      <c r="F707" s="1">
        <v>23</v>
      </c>
      <c r="G707" s="1" t="s">
        <v>5</v>
      </c>
      <c r="H707" s="1">
        <v>2070</v>
      </c>
      <c r="K707" s="1" t="s">
        <v>83</v>
      </c>
      <c r="L707" s="1" t="s">
        <v>245</v>
      </c>
      <c r="M707" s="1" t="s">
        <v>246</v>
      </c>
      <c r="N707" s="1" t="s">
        <v>250</v>
      </c>
      <c r="O707" s="1">
        <v>611.55999999999995</v>
      </c>
      <c r="P707" s="1" t="s">
        <v>167</v>
      </c>
    </row>
    <row r="708" spans="1:16">
      <c r="A708" s="7">
        <v>40007</v>
      </c>
      <c r="B708" s="1">
        <v>682</v>
      </c>
      <c r="C708" s="1" t="s">
        <v>234</v>
      </c>
      <c r="D708" s="1">
        <v>4</v>
      </c>
      <c r="E708" s="1">
        <v>532.9</v>
      </c>
      <c r="F708" s="1">
        <v>23</v>
      </c>
      <c r="G708" s="1" t="s">
        <v>6</v>
      </c>
      <c r="H708" s="1">
        <v>33</v>
      </c>
      <c r="K708" s="1" t="s">
        <v>89</v>
      </c>
      <c r="L708" s="1" t="s">
        <v>245</v>
      </c>
      <c r="M708" s="1" t="s">
        <v>246</v>
      </c>
      <c r="N708" s="1" t="s">
        <v>250</v>
      </c>
      <c r="O708" s="1">
        <v>327</v>
      </c>
      <c r="P708" s="1" t="s">
        <v>167</v>
      </c>
    </row>
    <row r="709" spans="1:16">
      <c r="A709" s="7">
        <v>40007</v>
      </c>
      <c r="B709" s="1">
        <v>685</v>
      </c>
      <c r="C709" s="1" t="s">
        <v>234</v>
      </c>
      <c r="D709" s="1">
        <v>1</v>
      </c>
      <c r="E709" s="1">
        <v>230.08</v>
      </c>
      <c r="F709" s="1">
        <v>23</v>
      </c>
      <c r="G709" s="1" t="s">
        <v>6</v>
      </c>
      <c r="H709" s="1">
        <v>728</v>
      </c>
      <c r="K709" s="1" t="s">
        <v>76</v>
      </c>
      <c r="L709" s="1" t="s">
        <v>245</v>
      </c>
      <c r="M709" s="1" t="s">
        <v>246</v>
      </c>
      <c r="N709" s="1" t="s">
        <v>250</v>
      </c>
      <c r="O709" s="1">
        <v>86.1</v>
      </c>
      <c r="P709" s="1" t="s">
        <v>167</v>
      </c>
    </row>
    <row r="710" spans="1:16">
      <c r="A710" s="7">
        <v>40007</v>
      </c>
      <c r="B710" s="1">
        <v>686</v>
      </c>
      <c r="C710" s="1" t="s">
        <v>234</v>
      </c>
      <c r="D710" s="1">
        <v>1</v>
      </c>
      <c r="E710" s="1">
        <v>617.98</v>
      </c>
      <c r="F710" s="1">
        <v>23</v>
      </c>
      <c r="G710" s="1" t="s">
        <v>6</v>
      </c>
      <c r="H710" s="1">
        <v>1585</v>
      </c>
      <c r="K710" s="1" t="s">
        <v>98</v>
      </c>
      <c r="L710" s="1" t="s">
        <v>245</v>
      </c>
      <c r="M710" s="1" t="s">
        <v>246</v>
      </c>
      <c r="N710" s="1" t="s">
        <v>250</v>
      </c>
      <c r="O710" s="1">
        <v>520</v>
      </c>
      <c r="P710" s="1" t="s">
        <v>167</v>
      </c>
    </row>
    <row r="711" spans="1:16">
      <c r="A711" s="7">
        <v>40007</v>
      </c>
      <c r="B711" s="1">
        <v>687</v>
      </c>
      <c r="C711" s="1" t="s">
        <v>235</v>
      </c>
      <c r="D711" s="1">
        <v>1</v>
      </c>
      <c r="E711" s="1">
        <v>216.91</v>
      </c>
      <c r="F711" s="1">
        <v>23</v>
      </c>
      <c r="G711" s="1" t="s">
        <v>6</v>
      </c>
      <c r="H711" s="1">
        <v>1822</v>
      </c>
      <c r="K711" s="1" t="s">
        <v>80</v>
      </c>
      <c r="L711" s="1" t="s">
        <v>258</v>
      </c>
      <c r="M711" s="1" t="s">
        <v>259</v>
      </c>
      <c r="N711" s="1" t="s">
        <v>250</v>
      </c>
      <c r="O711" s="1">
        <v>106.3</v>
      </c>
      <c r="P711" s="1" t="s">
        <v>167</v>
      </c>
    </row>
    <row r="712" spans="1:16">
      <c r="A712" s="7">
        <v>40007</v>
      </c>
      <c r="B712" s="1">
        <v>688</v>
      </c>
      <c r="C712" s="1" t="s">
        <v>235</v>
      </c>
      <c r="D712" s="1">
        <v>1</v>
      </c>
      <c r="E712" s="1">
        <v>216.91</v>
      </c>
      <c r="F712" s="1">
        <v>23</v>
      </c>
      <c r="G712" s="1" t="s">
        <v>6</v>
      </c>
      <c r="H712" s="1">
        <v>469</v>
      </c>
      <c r="K712" s="1" t="s">
        <v>88</v>
      </c>
      <c r="L712" s="1" t="s">
        <v>258</v>
      </c>
      <c r="M712" s="1" t="s">
        <v>259</v>
      </c>
      <c r="N712" s="1" t="s">
        <v>250</v>
      </c>
      <c r="O712" s="1">
        <v>64</v>
      </c>
      <c r="P712" s="1" t="s">
        <v>167</v>
      </c>
    </row>
    <row r="713" spans="1:16">
      <c r="A713" s="7">
        <v>40007</v>
      </c>
      <c r="B713" s="1">
        <v>689</v>
      </c>
      <c r="C713" s="1" t="s">
        <v>235</v>
      </c>
      <c r="D713" s="1">
        <v>1</v>
      </c>
      <c r="E713" s="1">
        <v>1138.81</v>
      </c>
      <c r="F713" s="1">
        <v>23</v>
      </c>
      <c r="G713" s="1" t="s">
        <v>6</v>
      </c>
      <c r="H713" s="1">
        <v>1624</v>
      </c>
      <c r="K713" s="1" t="s">
        <v>79</v>
      </c>
      <c r="L713" s="1" t="s">
        <v>256</v>
      </c>
      <c r="M713" s="1" t="s">
        <v>257</v>
      </c>
      <c r="N713" s="1" t="s">
        <v>251</v>
      </c>
      <c r="O713" s="1">
        <v>0.94</v>
      </c>
      <c r="P713" s="1" t="s">
        <v>167</v>
      </c>
    </row>
    <row r="714" spans="1:16">
      <c r="A714" s="7">
        <v>40007</v>
      </c>
      <c r="B714" s="1">
        <v>693</v>
      </c>
      <c r="C714" s="1" t="s">
        <v>234</v>
      </c>
      <c r="D714" s="1">
        <v>3</v>
      </c>
      <c r="E714" s="1">
        <v>174.8</v>
      </c>
      <c r="F714" s="1">
        <v>23</v>
      </c>
      <c r="G714" s="1" t="s">
        <v>6</v>
      </c>
      <c r="H714" s="1">
        <v>36</v>
      </c>
      <c r="K714" s="1" t="s">
        <v>79</v>
      </c>
      <c r="L714" s="1" t="s">
        <v>262</v>
      </c>
      <c r="M714" s="1" t="s">
        <v>263</v>
      </c>
      <c r="N714" s="1" t="s">
        <v>251</v>
      </c>
      <c r="O714" s="1">
        <v>4</v>
      </c>
      <c r="P714" s="1" t="s">
        <v>167</v>
      </c>
    </row>
    <row r="715" spans="1:16">
      <c r="A715" s="7">
        <v>40007</v>
      </c>
      <c r="B715" s="1">
        <v>695</v>
      </c>
      <c r="C715" s="1" t="s">
        <v>234</v>
      </c>
      <c r="D715" s="1">
        <v>2</v>
      </c>
      <c r="E715" s="1">
        <v>230.08</v>
      </c>
      <c r="F715" s="1">
        <v>23</v>
      </c>
      <c r="G715" s="1" t="s">
        <v>6</v>
      </c>
      <c r="H715" s="1">
        <v>1278</v>
      </c>
      <c r="K715" s="1" t="s">
        <v>80</v>
      </c>
      <c r="L715" s="1" t="s">
        <v>264</v>
      </c>
      <c r="M715" s="1" t="s">
        <v>265</v>
      </c>
      <c r="N715" s="1" t="s">
        <v>252</v>
      </c>
      <c r="O715" s="1">
        <v>65.25</v>
      </c>
      <c r="P715" s="1" t="s">
        <v>167</v>
      </c>
    </row>
    <row r="716" spans="1:16">
      <c r="A716" s="7">
        <v>40007</v>
      </c>
      <c r="B716" s="1">
        <v>697</v>
      </c>
      <c r="C716" s="1" t="s">
        <v>234</v>
      </c>
      <c r="D716" s="1">
        <v>1</v>
      </c>
      <c r="E716" s="1">
        <v>532.99</v>
      </c>
      <c r="F716" s="1">
        <v>23</v>
      </c>
      <c r="G716" s="1" t="s">
        <v>6</v>
      </c>
      <c r="H716" s="1">
        <v>455</v>
      </c>
      <c r="K716" s="1" t="s">
        <v>88</v>
      </c>
      <c r="L716" s="1" t="s">
        <v>245</v>
      </c>
      <c r="M716" s="1" t="s">
        <v>246</v>
      </c>
      <c r="N716" s="1" t="s">
        <v>252</v>
      </c>
      <c r="O716" s="1">
        <v>37.82</v>
      </c>
      <c r="P716" s="1" t="s">
        <v>167</v>
      </c>
    </row>
    <row r="717" spans="1:16">
      <c r="A717" s="7">
        <v>40007</v>
      </c>
      <c r="B717" s="1">
        <v>698</v>
      </c>
      <c r="C717" s="1" t="s">
        <v>234</v>
      </c>
      <c r="D717" s="1">
        <v>4</v>
      </c>
      <c r="E717" s="1">
        <v>546.16</v>
      </c>
      <c r="F717" s="1">
        <v>23</v>
      </c>
      <c r="G717" s="1" t="s">
        <v>6</v>
      </c>
      <c r="H717" s="1">
        <v>724</v>
      </c>
      <c r="K717" s="1" t="s">
        <v>88</v>
      </c>
      <c r="L717" s="1" t="s">
        <v>245</v>
      </c>
      <c r="M717" s="1" t="s">
        <v>246</v>
      </c>
      <c r="N717" s="1" t="s">
        <v>252</v>
      </c>
      <c r="O717" s="1">
        <v>16.510000000000002</v>
      </c>
      <c r="P717" s="1" t="s">
        <v>167</v>
      </c>
    </row>
    <row r="718" spans="1:16">
      <c r="A718" s="7">
        <v>40007</v>
      </c>
      <c r="B718" s="1">
        <v>700</v>
      </c>
      <c r="C718" s="1" t="s">
        <v>234</v>
      </c>
      <c r="D718" s="1">
        <v>4</v>
      </c>
      <c r="E718" s="1">
        <v>216.91</v>
      </c>
      <c r="F718" s="1">
        <v>23</v>
      </c>
      <c r="G718" s="1" t="s">
        <v>6</v>
      </c>
      <c r="H718" s="1">
        <v>20</v>
      </c>
      <c r="K718" s="1" t="s">
        <v>88</v>
      </c>
      <c r="L718" s="1" t="s">
        <v>245</v>
      </c>
      <c r="M718" s="1" t="s">
        <v>246</v>
      </c>
      <c r="N718" s="1" t="s">
        <v>252</v>
      </c>
      <c r="O718" s="1">
        <v>16.47</v>
      </c>
      <c r="P718" s="1" t="s">
        <v>167</v>
      </c>
    </row>
    <row r="719" spans="1:16">
      <c r="A719" s="7">
        <v>40099</v>
      </c>
      <c r="B719" s="1">
        <v>1454</v>
      </c>
      <c r="C719" s="1" t="s">
        <v>234</v>
      </c>
      <c r="D719" s="1">
        <v>4</v>
      </c>
      <c r="E719" s="1">
        <v>575</v>
      </c>
      <c r="F719" s="1">
        <v>23</v>
      </c>
      <c r="G719" s="1" t="s">
        <v>17</v>
      </c>
      <c r="H719" s="1">
        <v>2180</v>
      </c>
      <c r="K719" s="1" t="s">
        <v>88</v>
      </c>
      <c r="L719" s="1" t="s">
        <v>245</v>
      </c>
      <c r="M719" s="1" t="s">
        <v>246</v>
      </c>
      <c r="N719" s="1" t="s">
        <v>252</v>
      </c>
      <c r="O719" s="1">
        <v>38.9</v>
      </c>
      <c r="P719" s="1" t="s">
        <v>167</v>
      </c>
    </row>
    <row r="720" spans="1:16">
      <c r="A720" s="7">
        <v>40099</v>
      </c>
      <c r="B720" s="1">
        <v>1463</v>
      </c>
      <c r="C720" s="1" t="s">
        <v>234</v>
      </c>
      <c r="D720" s="1">
        <v>4</v>
      </c>
      <c r="E720" s="1">
        <v>80</v>
      </c>
      <c r="F720" s="1">
        <v>23</v>
      </c>
      <c r="G720" s="1" t="s">
        <v>18</v>
      </c>
      <c r="H720" s="1">
        <v>523</v>
      </c>
      <c r="K720" s="1" t="s">
        <v>168</v>
      </c>
      <c r="L720" s="1" t="s">
        <v>245</v>
      </c>
      <c r="M720" s="1" t="s">
        <v>246</v>
      </c>
      <c r="N720" s="1" t="s">
        <v>252</v>
      </c>
      <c r="O720" s="1">
        <v>32</v>
      </c>
      <c r="P720" s="1" t="s">
        <v>167</v>
      </c>
    </row>
    <row r="721" spans="1:16">
      <c r="A721" s="7">
        <v>40099</v>
      </c>
      <c r="B721" s="1">
        <v>1464</v>
      </c>
      <c r="C721" s="1" t="s">
        <v>234</v>
      </c>
      <c r="D721" s="1">
        <v>4</v>
      </c>
      <c r="E721" s="1">
        <v>80</v>
      </c>
      <c r="F721" s="1">
        <v>23</v>
      </c>
      <c r="G721" s="1" t="s">
        <v>18</v>
      </c>
      <c r="H721" s="1">
        <v>1577</v>
      </c>
      <c r="K721" s="1" t="s">
        <v>100</v>
      </c>
      <c r="L721" s="1" t="s">
        <v>245</v>
      </c>
      <c r="M721" s="1" t="s">
        <v>246</v>
      </c>
      <c r="N721" s="1" t="s">
        <v>252</v>
      </c>
      <c r="O721" s="1">
        <v>55.9</v>
      </c>
      <c r="P721" s="1" t="s">
        <v>167</v>
      </c>
    </row>
    <row r="722" spans="1:16">
      <c r="A722" s="7">
        <v>40130</v>
      </c>
      <c r="B722" s="1">
        <v>1521</v>
      </c>
      <c r="C722" s="1" t="s">
        <v>234</v>
      </c>
      <c r="D722" s="1">
        <v>4</v>
      </c>
      <c r="E722" s="1">
        <v>102</v>
      </c>
      <c r="F722" s="1">
        <v>23</v>
      </c>
      <c r="G722" s="1" t="s">
        <v>11</v>
      </c>
      <c r="H722" s="1">
        <v>1535</v>
      </c>
      <c r="K722" s="1" t="s">
        <v>168</v>
      </c>
      <c r="L722" s="1" t="s">
        <v>245</v>
      </c>
      <c r="M722" s="1" t="s">
        <v>246</v>
      </c>
      <c r="N722" s="1" t="s">
        <v>252</v>
      </c>
      <c r="O722" s="1">
        <v>47.49</v>
      </c>
      <c r="P722" s="1" t="s">
        <v>167</v>
      </c>
    </row>
    <row r="723" spans="1:16">
      <c r="A723" s="7">
        <v>39827</v>
      </c>
      <c r="B723" s="1">
        <v>15</v>
      </c>
      <c r="C723" s="1" t="s">
        <v>234</v>
      </c>
      <c r="D723" s="1">
        <v>2</v>
      </c>
      <c r="E723" s="1">
        <v>360</v>
      </c>
      <c r="F723" s="1">
        <v>23</v>
      </c>
      <c r="G723" s="1" t="s">
        <v>22</v>
      </c>
      <c r="H723" s="1">
        <v>680</v>
      </c>
      <c r="K723" s="1" t="s">
        <v>123</v>
      </c>
      <c r="L723" s="1" t="s">
        <v>245</v>
      </c>
      <c r="M723" s="1" t="s">
        <v>246</v>
      </c>
      <c r="N723" s="1" t="s">
        <v>252</v>
      </c>
      <c r="O723" s="1">
        <v>1107.99</v>
      </c>
      <c r="P723" s="1" t="s">
        <v>167</v>
      </c>
    </row>
    <row r="724" spans="1:16">
      <c r="A724" s="7">
        <v>39827</v>
      </c>
      <c r="B724" s="1">
        <v>16</v>
      </c>
      <c r="C724" s="1" t="s">
        <v>234</v>
      </c>
      <c r="D724" s="1">
        <v>2</v>
      </c>
      <c r="E724" s="1">
        <v>360</v>
      </c>
      <c r="F724" s="1">
        <v>23</v>
      </c>
      <c r="G724" s="1" t="s">
        <v>22</v>
      </c>
      <c r="H724" s="1">
        <v>1989</v>
      </c>
      <c r="K724" s="1" t="s">
        <v>80</v>
      </c>
      <c r="L724" s="1" t="s">
        <v>258</v>
      </c>
      <c r="M724" s="1" t="s">
        <v>259</v>
      </c>
      <c r="N724" s="1" t="s">
        <v>252</v>
      </c>
      <c r="O724" s="1">
        <v>63.75</v>
      </c>
      <c r="P724" s="1" t="s">
        <v>167</v>
      </c>
    </row>
    <row r="725" spans="1:16">
      <c r="A725" s="7">
        <v>39827</v>
      </c>
      <c r="B725" s="1">
        <v>17</v>
      </c>
      <c r="C725" s="1" t="s">
        <v>234</v>
      </c>
      <c r="D725" s="1">
        <v>2</v>
      </c>
      <c r="E725" s="1">
        <v>360</v>
      </c>
      <c r="F725" s="1">
        <v>23</v>
      </c>
      <c r="G725" s="1" t="s">
        <v>22</v>
      </c>
      <c r="H725" s="1">
        <v>1990</v>
      </c>
      <c r="K725" s="1" t="s">
        <v>82</v>
      </c>
      <c r="L725" s="1" t="s">
        <v>258</v>
      </c>
      <c r="M725" s="1" t="s">
        <v>259</v>
      </c>
      <c r="N725" s="1" t="s">
        <v>253</v>
      </c>
      <c r="O725" s="1">
        <v>27</v>
      </c>
      <c r="P725" s="1" t="s">
        <v>167</v>
      </c>
    </row>
    <row r="726" spans="1:16">
      <c r="A726" s="7">
        <v>39827</v>
      </c>
      <c r="B726" s="1">
        <v>7</v>
      </c>
      <c r="C726" s="1" t="s">
        <v>234</v>
      </c>
      <c r="D726" s="1">
        <v>4</v>
      </c>
      <c r="E726" s="1">
        <v>150</v>
      </c>
      <c r="F726" s="1">
        <v>23</v>
      </c>
      <c r="G726" s="1" t="s">
        <v>41</v>
      </c>
      <c r="H726" s="1">
        <v>1983</v>
      </c>
      <c r="K726" s="1" t="s">
        <v>84</v>
      </c>
      <c r="L726" s="1" t="s">
        <v>258</v>
      </c>
      <c r="M726" s="1" t="s">
        <v>259</v>
      </c>
      <c r="N726" s="1" t="s">
        <v>253</v>
      </c>
      <c r="O726" s="1">
        <v>96.84</v>
      </c>
      <c r="P726" s="1" t="s">
        <v>167</v>
      </c>
    </row>
    <row r="727" spans="1:16">
      <c r="A727" s="7">
        <v>39858</v>
      </c>
      <c r="B727" s="1">
        <v>305</v>
      </c>
      <c r="C727" s="1" t="s">
        <v>234</v>
      </c>
      <c r="D727" s="1">
        <v>4</v>
      </c>
      <c r="E727" s="1">
        <v>273.08</v>
      </c>
      <c r="F727" s="1">
        <v>23</v>
      </c>
      <c r="G727" s="1" t="s">
        <v>29</v>
      </c>
      <c r="H727" s="1">
        <v>1055</v>
      </c>
      <c r="K727" s="1" t="s">
        <v>80</v>
      </c>
      <c r="L727" s="1" t="s">
        <v>248</v>
      </c>
      <c r="M727" s="1" t="s">
        <v>249</v>
      </c>
      <c r="N727" s="1" t="s">
        <v>253</v>
      </c>
      <c r="O727" s="1">
        <v>7.8</v>
      </c>
      <c r="P727" s="1" t="s">
        <v>167</v>
      </c>
    </row>
    <row r="728" spans="1:16">
      <c r="A728" s="7">
        <v>39858</v>
      </c>
      <c r="B728" s="1">
        <v>306</v>
      </c>
      <c r="C728" s="1" t="s">
        <v>234</v>
      </c>
      <c r="D728" s="1">
        <v>4</v>
      </c>
      <c r="E728" s="1">
        <v>849.07</v>
      </c>
      <c r="F728" s="1">
        <v>23</v>
      </c>
      <c r="G728" s="1" t="s">
        <v>29</v>
      </c>
      <c r="H728" s="1">
        <v>101</v>
      </c>
      <c r="K728" s="1" t="s">
        <v>82</v>
      </c>
      <c r="L728" s="1" t="s">
        <v>245</v>
      </c>
      <c r="M728" s="1" t="s">
        <v>246</v>
      </c>
      <c r="N728" s="1" t="s">
        <v>253</v>
      </c>
      <c r="O728" s="1">
        <v>102.68</v>
      </c>
      <c r="P728" s="1" t="s">
        <v>167</v>
      </c>
    </row>
    <row r="729" spans="1:16">
      <c r="A729" s="7">
        <v>39858</v>
      </c>
      <c r="B729" s="1">
        <v>307</v>
      </c>
      <c r="C729" s="1" t="s">
        <v>234</v>
      </c>
      <c r="D729" s="1">
        <v>4</v>
      </c>
      <c r="E729" s="1">
        <v>520.97</v>
      </c>
      <c r="F729" s="1">
        <v>23</v>
      </c>
      <c r="G729" s="1" t="s">
        <v>29</v>
      </c>
      <c r="H729" s="1">
        <v>1392</v>
      </c>
      <c r="K729" s="1" t="s">
        <v>88</v>
      </c>
      <c r="L729" s="1" t="s">
        <v>245</v>
      </c>
      <c r="M729" s="1" t="s">
        <v>246</v>
      </c>
      <c r="N729" s="1" t="s">
        <v>253</v>
      </c>
      <c r="O729" s="1">
        <v>159.37</v>
      </c>
      <c r="P729" s="1" t="s">
        <v>167</v>
      </c>
    </row>
    <row r="730" spans="1:16">
      <c r="A730" s="7">
        <v>39858</v>
      </c>
      <c r="B730" s="1">
        <v>312</v>
      </c>
      <c r="C730" s="1" t="s">
        <v>234</v>
      </c>
      <c r="D730" s="1">
        <v>3</v>
      </c>
      <c r="E730" s="1">
        <v>230.75</v>
      </c>
      <c r="F730" s="1">
        <v>23</v>
      </c>
      <c r="G730" s="1" t="s">
        <v>29</v>
      </c>
      <c r="H730" s="1">
        <v>1162</v>
      </c>
      <c r="K730" s="1" t="s">
        <v>168</v>
      </c>
      <c r="L730" s="1" t="s">
        <v>245</v>
      </c>
      <c r="M730" s="1" t="s">
        <v>246</v>
      </c>
      <c r="N730" s="1" t="s">
        <v>253</v>
      </c>
      <c r="O730" s="1">
        <v>3.72</v>
      </c>
      <c r="P730" s="1" t="s">
        <v>167</v>
      </c>
    </row>
    <row r="731" spans="1:16">
      <c r="A731" s="7">
        <v>39917</v>
      </c>
      <c r="B731" s="1">
        <v>536</v>
      </c>
      <c r="C731" s="1" t="s">
        <v>234</v>
      </c>
      <c r="D731" s="1">
        <v>4</v>
      </c>
      <c r="E731" s="1">
        <v>22700</v>
      </c>
      <c r="F731" s="1">
        <v>23</v>
      </c>
      <c r="G731" s="1" t="s">
        <v>43</v>
      </c>
      <c r="H731" s="1">
        <v>0</v>
      </c>
      <c r="K731" s="1" t="s">
        <v>101</v>
      </c>
      <c r="L731" s="1" t="s">
        <v>256</v>
      </c>
      <c r="M731" s="1" t="s">
        <v>257</v>
      </c>
      <c r="N731" s="1" t="s">
        <v>253</v>
      </c>
      <c r="O731" s="1">
        <v>3055.48</v>
      </c>
      <c r="P731" s="1" t="s">
        <v>167</v>
      </c>
    </row>
    <row r="732" spans="1:16">
      <c r="A732" s="7">
        <v>40008</v>
      </c>
      <c r="B732" s="1">
        <v>618</v>
      </c>
      <c r="C732" s="1" t="s">
        <v>234</v>
      </c>
      <c r="D732" s="1">
        <v>4</v>
      </c>
      <c r="E732" s="1">
        <v>2180.25</v>
      </c>
      <c r="F732" s="1">
        <v>23</v>
      </c>
      <c r="G732" s="1" t="s">
        <v>23</v>
      </c>
      <c r="H732" s="1">
        <v>0</v>
      </c>
      <c r="K732" s="1" t="s">
        <v>155</v>
      </c>
      <c r="L732" s="1" t="s">
        <v>256</v>
      </c>
      <c r="M732" s="1" t="s">
        <v>257</v>
      </c>
      <c r="N732" s="1" t="s">
        <v>253</v>
      </c>
      <c r="O732" s="1">
        <v>99.84</v>
      </c>
      <c r="P732" s="1" t="s">
        <v>167</v>
      </c>
    </row>
    <row r="733" spans="1:16">
      <c r="A733" s="7">
        <v>40008</v>
      </c>
      <c r="B733" s="1">
        <v>706</v>
      </c>
      <c r="C733" s="1" t="s">
        <v>234</v>
      </c>
      <c r="D733" s="1">
        <v>1</v>
      </c>
      <c r="E733" s="1">
        <v>1881</v>
      </c>
      <c r="F733" s="1">
        <v>23</v>
      </c>
      <c r="G733" s="1" t="s">
        <v>7</v>
      </c>
      <c r="H733" s="1">
        <v>516</v>
      </c>
      <c r="K733" s="1" t="s">
        <v>102</v>
      </c>
      <c r="L733" s="1" t="s">
        <v>248</v>
      </c>
      <c r="M733" s="1" t="s">
        <v>249</v>
      </c>
      <c r="N733" s="1" t="s">
        <v>253</v>
      </c>
      <c r="O733" s="1">
        <v>866.94</v>
      </c>
      <c r="P733" s="1" t="s">
        <v>167</v>
      </c>
    </row>
    <row r="734" spans="1:16">
      <c r="A734" s="7">
        <v>40008</v>
      </c>
      <c r="B734" s="1">
        <v>706</v>
      </c>
      <c r="C734" s="1" t="s">
        <v>234</v>
      </c>
      <c r="D734" s="1">
        <v>1</v>
      </c>
      <c r="E734" s="1">
        <v>78</v>
      </c>
      <c r="F734" s="1">
        <v>23</v>
      </c>
      <c r="G734" s="1" t="s">
        <v>11</v>
      </c>
      <c r="H734" s="1">
        <v>516</v>
      </c>
      <c r="K734" s="1" t="s">
        <v>98</v>
      </c>
      <c r="L734" s="1" t="s">
        <v>245</v>
      </c>
      <c r="M734" s="1" t="s">
        <v>246</v>
      </c>
      <c r="N734" s="1" t="s">
        <v>253</v>
      </c>
      <c r="O734" s="1">
        <v>35</v>
      </c>
      <c r="P734" s="1" t="s">
        <v>167</v>
      </c>
    </row>
    <row r="735" spans="1:16">
      <c r="A735" s="7">
        <v>40008</v>
      </c>
      <c r="B735" s="1">
        <v>709</v>
      </c>
      <c r="C735" s="1" t="s">
        <v>234</v>
      </c>
      <c r="D735" s="1">
        <v>4</v>
      </c>
      <c r="E735" s="1">
        <v>940.5</v>
      </c>
      <c r="F735" s="1">
        <v>23</v>
      </c>
      <c r="G735" s="1" t="s">
        <v>13</v>
      </c>
      <c r="H735" s="1">
        <v>2072</v>
      </c>
      <c r="K735" s="1" t="s">
        <v>100</v>
      </c>
      <c r="L735" s="1" t="s">
        <v>245</v>
      </c>
      <c r="M735" s="1" t="s">
        <v>246</v>
      </c>
      <c r="N735" s="1" t="s">
        <v>253</v>
      </c>
      <c r="O735" s="1">
        <v>146.5</v>
      </c>
      <c r="P735" s="1" t="s">
        <v>167</v>
      </c>
    </row>
    <row r="736" spans="1:16">
      <c r="A736" s="7">
        <v>40008</v>
      </c>
      <c r="B736" s="1">
        <v>704</v>
      </c>
      <c r="C736" s="1" t="s">
        <v>235</v>
      </c>
      <c r="D736" s="1">
        <v>1</v>
      </c>
      <c r="E736" s="1">
        <v>532.98</v>
      </c>
      <c r="F736" s="1">
        <v>23</v>
      </c>
      <c r="G736" s="1" t="s">
        <v>5</v>
      </c>
      <c r="H736" s="1">
        <v>117</v>
      </c>
      <c r="K736" s="1" t="s">
        <v>86</v>
      </c>
      <c r="L736" s="1" t="s">
        <v>248</v>
      </c>
      <c r="M736" s="1" t="s">
        <v>249</v>
      </c>
      <c r="N736" s="1" t="s">
        <v>253</v>
      </c>
      <c r="O736" s="1">
        <v>868.2</v>
      </c>
      <c r="P736" s="1" t="s">
        <v>167</v>
      </c>
    </row>
    <row r="737" spans="1:16">
      <c r="A737" s="7">
        <v>40008</v>
      </c>
      <c r="B737" s="1">
        <v>701</v>
      </c>
      <c r="C737" s="1" t="s">
        <v>235</v>
      </c>
      <c r="D737" s="1">
        <v>1</v>
      </c>
      <c r="E737" s="1">
        <v>406.77</v>
      </c>
      <c r="F737" s="1">
        <v>23</v>
      </c>
      <c r="G737" s="1" t="s">
        <v>6</v>
      </c>
      <c r="H737" s="1">
        <v>124</v>
      </c>
      <c r="K737" s="1" t="s">
        <v>86</v>
      </c>
      <c r="L737" s="1" t="s">
        <v>248</v>
      </c>
      <c r="M737" s="1" t="s">
        <v>249</v>
      </c>
      <c r="N737" s="1" t="s">
        <v>253</v>
      </c>
      <c r="O737" s="1">
        <v>431.32</v>
      </c>
      <c r="P737" s="1" t="s">
        <v>167</v>
      </c>
    </row>
    <row r="738" spans="1:16">
      <c r="A738" s="7">
        <v>40008</v>
      </c>
      <c r="B738" s="1">
        <v>702</v>
      </c>
      <c r="C738" s="1" t="s">
        <v>235</v>
      </c>
      <c r="D738" s="1">
        <v>1</v>
      </c>
      <c r="E738" s="1">
        <v>532.99</v>
      </c>
      <c r="F738" s="1">
        <v>23</v>
      </c>
      <c r="G738" s="1" t="s">
        <v>6</v>
      </c>
      <c r="H738" s="1">
        <v>66</v>
      </c>
      <c r="K738" s="1" t="s">
        <v>75</v>
      </c>
      <c r="L738" s="1" t="s">
        <v>245</v>
      </c>
      <c r="M738" s="1" t="s">
        <v>246</v>
      </c>
      <c r="N738" s="1" t="s">
        <v>253</v>
      </c>
      <c r="O738" s="1">
        <v>368.4</v>
      </c>
      <c r="P738" s="1" t="s">
        <v>167</v>
      </c>
    </row>
    <row r="739" spans="1:16">
      <c r="A739" s="7">
        <v>40008</v>
      </c>
      <c r="B739" s="1">
        <v>703</v>
      </c>
      <c r="C739" s="1" t="s">
        <v>234</v>
      </c>
      <c r="D739" s="1">
        <v>2</v>
      </c>
      <c r="E739" s="1">
        <v>546.16</v>
      </c>
      <c r="F739" s="1">
        <v>23</v>
      </c>
      <c r="G739" s="1" t="s">
        <v>6</v>
      </c>
      <c r="H739" s="1">
        <v>64</v>
      </c>
      <c r="K739" s="1" t="s">
        <v>102</v>
      </c>
      <c r="L739" s="1" t="s">
        <v>245</v>
      </c>
      <c r="M739" s="1" t="s">
        <v>246</v>
      </c>
      <c r="N739" s="1" t="s">
        <v>253</v>
      </c>
      <c r="O739" s="1">
        <v>1932.96</v>
      </c>
      <c r="P739" s="1" t="s">
        <v>167</v>
      </c>
    </row>
    <row r="740" spans="1:16">
      <c r="A740" s="7">
        <v>40008</v>
      </c>
      <c r="B740" s="1">
        <v>705</v>
      </c>
      <c r="C740" s="1" t="s">
        <v>235</v>
      </c>
      <c r="D740" s="1">
        <v>1</v>
      </c>
      <c r="E740" s="1">
        <v>259.91000000000003</v>
      </c>
      <c r="F740" s="1">
        <v>23</v>
      </c>
      <c r="G740" s="1" t="s">
        <v>6</v>
      </c>
      <c r="H740" s="1">
        <v>1055</v>
      </c>
      <c r="K740" s="1" t="s">
        <v>77</v>
      </c>
      <c r="L740" s="1" t="s">
        <v>245</v>
      </c>
      <c r="M740" s="1" t="s">
        <v>246</v>
      </c>
      <c r="N740" s="1" t="s">
        <v>253</v>
      </c>
      <c r="O740" s="1">
        <v>331.66</v>
      </c>
      <c r="P740" s="1" t="s">
        <v>167</v>
      </c>
    </row>
    <row r="741" spans="1:16">
      <c r="A741" s="7">
        <v>40008</v>
      </c>
      <c r="B741" s="1">
        <v>707</v>
      </c>
      <c r="C741" s="1" t="s">
        <v>234</v>
      </c>
      <c r="D741" s="1">
        <v>4</v>
      </c>
      <c r="E741" s="1">
        <v>532.99</v>
      </c>
      <c r="F741" s="1">
        <v>23</v>
      </c>
      <c r="G741" s="1" t="s">
        <v>6</v>
      </c>
      <c r="H741" s="1">
        <v>1373</v>
      </c>
      <c r="K741" s="1" t="s">
        <v>103</v>
      </c>
      <c r="L741" s="1" t="s">
        <v>245</v>
      </c>
      <c r="M741" s="1" t="s">
        <v>246</v>
      </c>
      <c r="N741" s="1" t="s">
        <v>253</v>
      </c>
      <c r="O741" s="1">
        <v>341.07</v>
      </c>
      <c r="P741" s="1" t="s">
        <v>167</v>
      </c>
    </row>
    <row r="742" spans="1:16">
      <c r="A742" s="7">
        <v>40008</v>
      </c>
      <c r="B742" s="1">
        <v>708</v>
      </c>
      <c r="C742" s="1" t="s">
        <v>234</v>
      </c>
      <c r="D742" s="1">
        <v>4</v>
      </c>
      <c r="E742" s="1">
        <v>532.99</v>
      </c>
      <c r="F742" s="1">
        <v>23</v>
      </c>
      <c r="G742" s="1" t="s">
        <v>6</v>
      </c>
      <c r="H742" s="1">
        <v>126</v>
      </c>
      <c r="K742" s="1" t="s">
        <v>103</v>
      </c>
      <c r="L742" s="1" t="s">
        <v>245</v>
      </c>
      <c r="M742" s="1" t="s">
        <v>246</v>
      </c>
      <c r="N742" s="1" t="s">
        <v>253</v>
      </c>
      <c r="O742" s="1">
        <v>39.24</v>
      </c>
      <c r="P742" s="1" t="s">
        <v>167</v>
      </c>
    </row>
    <row r="743" spans="1:16">
      <c r="A743" s="7">
        <v>40008</v>
      </c>
      <c r="B743" s="1">
        <v>710</v>
      </c>
      <c r="C743" s="1" t="s">
        <v>234</v>
      </c>
      <c r="D743" s="1">
        <v>3</v>
      </c>
      <c r="E743" s="1">
        <v>330.54</v>
      </c>
      <c r="F743" s="1">
        <v>23</v>
      </c>
      <c r="G743" s="1" t="s">
        <v>6</v>
      </c>
      <c r="H743" s="1">
        <v>172</v>
      </c>
      <c r="K743" s="1" t="s">
        <v>77</v>
      </c>
      <c r="L743" s="1" t="s">
        <v>248</v>
      </c>
      <c r="M743" s="1" t="s">
        <v>249</v>
      </c>
      <c r="N743" s="1" t="s">
        <v>253</v>
      </c>
      <c r="O743" s="1">
        <v>189.68</v>
      </c>
      <c r="P743" s="1" t="s">
        <v>167</v>
      </c>
    </row>
    <row r="744" spans="1:16">
      <c r="A744" s="7">
        <v>40008</v>
      </c>
      <c r="B744" s="1">
        <v>711</v>
      </c>
      <c r="C744" s="1" t="s">
        <v>235</v>
      </c>
      <c r="D744" s="1">
        <v>1</v>
      </c>
      <c r="E744" s="1">
        <v>631.17999999999995</v>
      </c>
      <c r="F744" s="1">
        <v>23</v>
      </c>
      <c r="G744" s="1" t="s">
        <v>6</v>
      </c>
      <c r="H744" s="1">
        <v>69</v>
      </c>
      <c r="K744" s="1" t="s">
        <v>124</v>
      </c>
      <c r="L744" s="1" t="s">
        <v>248</v>
      </c>
      <c r="M744" s="1" t="s">
        <v>249</v>
      </c>
      <c r="N744" s="1" t="s">
        <v>253</v>
      </c>
      <c r="O744" s="1">
        <v>750</v>
      </c>
      <c r="P744" s="1" t="s">
        <v>167</v>
      </c>
    </row>
    <row r="745" spans="1:16">
      <c r="A745" s="7">
        <v>40008</v>
      </c>
      <c r="B745" s="1">
        <v>712</v>
      </c>
      <c r="C745" s="1" t="s">
        <v>235</v>
      </c>
      <c r="D745" s="1">
        <v>1</v>
      </c>
      <c r="E745" s="1">
        <v>202.78</v>
      </c>
      <c r="F745" s="1">
        <v>23</v>
      </c>
      <c r="G745" s="1" t="s">
        <v>6</v>
      </c>
      <c r="H745" s="1">
        <v>1304</v>
      </c>
      <c r="K745" s="1" t="s">
        <v>124</v>
      </c>
      <c r="L745" s="1" t="s">
        <v>248</v>
      </c>
      <c r="M745" s="1" t="s">
        <v>249</v>
      </c>
      <c r="N745" s="1" t="s">
        <v>253</v>
      </c>
      <c r="O745" s="1">
        <v>7490</v>
      </c>
      <c r="P745" s="1" t="s">
        <v>167</v>
      </c>
    </row>
    <row r="746" spans="1:16">
      <c r="A746" s="7">
        <v>40008</v>
      </c>
      <c r="B746" s="1">
        <v>713</v>
      </c>
      <c r="C746" s="1" t="s">
        <v>234</v>
      </c>
      <c r="D746" s="1">
        <v>2</v>
      </c>
      <c r="E746" s="1">
        <v>90.88</v>
      </c>
      <c r="F746" s="1">
        <v>23</v>
      </c>
      <c r="G746" s="1" t="s">
        <v>6</v>
      </c>
      <c r="H746" s="1">
        <v>0</v>
      </c>
      <c r="K746" s="1" t="s">
        <v>102</v>
      </c>
      <c r="L746" s="1" t="s">
        <v>258</v>
      </c>
      <c r="M746" s="1" t="s">
        <v>259</v>
      </c>
      <c r="N746" s="1" t="s">
        <v>253</v>
      </c>
      <c r="O746" s="1">
        <v>1021.02</v>
      </c>
      <c r="P746" s="1" t="s">
        <v>167</v>
      </c>
    </row>
    <row r="747" spans="1:16">
      <c r="A747" s="7">
        <v>40008</v>
      </c>
      <c r="B747" s="1">
        <v>734</v>
      </c>
      <c r="C747" s="1" t="s">
        <v>234</v>
      </c>
      <c r="D747" s="1">
        <v>1</v>
      </c>
      <c r="E747" s="1">
        <v>499.48</v>
      </c>
      <c r="F747" s="1">
        <v>23</v>
      </c>
      <c r="G747" s="1" t="s">
        <v>6</v>
      </c>
      <c r="H747" s="1">
        <v>106</v>
      </c>
      <c r="K747" s="1" t="s">
        <v>102</v>
      </c>
      <c r="L747" s="1" t="s">
        <v>258</v>
      </c>
      <c r="M747" s="1" t="s">
        <v>259</v>
      </c>
      <c r="N747" s="1" t="s">
        <v>253</v>
      </c>
      <c r="O747" s="1">
        <v>477.36</v>
      </c>
      <c r="P747" s="1" t="s">
        <v>167</v>
      </c>
    </row>
    <row r="748" spans="1:16">
      <c r="A748" s="7">
        <v>40008</v>
      </c>
      <c r="B748" s="1">
        <v>746</v>
      </c>
      <c r="C748" s="1" t="s">
        <v>234</v>
      </c>
      <c r="D748" s="1">
        <v>4</v>
      </c>
      <c r="E748" s="1">
        <v>770.05</v>
      </c>
      <c r="F748" s="1">
        <v>23</v>
      </c>
      <c r="G748" s="1" t="s">
        <v>6</v>
      </c>
      <c r="H748" s="1">
        <v>114</v>
      </c>
      <c r="K748" s="1" t="s">
        <v>104</v>
      </c>
      <c r="L748" s="1" t="s">
        <v>258</v>
      </c>
      <c r="M748" s="1" t="s">
        <v>259</v>
      </c>
      <c r="N748" s="1" t="s">
        <v>253</v>
      </c>
      <c r="O748" s="1">
        <v>91.45</v>
      </c>
      <c r="P748" s="1" t="s">
        <v>167</v>
      </c>
    </row>
    <row r="749" spans="1:16">
      <c r="A749" s="7">
        <v>40008</v>
      </c>
      <c r="B749" s="1">
        <v>725</v>
      </c>
      <c r="C749" s="1" t="s">
        <v>234</v>
      </c>
      <c r="D749" s="1">
        <v>1</v>
      </c>
      <c r="E749" s="1">
        <v>4.5</v>
      </c>
      <c r="F749" s="1">
        <v>23</v>
      </c>
      <c r="G749" s="1" t="s">
        <v>37</v>
      </c>
      <c r="H749" s="1">
        <v>106</v>
      </c>
      <c r="K749" s="1" t="s">
        <v>80</v>
      </c>
      <c r="L749" s="1" t="s">
        <v>245</v>
      </c>
      <c r="M749" s="1" t="s">
        <v>246</v>
      </c>
      <c r="N749" s="1" t="s">
        <v>253</v>
      </c>
      <c r="O749" s="1">
        <v>273.64</v>
      </c>
      <c r="P749" s="1" t="s">
        <v>167</v>
      </c>
    </row>
    <row r="750" spans="1:16">
      <c r="A750" s="7">
        <v>40070</v>
      </c>
      <c r="B750" s="1">
        <v>1064</v>
      </c>
      <c r="C750" s="1" t="s">
        <v>235</v>
      </c>
      <c r="D750" s="1">
        <v>4</v>
      </c>
      <c r="E750" s="1">
        <v>337.5</v>
      </c>
      <c r="F750" s="1">
        <v>23</v>
      </c>
      <c r="G750" s="1" t="s">
        <v>42</v>
      </c>
      <c r="H750" s="1">
        <v>2104</v>
      </c>
      <c r="K750" s="1" t="s">
        <v>88</v>
      </c>
      <c r="L750" s="1" t="s">
        <v>245</v>
      </c>
      <c r="M750" s="1" t="s">
        <v>246</v>
      </c>
      <c r="N750" s="1" t="s">
        <v>253</v>
      </c>
      <c r="O750" s="1">
        <v>14.4</v>
      </c>
      <c r="P750" s="1" t="s">
        <v>167</v>
      </c>
    </row>
    <row r="751" spans="1:16">
      <c r="A751" s="7">
        <v>40070</v>
      </c>
      <c r="B751" s="1">
        <v>1083</v>
      </c>
      <c r="C751" s="1" t="s">
        <v>235</v>
      </c>
      <c r="D751" s="1">
        <v>4</v>
      </c>
      <c r="E751" s="1">
        <v>230.5</v>
      </c>
      <c r="F751" s="1">
        <v>23</v>
      </c>
      <c r="G751" s="1" t="s">
        <v>42</v>
      </c>
      <c r="H751" s="1">
        <v>2105</v>
      </c>
      <c r="K751" s="1" t="s">
        <v>168</v>
      </c>
      <c r="L751" s="1" t="s">
        <v>245</v>
      </c>
      <c r="M751" s="1" t="s">
        <v>246</v>
      </c>
      <c r="N751" s="1" t="s">
        <v>253</v>
      </c>
      <c r="O751" s="1">
        <v>380</v>
      </c>
      <c r="P751" s="1" t="s">
        <v>167</v>
      </c>
    </row>
    <row r="752" spans="1:16">
      <c r="A752" s="7">
        <v>40070</v>
      </c>
      <c r="B752" s="1">
        <v>1084</v>
      </c>
      <c r="C752" s="1" t="s">
        <v>235</v>
      </c>
      <c r="D752" s="1">
        <v>4</v>
      </c>
      <c r="E752" s="1">
        <v>230.5</v>
      </c>
      <c r="F752" s="1">
        <v>23</v>
      </c>
      <c r="G752" s="1" t="s">
        <v>42</v>
      </c>
      <c r="H752" s="1">
        <v>2106</v>
      </c>
      <c r="K752" s="1" t="s">
        <v>88</v>
      </c>
      <c r="L752" s="1" t="s">
        <v>245</v>
      </c>
      <c r="M752" s="1" t="s">
        <v>246</v>
      </c>
      <c r="N752" s="1" t="s">
        <v>253</v>
      </c>
      <c r="O752" s="1">
        <v>115.66</v>
      </c>
      <c r="P752" s="1" t="s">
        <v>167</v>
      </c>
    </row>
    <row r="753" spans="1:16">
      <c r="A753" s="7">
        <v>40070</v>
      </c>
      <c r="B753" s="1">
        <v>1069</v>
      </c>
      <c r="C753" s="1" t="s">
        <v>234</v>
      </c>
      <c r="D753" s="1">
        <v>4</v>
      </c>
      <c r="E753" s="1">
        <v>901.5</v>
      </c>
      <c r="F753" s="1">
        <v>23</v>
      </c>
      <c r="G753" s="1" t="s">
        <v>7</v>
      </c>
      <c r="H753" s="1">
        <v>0</v>
      </c>
      <c r="K753" s="1" t="s">
        <v>88</v>
      </c>
      <c r="L753" s="1" t="s">
        <v>245</v>
      </c>
      <c r="M753" s="1" t="s">
        <v>246</v>
      </c>
      <c r="N753" s="1" t="s">
        <v>253</v>
      </c>
      <c r="O753" s="1">
        <v>536</v>
      </c>
      <c r="P753" s="1" t="s">
        <v>167</v>
      </c>
    </row>
    <row r="754" spans="1:16">
      <c r="A754" s="7">
        <v>40070</v>
      </c>
      <c r="B754" s="1">
        <v>1070</v>
      </c>
      <c r="C754" s="1" t="s">
        <v>234</v>
      </c>
      <c r="D754" s="1">
        <v>4</v>
      </c>
      <c r="E754" s="1">
        <v>901.5</v>
      </c>
      <c r="F754" s="1">
        <v>23</v>
      </c>
      <c r="G754" s="1" t="s">
        <v>7</v>
      </c>
      <c r="H754" s="1">
        <v>0</v>
      </c>
      <c r="K754" s="1" t="s">
        <v>88</v>
      </c>
      <c r="L754" s="1" t="s">
        <v>245</v>
      </c>
      <c r="M754" s="1" t="s">
        <v>246</v>
      </c>
      <c r="N754" s="1" t="s">
        <v>253</v>
      </c>
      <c r="O754" s="1">
        <v>460</v>
      </c>
      <c r="P754" s="1" t="s">
        <v>167</v>
      </c>
    </row>
    <row r="755" spans="1:16">
      <c r="A755" s="7">
        <v>40070</v>
      </c>
      <c r="B755" s="1">
        <v>1081</v>
      </c>
      <c r="C755" s="1" t="s">
        <v>234</v>
      </c>
      <c r="D755" s="1">
        <v>4</v>
      </c>
      <c r="E755" s="1">
        <v>893.48</v>
      </c>
      <c r="F755" s="1">
        <v>23</v>
      </c>
      <c r="G755" s="1" t="s">
        <v>8</v>
      </c>
      <c r="H755" s="1">
        <v>1406</v>
      </c>
      <c r="K755" s="1" t="s">
        <v>80</v>
      </c>
      <c r="L755" s="1" t="s">
        <v>245</v>
      </c>
      <c r="M755" s="1" t="s">
        <v>246</v>
      </c>
      <c r="N755" s="1" t="s">
        <v>253</v>
      </c>
      <c r="O755" s="1">
        <v>166</v>
      </c>
      <c r="P755" s="1" t="s">
        <v>167</v>
      </c>
    </row>
    <row r="756" spans="1:16">
      <c r="A756" s="7">
        <v>40070</v>
      </c>
      <c r="B756" s="1">
        <v>1069</v>
      </c>
      <c r="C756" s="1" t="s">
        <v>234</v>
      </c>
      <c r="D756" s="1">
        <v>4</v>
      </c>
      <c r="E756" s="1">
        <v>78</v>
      </c>
      <c r="F756" s="1">
        <v>23</v>
      </c>
      <c r="G756" s="1" t="s">
        <v>11</v>
      </c>
      <c r="H756" s="1">
        <v>0</v>
      </c>
      <c r="K756" s="1" t="s">
        <v>100</v>
      </c>
      <c r="L756" s="1" t="s">
        <v>245</v>
      </c>
      <c r="M756" s="1" t="s">
        <v>246</v>
      </c>
      <c r="N756" s="1" t="s">
        <v>253</v>
      </c>
      <c r="O756" s="1">
        <v>9.5500000000000007</v>
      </c>
      <c r="P756" s="1" t="s">
        <v>167</v>
      </c>
    </row>
    <row r="757" spans="1:16">
      <c r="A757" s="7">
        <v>40070</v>
      </c>
      <c r="B757" s="1">
        <v>1070</v>
      </c>
      <c r="C757" s="1" t="s">
        <v>234</v>
      </c>
      <c r="D757" s="1">
        <v>4</v>
      </c>
      <c r="E757" s="1">
        <v>78</v>
      </c>
      <c r="F757" s="1">
        <v>23</v>
      </c>
      <c r="G757" s="1" t="s">
        <v>11</v>
      </c>
      <c r="H757" s="1">
        <v>0</v>
      </c>
      <c r="K757" s="1" t="s">
        <v>169</v>
      </c>
      <c r="L757" s="1" t="s">
        <v>248</v>
      </c>
      <c r="M757" s="1" t="s">
        <v>249</v>
      </c>
      <c r="N757" s="1" t="s">
        <v>253</v>
      </c>
      <c r="O757" s="1">
        <v>97</v>
      </c>
      <c r="P757" s="1" t="s">
        <v>167</v>
      </c>
    </row>
    <row r="758" spans="1:16">
      <c r="A758" s="7">
        <v>40070</v>
      </c>
      <c r="B758" s="1">
        <v>1081</v>
      </c>
      <c r="C758" s="1" t="s">
        <v>234</v>
      </c>
      <c r="D758" s="1">
        <v>4</v>
      </c>
      <c r="E758" s="1">
        <v>78</v>
      </c>
      <c r="F758" s="1">
        <v>23</v>
      </c>
      <c r="G758" s="1" t="s">
        <v>11</v>
      </c>
      <c r="H758" s="1">
        <v>1406</v>
      </c>
      <c r="K758" s="1" t="s">
        <v>105</v>
      </c>
      <c r="L758" s="1" t="s">
        <v>262</v>
      </c>
      <c r="M758" s="1" t="s">
        <v>263</v>
      </c>
      <c r="N758" s="1" t="s">
        <v>253</v>
      </c>
      <c r="O758" s="1">
        <v>248.31</v>
      </c>
      <c r="P758" s="1" t="s">
        <v>167</v>
      </c>
    </row>
    <row r="759" spans="1:16">
      <c r="A759" s="7">
        <v>40070</v>
      </c>
      <c r="B759" s="1">
        <v>1072</v>
      </c>
      <c r="C759" s="1" t="s">
        <v>234</v>
      </c>
      <c r="D759" s="1">
        <v>2</v>
      </c>
      <c r="E759" s="1">
        <v>54.2</v>
      </c>
      <c r="F759" s="1">
        <v>23</v>
      </c>
      <c r="G759" s="1" t="s">
        <v>12</v>
      </c>
      <c r="H759" s="1">
        <v>0</v>
      </c>
      <c r="K759" s="1" t="s">
        <v>105</v>
      </c>
      <c r="L759" s="1" t="s">
        <v>262</v>
      </c>
      <c r="M759" s="1" t="s">
        <v>263</v>
      </c>
      <c r="N759" s="1" t="s">
        <v>253</v>
      </c>
      <c r="O759" s="1">
        <v>243.36</v>
      </c>
      <c r="P759" s="1" t="s">
        <v>167</v>
      </c>
    </row>
    <row r="760" spans="1:16">
      <c r="A760" s="7">
        <v>40070</v>
      </c>
      <c r="B760" s="1">
        <v>1078</v>
      </c>
      <c r="C760" s="1" t="s">
        <v>234</v>
      </c>
      <c r="D760" s="1">
        <v>1</v>
      </c>
      <c r="E760" s="1">
        <v>433.47</v>
      </c>
      <c r="F760" s="1">
        <v>23</v>
      </c>
      <c r="G760" s="1" t="s">
        <v>12</v>
      </c>
      <c r="H760" s="1">
        <v>399</v>
      </c>
      <c r="K760" s="1" t="s">
        <v>80</v>
      </c>
      <c r="L760" s="1" t="s">
        <v>245</v>
      </c>
      <c r="M760" s="1" t="s">
        <v>246</v>
      </c>
      <c r="N760" s="1" t="s">
        <v>253</v>
      </c>
      <c r="O760" s="1">
        <v>100</v>
      </c>
      <c r="P760" s="1" t="s">
        <v>167</v>
      </c>
    </row>
    <row r="761" spans="1:16">
      <c r="A761" s="7">
        <v>40070</v>
      </c>
      <c r="B761" s="1">
        <v>1079</v>
      </c>
      <c r="C761" s="1" t="s">
        <v>234</v>
      </c>
      <c r="D761" s="1">
        <v>4</v>
      </c>
      <c r="E761" s="1">
        <v>853.65</v>
      </c>
      <c r="F761" s="1">
        <v>23</v>
      </c>
      <c r="G761" s="1" t="s">
        <v>12</v>
      </c>
      <c r="H761" s="1">
        <v>1774</v>
      </c>
      <c r="K761" s="1" t="s">
        <v>124</v>
      </c>
      <c r="L761" s="1" t="s">
        <v>245</v>
      </c>
      <c r="M761" s="1" t="s">
        <v>246</v>
      </c>
      <c r="N761" s="1" t="s">
        <v>253</v>
      </c>
      <c r="O761" s="1">
        <v>195</v>
      </c>
      <c r="P761" s="1" t="s">
        <v>167</v>
      </c>
    </row>
    <row r="762" spans="1:16">
      <c r="A762" s="7">
        <v>40070</v>
      </c>
      <c r="B762" s="1">
        <v>1080</v>
      </c>
      <c r="C762" s="1" t="s">
        <v>234</v>
      </c>
      <c r="D762" s="1">
        <v>4</v>
      </c>
      <c r="E762" s="1">
        <v>803.88</v>
      </c>
      <c r="F762" s="1">
        <v>23</v>
      </c>
      <c r="G762" s="1" t="s">
        <v>12</v>
      </c>
      <c r="H762" s="1">
        <v>0</v>
      </c>
      <c r="K762" s="1" t="s">
        <v>106</v>
      </c>
      <c r="L762" s="1" t="s">
        <v>245</v>
      </c>
      <c r="M762" s="1" t="s">
        <v>246</v>
      </c>
      <c r="N762" s="1" t="s">
        <v>253</v>
      </c>
      <c r="O762" s="1">
        <v>194.35</v>
      </c>
      <c r="P762" s="1" t="s">
        <v>167</v>
      </c>
    </row>
    <row r="763" spans="1:16">
      <c r="A763" s="7">
        <v>40070</v>
      </c>
      <c r="B763" s="1">
        <v>1086</v>
      </c>
      <c r="C763" s="1" t="s">
        <v>234</v>
      </c>
      <c r="D763" s="1">
        <v>4</v>
      </c>
      <c r="E763" s="1">
        <v>736.13</v>
      </c>
      <c r="F763" s="1">
        <v>23</v>
      </c>
      <c r="G763" s="1" t="s">
        <v>12</v>
      </c>
      <c r="H763" s="1">
        <v>820</v>
      </c>
      <c r="K763" s="1" t="s">
        <v>72</v>
      </c>
      <c r="L763" s="1" t="s">
        <v>245</v>
      </c>
      <c r="M763" s="1" t="s">
        <v>246</v>
      </c>
      <c r="N763" s="1" t="s">
        <v>253</v>
      </c>
      <c r="O763" s="1">
        <v>151.86000000000001</v>
      </c>
      <c r="P763" s="1" t="s">
        <v>167</v>
      </c>
    </row>
    <row r="764" spans="1:16">
      <c r="A764" s="7">
        <v>40070</v>
      </c>
      <c r="B764" s="1">
        <v>1087</v>
      </c>
      <c r="C764" s="1" t="s">
        <v>234</v>
      </c>
      <c r="D764" s="1">
        <v>4</v>
      </c>
      <c r="E764" s="1">
        <v>523.79999999999995</v>
      </c>
      <c r="F764" s="1">
        <v>23</v>
      </c>
      <c r="G764" s="1" t="s">
        <v>12</v>
      </c>
      <c r="H764" s="1">
        <v>1454</v>
      </c>
      <c r="K764" s="1" t="s">
        <v>102</v>
      </c>
      <c r="L764" s="1" t="s">
        <v>264</v>
      </c>
      <c r="M764" s="1" t="s">
        <v>265</v>
      </c>
      <c r="N764" s="1" t="s">
        <v>253</v>
      </c>
      <c r="O764" s="1">
        <v>526.29</v>
      </c>
      <c r="P764" s="1" t="s">
        <v>167</v>
      </c>
    </row>
    <row r="765" spans="1:16">
      <c r="A765" s="7">
        <v>40070</v>
      </c>
      <c r="B765" s="1">
        <v>1096</v>
      </c>
      <c r="C765" s="1" t="s">
        <v>234</v>
      </c>
      <c r="D765" s="1">
        <v>4</v>
      </c>
      <c r="E765" s="1">
        <v>785.9</v>
      </c>
      <c r="F765" s="1">
        <v>23</v>
      </c>
      <c r="G765" s="1" t="s">
        <v>12</v>
      </c>
      <c r="H765" s="1">
        <v>1781</v>
      </c>
      <c r="K765" s="1" t="s">
        <v>89</v>
      </c>
      <c r="L765" s="1" t="s">
        <v>258</v>
      </c>
      <c r="M765" s="1" t="s">
        <v>259</v>
      </c>
      <c r="N765" s="1" t="s">
        <v>253</v>
      </c>
      <c r="O765" s="1">
        <v>35.1</v>
      </c>
      <c r="P765" s="1" t="s">
        <v>167</v>
      </c>
    </row>
    <row r="766" spans="1:16">
      <c r="A766" s="7">
        <v>40070</v>
      </c>
      <c r="B766" s="1">
        <v>1071</v>
      </c>
      <c r="C766" s="1" t="s">
        <v>234</v>
      </c>
      <c r="D766" s="1">
        <v>4</v>
      </c>
      <c r="E766" s="1">
        <v>941.79</v>
      </c>
      <c r="F766" s="1">
        <v>23</v>
      </c>
      <c r="G766" s="1" t="s">
        <v>13</v>
      </c>
      <c r="H766" s="1">
        <v>0</v>
      </c>
      <c r="K766" s="1" t="s">
        <v>126</v>
      </c>
      <c r="L766" s="1" t="s">
        <v>264</v>
      </c>
      <c r="M766" s="1" t="s">
        <v>265</v>
      </c>
      <c r="N766" s="1" t="s">
        <v>253</v>
      </c>
      <c r="O766" s="1">
        <v>480</v>
      </c>
      <c r="P766" s="1" t="s">
        <v>167</v>
      </c>
    </row>
    <row r="767" spans="1:16">
      <c r="A767" s="7">
        <v>40070</v>
      </c>
      <c r="B767" s="1">
        <v>1075</v>
      </c>
      <c r="C767" s="1" t="s">
        <v>235</v>
      </c>
      <c r="D767" s="1">
        <v>4</v>
      </c>
      <c r="E767" s="1">
        <v>1007.55</v>
      </c>
      <c r="F767" s="1">
        <v>23</v>
      </c>
      <c r="G767" s="1" t="s">
        <v>13</v>
      </c>
      <c r="H767" s="1">
        <v>841</v>
      </c>
      <c r="K767" s="1" t="s">
        <v>155</v>
      </c>
      <c r="L767" s="1" t="s">
        <v>245</v>
      </c>
      <c r="M767" s="1" t="s">
        <v>246</v>
      </c>
      <c r="N767" s="1" t="s">
        <v>253</v>
      </c>
      <c r="O767" s="1">
        <v>206.78</v>
      </c>
      <c r="P767" s="1" t="s">
        <v>167</v>
      </c>
    </row>
    <row r="768" spans="1:16">
      <c r="A768" s="7">
        <v>40070</v>
      </c>
      <c r="B768" s="1">
        <v>1076</v>
      </c>
      <c r="C768" s="1" t="s">
        <v>235</v>
      </c>
      <c r="D768" s="1">
        <v>4</v>
      </c>
      <c r="E768" s="1">
        <v>973.14</v>
      </c>
      <c r="F768" s="1">
        <v>23</v>
      </c>
      <c r="G768" s="1" t="s">
        <v>13</v>
      </c>
      <c r="H768" s="1">
        <v>1102</v>
      </c>
      <c r="K768" s="1" t="s">
        <v>76</v>
      </c>
      <c r="L768" s="1" t="s">
        <v>258</v>
      </c>
      <c r="M768" s="1" t="s">
        <v>259</v>
      </c>
      <c r="N768" s="1" t="s">
        <v>253</v>
      </c>
      <c r="O768" s="1">
        <v>456</v>
      </c>
      <c r="P768" s="1" t="s">
        <v>167</v>
      </c>
    </row>
    <row r="769" spans="1:16">
      <c r="A769" s="7">
        <v>40070</v>
      </c>
      <c r="B769" s="1">
        <v>1085</v>
      </c>
      <c r="C769" s="1" t="s">
        <v>234</v>
      </c>
      <c r="D769" s="1">
        <v>4</v>
      </c>
      <c r="E769" s="1">
        <v>718.88</v>
      </c>
      <c r="F769" s="1">
        <v>23</v>
      </c>
      <c r="G769" s="1" t="s">
        <v>13</v>
      </c>
      <c r="H769" s="1">
        <v>2011</v>
      </c>
      <c r="K769" s="1" t="s">
        <v>72</v>
      </c>
      <c r="L769" s="1" t="s">
        <v>245</v>
      </c>
      <c r="M769" s="1" t="s">
        <v>246</v>
      </c>
      <c r="N769" s="1" t="s">
        <v>253</v>
      </c>
      <c r="O769" s="1">
        <v>913.79</v>
      </c>
      <c r="P769" s="1" t="s">
        <v>167</v>
      </c>
    </row>
    <row r="770" spans="1:16">
      <c r="A770" s="7">
        <v>40070</v>
      </c>
      <c r="B770" s="1">
        <v>1089</v>
      </c>
      <c r="C770" s="1" t="s">
        <v>234</v>
      </c>
      <c r="D770" s="1">
        <v>4</v>
      </c>
      <c r="E770" s="1">
        <v>622.62</v>
      </c>
      <c r="F770" s="1">
        <v>23</v>
      </c>
      <c r="G770" s="1" t="s">
        <v>13</v>
      </c>
      <c r="H770" s="1">
        <v>446</v>
      </c>
      <c r="K770" s="1" t="s">
        <v>88</v>
      </c>
      <c r="L770" s="1" t="s">
        <v>245</v>
      </c>
      <c r="M770" s="1" t="s">
        <v>246</v>
      </c>
      <c r="N770" s="1" t="s">
        <v>253</v>
      </c>
      <c r="O770" s="1">
        <v>11.95</v>
      </c>
      <c r="P770" s="1" t="s">
        <v>167</v>
      </c>
    </row>
    <row r="771" spans="1:16">
      <c r="A771" s="7">
        <v>40070</v>
      </c>
      <c r="B771" s="1">
        <v>1090</v>
      </c>
      <c r="C771" s="1" t="s">
        <v>234</v>
      </c>
      <c r="D771" s="1">
        <v>4</v>
      </c>
      <c r="E771" s="1">
        <v>611.32000000000005</v>
      </c>
      <c r="F771" s="1">
        <v>23</v>
      </c>
      <c r="G771" s="1" t="s">
        <v>13</v>
      </c>
      <c r="H771" s="1">
        <v>1500</v>
      </c>
      <c r="K771" s="1" t="s">
        <v>110</v>
      </c>
      <c r="L771" s="1" t="s">
        <v>245</v>
      </c>
      <c r="M771" s="1" t="s">
        <v>246</v>
      </c>
      <c r="N771" s="1" t="s">
        <v>253</v>
      </c>
      <c r="O771" s="1">
        <v>432.64</v>
      </c>
      <c r="P771" s="1" t="s">
        <v>167</v>
      </c>
    </row>
    <row r="772" spans="1:16">
      <c r="A772" s="7">
        <v>40070</v>
      </c>
      <c r="B772" s="1">
        <v>1093</v>
      </c>
      <c r="C772" s="1" t="s">
        <v>235</v>
      </c>
      <c r="D772" s="1">
        <v>4</v>
      </c>
      <c r="E772" s="1">
        <v>158.04</v>
      </c>
      <c r="F772" s="1">
        <v>23</v>
      </c>
      <c r="G772" s="1" t="s">
        <v>13</v>
      </c>
      <c r="H772" s="1">
        <v>403</v>
      </c>
      <c r="K772" s="1" t="s">
        <v>103</v>
      </c>
      <c r="L772" s="1" t="s">
        <v>264</v>
      </c>
      <c r="M772" s="1" t="s">
        <v>265</v>
      </c>
      <c r="N772" s="1" t="s">
        <v>253</v>
      </c>
      <c r="O772" s="1">
        <v>63.2</v>
      </c>
      <c r="P772" s="1" t="s">
        <v>167</v>
      </c>
    </row>
    <row r="773" spans="1:16">
      <c r="A773" s="7">
        <v>40070</v>
      </c>
      <c r="B773" s="1">
        <v>1095</v>
      </c>
      <c r="C773" s="1" t="s">
        <v>234</v>
      </c>
      <c r="D773" s="1">
        <v>4</v>
      </c>
      <c r="E773" s="1">
        <v>642.15</v>
      </c>
      <c r="F773" s="1">
        <v>23</v>
      </c>
      <c r="G773" s="1" t="s">
        <v>13</v>
      </c>
      <c r="H773" s="1">
        <v>1505</v>
      </c>
      <c r="K773" s="1" t="s">
        <v>108</v>
      </c>
      <c r="L773" s="1" t="s">
        <v>258</v>
      </c>
      <c r="M773" s="1" t="s">
        <v>259</v>
      </c>
      <c r="N773" s="1" t="s">
        <v>253</v>
      </c>
      <c r="O773" s="1">
        <v>82.86</v>
      </c>
      <c r="P773" s="1" t="s">
        <v>167</v>
      </c>
    </row>
    <row r="774" spans="1:16">
      <c r="A774" s="7">
        <v>40070</v>
      </c>
      <c r="B774" s="1">
        <v>1098</v>
      </c>
      <c r="C774" s="1" t="s">
        <v>234</v>
      </c>
      <c r="D774" s="1">
        <v>4</v>
      </c>
      <c r="E774" s="1">
        <v>236.08</v>
      </c>
      <c r="F774" s="1">
        <v>23</v>
      </c>
      <c r="G774" s="1" t="s">
        <v>13</v>
      </c>
      <c r="H774" s="1">
        <v>211</v>
      </c>
      <c r="K774" s="1" t="s">
        <v>100</v>
      </c>
      <c r="L774" s="1" t="s">
        <v>245</v>
      </c>
      <c r="M774" s="1" t="s">
        <v>246</v>
      </c>
      <c r="N774" s="1" t="s">
        <v>253</v>
      </c>
      <c r="O774" s="1">
        <v>650</v>
      </c>
      <c r="P774" s="1" t="s">
        <v>167</v>
      </c>
    </row>
    <row r="775" spans="1:16">
      <c r="A775" s="7">
        <v>40070</v>
      </c>
      <c r="B775" s="1">
        <v>1073</v>
      </c>
      <c r="C775" s="1" t="s">
        <v>235</v>
      </c>
      <c r="D775" s="1">
        <v>4</v>
      </c>
      <c r="E775" s="1">
        <v>846.45</v>
      </c>
      <c r="F775" s="1">
        <v>23</v>
      </c>
      <c r="G775" s="1" t="s">
        <v>3</v>
      </c>
      <c r="H775" s="1">
        <v>1335</v>
      </c>
      <c r="K775" s="1" t="s">
        <v>109</v>
      </c>
      <c r="L775" s="1" t="s">
        <v>245</v>
      </c>
      <c r="M775" s="1" t="s">
        <v>246</v>
      </c>
      <c r="N775" s="1" t="s">
        <v>253</v>
      </c>
      <c r="O775" s="1">
        <v>14.1</v>
      </c>
      <c r="P775" s="1" t="s">
        <v>167</v>
      </c>
    </row>
    <row r="776" spans="1:16">
      <c r="A776" s="7">
        <v>40070</v>
      </c>
      <c r="B776" s="1">
        <v>1082</v>
      </c>
      <c r="C776" s="1" t="s">
        <v>234</v>
      </c>
      <c r="D776" s="1">
        <v>3</v>
      </c>
      <c r="E776" s="1">
        <v>1065.9000000000001</v>
      </c>
      <c r="F776" s="1">
        <v>23</v>
      </c>
      <c r="G776" s="1" t="s">
        <v>3</v>
      </c>
      <c r="H776" s="1">
        <v>1356</v>
      </c>
      <c r="K776" s="1" t="s">
        <v>110</v>
      </c>
      <c r="L776" s="1" t="s">
        <v>245</v>
      </c>
      <c r="M776" s="1" t="s">
        <v>246</v>
      </c>
      <c r="N776" s="1" t="s">
        <v>253</v>
      </c>
      <c r="O776" s="1">
        <v>119.34</v>
      </c>
      <c r="P776" s="1" t="s">
        <v>167</v>
      </c>
    </row>
    <row r="777" spans="1:16">
      <c r="A777" s="7">
        <v>40070</v>
      </c>
      <c r="B777" s="1">
        <v>1088</v>
      </c>
      <c r="C777" s="1" t="s">
        <v>234</v>
      </c>
      <c r="D777" s="1">
        <v>4</v>
      </c>
      <c r="E777" s="1">
        <v>590</v>
      </c>
      <c r="F777" s="1">
        <v>23</v>
      </c>
      <c r="G777" s="1" t="s">
        <v>3</v>
      </c>
      <c r="H777" s="1">
        <v>1795</v>
      </c>
      <c r="K777" s="1" t="s">
        <v>155</v>
      </c>
      <c r="L777" s="1" t="s">
        <v>264</v>
      </c>
      <c r="M777" s="1" t="s">
        <v>265</v>
      </c>
      <c r="N777" s="1" t="s">
        <v>253</v>
      </c>
      <c r="O777" s="1">
        <v>377.52</v>
      </c>
      <c r="P777" s="1" t="s">
        <v>167</v>
      </c>
    </row>
    <row r="778" spans="1:16">
      <c r="A778" s="7">
        <v>40070</v>
      </c>
      <c r="B778" s="1">
        <v>1091</v>
      </c>
      <c r="C778" s="1" t="s">
        <v>235</v>
      </c>
      <c r="D778" s="1">
        <v>4</v>
      </c>
      <c r="E778" s="1">
        <v>815.1</v>
      </c>
      <c r="F778" s="1">
        <v>23</v>
      </c>
      <c r="G778" s="1" t="s">
        <v>3</v>
      </c>
      <c r="H778" s="1">
        <v>1344</v>
      </c>
      <c r="K778" s="1" t="s">
        <v>157</v>
      </c>
      <c r="L778" s="1" t="s">
        <v>248</v>
      </c>
      <c r="M778" s="1" t="s">
        <v>249</v>
      </c>
      <c r="N778" s="1" t="s">
        <v>253</v>
      </c>
      <c r="O778" s="1">
        <v>275</v>
      </c>
      <c r="P778" s="1" t="s">
        <v>167</v>
      </c>
    </row>
    <row r="779" spans="1:16">
      <c r="A779" s="7">
        <v>40070</v>
      </c>
      <c r="B779" s="1">
        <v>1092</v>
      </c>
      <c r="C779" s="1" t="s">
        <v>235</v>
      </c>
      <c r="D779" s="1">
        <v>4</v>
      </c>
      <c r="E779" s="1">
        <v>31.35</v>
      </c>
      <c r="F779" s="1">
        <v>23</v>
      </c>
      <c r="G779" s="1" t="s">
        <v>3</v>
      </c>
      <c r="H779" s="1">
        <v>1340</v>
      </c>
      <c r="K779" s="1" t="s">
        <v>157</v>
      </c>
      <c r="L779" s="1" t="s">
        <v>245</v>
      </c>
      <c r="M779" s="1" t="s">
        <v>246</v>
      </c>
      <c r="N779" s="1" t="s">
        <v>253</v>
      </c>
      <c r="O779" s="1">
        <v>374.4</v>
      </c>
      <c r="P779" s="1" t="s">
        <v>167</v>
      </c>
    </row>
    <row r="780" spans="1:16">
      <c r="A780" s="7">
        <v>40070</v>
      </c>
      <c r="B780" s="1">
        <v>1097</v>
      </c>
      <c r="C780" s="1" t="s">
        <v>234</v>
      </c>
      <c r="D780" s="1">
        <v>4</v>
      </c>
      <c r="E780" s="1">
        <v>846.45</v>
      </c>
      <c r="F780" s="1">
        <v>23</v>
      </c>
      <c r="G780" s="1" t="s">
        <v>3</v>
      </c>
      <c r="H780" s="1">
        <v>1342</v>
      </c>
      <c r="K780" s="1" t="s">
        <v>76</v>
      </c>
      <c r="L780" s="1" t="s">
        <v>245</v>
      </c>
      <c r="M780" s="1" t="s">
        <v>246</v>
      </c>
      <c r="N780" s="1" t="s">
        <v>253</v>
      </c>
      <c r="O780" s="1">
        <v>688.5</v>
      </c>
      <c r="P780" s="1" t="s">
        <v>167</v>
      </c>
    </row>
    <row r="781" spans="1:16">
      <c r="A781" s="7">
        <v>40070</v>
      </c>
      <c r="B781" s="1">
        <v>1074</v>
      </c>
      <c r="C781" s="1" t="s">
        <v>235</v>
      </c>
      <c r="D781" s="1">
        <v>4</v>
      </c>
      <c r="E781" s="1">
        <v>45</v>
      </c>
      <c r="F781" s="1">
        <v>23</v>
      </c>
      <c r="G781" s="1" t="s">
        <v>15</v>
      </c>
      <c r="H781" s="1">
        <v>1776</v>
      </c>
      <c r="K781" s="1" t="s">
        <v>80</v>
      </c>
      <c r="L781" s="1" t="s">
        <v>245</v>
      </c>
      <c r="M781" s="1" t="s">
        <v>246</v>
      </c>
      <c r="N781" s="1" t="s">
        <v>253</v>
      </c>
      <c r="O781" s="1">
        <v>191.69</v>
      </c>
      <c r="P781" s="1" t="s">
        <v>167</v>
      </c>
    </row>
    <row r="782" spans="1:16">
      <c r="A782" s="7">
        <v>40070</v>
      </c>
      <c r="B782" s="1">
        <v>1077</v>
      </c>
      <c r="C782" s="1" t="s">
        <v>234</v>
      </c>
      <c r="D782" s="1">
        <v>4</v>
      </c>
      <c r="E782" s="1">
        <v>45</v>
      </c>
      <c r="F782" s="1">
        <v>23</v>
      </c>
      <c r="G782" s="1" t="s">
        <v>15</v>
      </c>
      <c r="H782" s="1">
        <v>1810</v>
      </c>
      <c r="K782" s="1" t="s">
        <v>77</v>
      </c>
      <c r="L782" s="1" t="s">
        <v>258</v>
      </c>
      <c r="M782" s="1" t="s">
        <v>259</v>
      </c>
      <c r="N782" s="1" t="s">
        <v>253</v>
      </c>
      <c r="O782" s="1">
        <v>1051.6600000000001</v>
      </c>
      <c r="P782" s="1" t="s">
        <v>167</v>
      </c>
    </row>
    <row r="783" spans="1:16">
      <c r="A783" s="7">
        <v>40070</v>
      </c>
      <c r="B783" s="1">
        <v>1094</v>
      </c>
      <c r="C783" s="1" t="s">
        <v>235</v>
      </c>
      <c r="D783" s="1">
        <v>4</v>
      </c>
      <c r="E783" s="1">
        <v>45</v>
      </c>
      <c r="F783" s="1">
        <v>23</v>
      </c>
      <c r="G783" s="1" t="s">
        <v>15</v>
      </c>
      <c r="H783" s="1">
        <v>1418</v>
      </c>
      <c r="K783" s="1" t="s">
        <v>77</v>
      </c>
      <c r="L783" s="1" t="s">
        <v>262</v>
      </c>
      <c r="M783" s="1" t="s">
        <v>263</v>
      </c>
      <c r="N783" s="1" t="s">
        <v>253</v>
      </c>
      <c r="O783" s="1">
        <v>153.46</v>
      </c>
      <c r="P783" s="1" t="s">
        <v>167</v>
      </c>
    </row>
    <row r="784" spans="1:16">
      <c r="A784" s="7">
        <v>40070</v>
      </c>
      <c r="B784" s="1">
        <v>1065</v>
      </c>
      <c r="C784" s="1" t="s">
        <v>234</v>
      </c>
      <c r="D784" s="1">
        <v>1</v>
      </c>
      <c r="E784" s="1">
        <v>118.53</v>
      </c>
      <c r="F784" s="1">
        <v>23</v>
      </c>
      <c r="G784" s="1" t="s">
        <v>6</v>
      </c>
      <c r="H784" s="1">
        <v>1257</v>
      </c>
      <c r="K784" s="1" t="s">
        <v>77</v>
      </c>
      <c r="L784" s="1" t="s">
        <v>262</v>
      </c>
      <c r="M784" s="1" t="s">
        <v>263</v>
      </c>
      <c r="N784" s="1" t="s">
        <v>253</v>
      </c>
      <c r="O784" s="1">
        <v>2542.04</v>
      </c>
      <c r="P784" s="1" t="s">
        <v>167</v>
      </c>
    </row>
    <row r="785" spans="1:16">
      <c r="A785" s="7">
        <v>40070</v>
      </c>
      <c r="B785" s="1">
        <v>1068</v>
      </c>
      <c r="C785" s="1" t="s">
        <v>234</v>
      </c>
      <c r="D785" s="1">
        <v>1</v>
      </c>
      <c r="E785" s="1">
        <v>374.95</v>
      </c>
      <c r="F785" s="1">
        <v>23</v>
      </c>
      <c r="G785" s="1" t="s">
        <v>6</v>
      </c>
      <c r="H785" s="1">
        <v>738</v>
      </c>
      <c r="K785" s="1" t="s">
        <v>77</v>
      </c>
      <c r="L785" s="1" t="s">
        <v>262</v>
      </c>
      <c r="M785" s="1" t="s">
        <v>263</v>
      </c>
      <c r="N785" s="1" t="s">
        <v>253</v>
      </c>
      <c r="O785" s="1">
        <v>75.989999999999995</v>
      </c>
      <c r="P785" s="1" t="s">
        <v>167</v>
      </c>
    </row>
    <row r="786" spans="1:16">
      <c r="A786" s="7">
        <v>40100</v>
      </c>
      <c r="B786" s="1">
        <v>1450</v>
      </c>
      <c r="C786" s="1" t="s">
        <v>234</v>
      </c>
      <c r="D786" s="1">
        <v>4</v>
      </c>
      <c r="E786" s="1">
        <v>31.35</v>
      </c>
      <c r="F786" s="1">
        <v>23</v>
      </c>
      <c r="G786" s="1" t="s">
        <v>3</v>
      </c>
      <c r="H786" s="1">
        <v>0</v>
      </c>
      <c r="K786" s="1" t="s">
        <v>157</v>
      </c>
      <c r="L786" s="1" t="s">
        <v>245</v>
      </c>
      <c r="M786" s="1" t="s">
        <v>246</v>
      </c>
      <c r="N786" s="1" t="s">
        <v>253</v>
      </c>
      <c r="O786" s="1">
        <v>250</v>
      </c>
      <c r="P786" s="1" t="s">
        <v>167</v>
      </c>
    </row>
    <row r="787" spans="1:16">
      <c r="A787" s="7">
        <v>40161</v>
      </c>
      <c r="B787" s="1">
        <v>1543</v>
      </c>
      <c r="C787" s="1" t="s">
        <v>235</v>
      </c>
      <c r="D787" s="1">
        <v>4</v>
      </c>
      <c r="E787" s="1">
        <v>4.5</v>
      </c>
      <c r="F787" s="1">
        <v>23</v>
      </c>
      <c r="G787" s="1" t="s">
        <v>14</v>
      </c>
      <c r="H787" s="1">
        <v>1093</v>
      </c>
      <c r="K787" s="1" t="s">
        <v>157</v>
      </c>
      <c r="L787" s="1" t="s">
        <v>245</v>
      </c>
      <c r="M787" s="1" t="s">
        <v>246</v>
      </c>
      <c r="N787" s="1" t="s">
        <v>253</v>
      </c>
      <c r="O787" s="1">
        <v>71.06</v>
      </c>
      <c r="P787" s="1" t="s">
        <v>167</v>
      </c>
    </row>
    <row r="788" spans="1:16">
      <c r="A788" s="7">
        <v>40161</v>
      </c>
      <c r="B788" s="1">
        <v>1542</v>
      </c>
      <c r="C788" s="1" t="s">
        <v>234</v>
      </c>
      <c r="D788" s="1">
        <v>4</v>
      </c>
      <c r="E788" s="1">
        <v>75</v>
      </c>
      <c r="F788" s="1">
        <v>23</v>
      </c>
      <c r="G788" s="1" t="s">
        <v>24</v>
      </c>
      <c r="H788" s="1">
        <v>1790</v>
      </c>
      <c r="K788" s="1" t="s">
        <v>77</v>
      </c>
      <c r="L788" s="1" t="s">
        <v>258</v>
      </c>
      <c r="M788" s="1" t="s">
        <v>259</v>
      </c>
      <c r="N788" s="1" t="s">
        <v>253</v>
      </c>
      <c r="O788" s="1">
        <v>307.86</v>
      </c>
      <c r="P788" s="1" t="s">
        <v>167</v>
      </c>
    </row>
    <row r="789" spans="1:16">
      <c r="A789" s="7">
        <v>39828</v>
      </c>
      <c r="B789" s="1">
        <v>8</v>
      </c>
      <c r="C789" s="1" t="s">
        <v>235</v>
      </c>
      <c r="D789" s="1">
        <v>4</v>
      </c>
      <c r="E789" s="1">
        <v>4.5</v>
      </c>
      <c r="F789" s="1">
        <v>23</v>
      </c>
      <c r="G789" s="1" t="s">
        <v>14</v>
      </c>
      <c r="H789" s="1">
        <v>1478</v>
      </c>
      <c r="K789" s="1" t="s">
        <v>98</v>
      </c>
      <c r="L789" s="1" t="s">
        <v>245</v>
      </c>
      <c r="M789" s="1" t="s">
        <v>246</v>
      </c>
      <c r="N789" s="1" t="s">
        <v>253</v>
      </c>
      <c r="O789" s="1">
        <v>669.24</v>
      </c>
      <c r="P789" s="1" t="s">
        <v>167</v>
      </c>
    </row>
    <row r="790" spans="1:16">
      <c r="A790" s="7">
        <v>39828</v>
      </c>
      <c r="B790" s="1">
        <v>18</v>
      </c>
      <c r="C790" s="1" t="s">
        <v>234</v>
      </c>
      <c r="D790" s="1">
        <v>2</v>
      </c>
      <c r="E790" s="1">
        <v>360</v>
      </c>
      <c r="F790" s="1">
        <v>23</v>
      </c>
      <c r="G790" s="1" t="s">
        <v>22</v>
      </c>
      <c r="H790" s="1">
        <v>1991</v>
      </c>
      <c r="K790" s="1" t="s">
        <v>98</v>
      </c>
      <c r="L790" s="1" t="s">
        <v>245</v>
      </c>
      <c r="M790" s="1" t="s">
        <v>246</v>
      </c>
      <c r="N790" s="1" t="s">
        <v>253</v>
      </c>
      <c r="O790" s="1">
        <v>401.63</v>
      </c>
      <c r="P790" s="1" t="s">
        <v>167</v>
      </c>
    </row>
    <row r="791" spans="1:16">
      <c r="A791" s="7">
        <v>40193</v>
      </c>
      <c r="B791" s="1">
        <v>1513</v>
      </c>
      <c r="C791" s="1" t="s">
        <v>234</v>
      </c>
      <c r="D791" s="1">
        <v>4</v>
      </c>
      <c r="E791" s="1">
        <v>2526</v>
      </c>
      <c r="F791" s="1">
        <v>23</v>
      </c>
      <c r="G791" s="1" t="s">
        <v>43</v>
      </c>
      <c r="H791" s="1">
        <v>0</v>
      </c>
      <c r="K791" s="1" t="s">
        <v>111</v>
      </c>
      <c r="L791" s="1" t="s">
        <v>258</v>
      </c>
      <c r="M791" s="1" t="s">
        <v>259</v>
      </c>
      <c r="N791" s="1" t="s">
        <v>253</v>
      </c>
      <c r="O791" s="1">
        <v>1248</v>
      </c>
      <c r="P791" s="1" t="s">
        <v>167</v>
      </c>
    </row>
    <row r="792" spans="1:16">
      <c r="A792" s="7">
        <v>39859</v>
      </c>
      <c r="B792" s="1">
        <v>308</v>
      </c>
      <c r="C792" s="1" t="s">
        <v>234</v>
      </c>
      <c r="D792" s="1">
        <v>4</v>
      </c>
      <c r="E792" s="1">
        <v>335.44</v>
      </c>
      <c r="F792" s="1">
        <v>23</v>
      </c>
      <c r="G792" s="1" t="s">
        <v>29</v>
      </c>
      <c r="H792" s="1">
        <v>1777</v>
      </c>
      <c r="K792" s="1" t="s">
        <v>88</v>
      </c>
      <c r="L792" s="1" t="s">
        <v>245</v>
      </c>
      <c r="M792" s="1" t="s">
        <v>246</v>
      </c>
      <c r="N792" s="1" t="s">
        <v>253</v>
      </c>
      <c r="O792" s="1">
        <v>130.54</v>
      </c>
      <c r="P792" s="1" t="s">
        <v>167</v>
      </c>
    </row>
    <row r="793" spans="1:16">
      <c r="A793" s="7">
        <v>39948</v>
      </c>
      <c r="B793" s="1">
        <v>506</v>
      </c>
      <c r="C793" s="1" t="s">
        <v>234</v>
      </c>
      <c r="D793" s="1">
        <v>4</v>
      </c>
      <c r="E793" s="1">
        <v>14524.2</v>
      </c>
      <c r="F793" s="1">
        <v>23</v>
      </c>
      <c r="G793" s="1" t="s">
        <v>26</v>
      </c>
      <c r="H793" s="1">
        <v>0</v>
      </c>
      <c r="K793" s="1" t="s">
        <v>88</v>
      </c>
      <c r="L793" s="1" t="s">
        <v>245</v>
      </c>
      <c r="M793" s="1" t="s">
        <v>246</v>
      </c>
      <c r="N793" s="1" t="s">
        <v>253</v>
      </c>
      <c r="O793" s="1">
        <v>36.67</v>
      </c>
      <c r="P793" s="1" t="s">
        <v>167</v>
      </c>
    </row>
    <row r="794" spans="1:16">
      <c r="A794" s="7">
        <v>40009</v>
      </c>
      <c r="B794" s="1">
        <v>719</v>
      </c>
      <c r="C794" s="1" t="s">
        <v>235</v>
      </c>
      <c r="D794" s="1">
        <v>3</v>
      </c>
      <c r="E794" s="1">
        <v>901.5</v>
      </c>
      <c r="F794" s="1">
        <v>23</v>
      </c>
      <c r="G794" s="1" t="s">
        <v>7</v>
      </c>
      <c r="H794" s="1">
        <v>1277</v>
      </c>
      <c r="K794" s="1" t="s">
        <v>72</v>
      </c>
      <c r="L794" s="1" t="s">
        <v>245</v>
      </c>
      <c r="M794" s="1" t="s">
        <v>246</v>
      </c>
      <c r="N794" s="1" t="s">
        <v>253</v>
      </c>
      <c r="O794" s="1">
        <v>30</v>
      </c>
      <c r="P794" s="1" t="s">
        <v>167</v>
      </c>
    </row>
    <row r="795" spans="1:16">
      <c r="A795" s="7">
        <v>40009</v>
      </c>
      <c r="B795" s="1">
        <v>750</v>
      </c>
      <c r="C795" s="1" t="s">
        <v>234</v>
      </c>
      <c r="D795" s="1">
        <v>4</v>
      </c>
      <c r="E795" s="1">
        <v>901.5</v>
      </c>
      <c r="F795" s="1">
        <v>23</v>
      </c>
      <c r="G795" s="1" t="s">
        <v>8</v>
      </c>
      <c r="H795" s="1">
        <v>1746</v>
      </c>
      <c r="K795" s="1" t="s">
        <v>110</v>
      </c>
      <c r="L795" s="1" t="s">
        <v>256</v>
      </c>
      <c r="M795" s="1" t="s">
        <v>257</v>
      </c>
      <c r="N795" s="1" t="s">
        <v>253</v>
      </c>
      <c r="O795" s="1">
        <v>119.34</v>
      </c>
      <c r="P795" s="1" t="s">
        <v>167</v>
      </c>
    </row>
    <row r="796" spans="1:16">
      <c r="A796" s="7">
        <v>40009</v>
      </c>
      <c r="B796" s="1">
        <v>719</v>
      </c>
      <c r="C796" s="1" t="s">
        <v>235</v>
      </c>
      <c r="D796" s="1">
        <v>3</v>
      </c>
      <c r="E796" s="1">
        <v>78</v>
      </c>
      <c r="F796" s="1">
        <v>23</v>
      </c>
      <c r="G796" s="1" t="s">
        <v>11</v>
      </c>
      <c r="H796" s="1">
        <v>1277</v>
      </c>
      <c r="K796" s="1" t="s">
        <v>80</v>
      </c>
      <c r="L796" s="1" t="s">
        <v>245</v>
      </c>
      <c r="M796" s="1" t="s">
        <v>246</v>
      </c>
      <c r="N796" s="1" t="s">
        <v>253</v>
      </c>
      <c r="O796" s="1">
        <v>11.15</v>
      </c>
      <c r="P796" s="1" t="s">
        <v>167</v>
      </c>
    </row>
    <row r="797" spans="1:16">
      <c r="A797" s="7">
        <v>40009</v>
      </c>
      <c r="B797" s="1">
        <v>750</v>
      </c>
      <c r="C797" s="1" t="s">
        <v>234</v>
      </c>
      <c r="D797" s="1">
        <v>4</v>
      </c>
      <c r="E797" s="1">
        <v>78</v>
      </c>
      <c r="F797" s="1">
        <v>23</v>
      </c>
      <c r="G797" s="1" t="s">
        <v>11</v>
      </c>
      <c r="H797" s="1">
        <v>1746</v>
      </c>
      <c r="K797" s="1" t="s">
        <v>155</v>
      </c>
      <c r="L797" s="1" t="s">
        <v>245</v>
      </c>
      <c r="M797" s="1" t="s">
        <v>246</v>
      </c>
      <c r="N797" s="1" t="s">
        <v>253</v>
      </c>
      <c r="O797" s="1">
        <v>19.920000000000002</v>
      </c>
      <c r="P797" s="1" t="s">
        <v>167</v>
      </c>
    </row>
    <row r="798" spans="1:16">
      <c r="A798" s="7">
        <v>40009</v>
      </c>
      <c r="B798" s="1">
        <v>716</v>
      </c>
      <c r="C798" s="1" t="s">
        <v>235</v>
      </c>
      <c r="D798" s="1">
        <v>4</v>
      </c>
      <c r="E798" s="1">
        <v>470.25</v>
      </c>
      <c r="F798" s="1">
        <v>23</v>
      </c>
      <c r="G798" s="1" t="s">
        <v>13</v>
      </c>
      <c r="H798" s="1">
        <v>2073</v>
      </c>
      <c r="K798" s="1" t="s">
        <v>102</v>
      </c>
      <c r="L798" s="1" t="s">
        <v>245</v>
      </c>
      <c r="M798" s="1" t="s">
        <v>246</v>
      </c>
      <c r="N798" s="1" t="s">
        <v>253</v>
      </c>
      <c r="O798" s="1">
        <v>561.6</v>
      </c>
      <c r="P798" s="1" t="s">
        <v>167</v>
      </c>
    </row>
    <row r="799" spans="1:16">
      <c r="A799" s="7">
        <v>40009</v>
      </c>
      <c r="B799" s="1">
        <v>714</v>
      </c>
      <c r="C799" s="1" t="s">
        <v>235</v>
      </c>
      <c r="D799" s="1">
        <v>1</v>
      </c>
      <c r="E799" s="1">
        <v>651.52</v>
      </c>
      <c r="F799" s="1">
        <v>23</v>
      </c>
      <c r="G799" s="1" t="s">
        <v>6</v>
      </c>
      <c r="H799" s="1">
        <v>174</v>
      </c>
      <c r="K799" s="1" t="s">
        <v>86</v>
      </c>
      <c r="L799" s="1" t="s">
        <v>258</v>
      </c>
      <c r="M799" s="1" t="s">
        <v>259</v>
      </c>
      <c r="N799" s="1" t="s">
        <v>253</v>
      </c>
      <c r="O799" s="1">
        <v>24.96</v>
      </c>
      <c r="P799" s="1" t="s">
        <v>167</v>
      </c>
    </row>
    <row r="800" spans="1:16">
      <c r="A800" s="7">
        <v>40009</v>
      </c>
      <c r="B800" s="1">
        <v>717</v>
      </c>
      <c r="C800" s="1" t="s">
        <v>235</v>
      </c>
      <c r="D800" s="1">
        <v>1</v>
      </c>
      <c r="E800" s="1">
        <v>414.46</v>
      </c>
      <c r="F800" s="1">
        <v>23</v>
      </c>
      <c r="G800" s="1" t="s">
        <v>6</v>
      </c>
      <c r="H800" s="1">
        <v>326</v>
      </c>
      <c r="K800" s="1" t="s">
        <v>86</v>
      </c>
      <c r="L800" s="1" t="s">
        <v>258</v>
      </c>
      <c r="M800" s="1" t="s">
        <v>259</v>
      </c>
      <c r="N800" s="1" t="s">
        <v>253</v>
      </c>
      <c r="O800" s="1">
        <v>43.68</v>
      </c>
      <c r="P800" s="1" t="s">
        <v>167</v>
      </c>
    </row>
    <row r="801" spans="1:16">
      <c r="A801" s="7">
        <v>40009</v>
      </c>
      <c r="B801" s="1">
        <v>718</v>
      </c>
      <c r="C801" s="1" t="s">
        <v>235</v>
      </c>
      <c r="D801" s="1">
        <v>1</v>
      </c>
      <c r="E801" s="1">
        <v>332.84</v>
      </c>
      <c r="F801" s="1">
        <v>23</v>
      </c>
      <c r="G801" s="1" t="s">
        <v>6</v>
      </c>
      <c r="H801" s="1">
        <v>153</v>
      </c>
      <c r="K801" s="1" t="s">
        <v>86</v>
      </c>
      <c r="L801" s="1" t="s">
        <v>258</v>
      </c>
      <c r="M801" s="1" t="s">
        <v>259</v>
      </c>
      <c r="N801" s="1" t="s">
        <v>253</v>
      </c>
      <c r="O801" s="1">
        <v>68.64</v>
      </c>
      <c r="P801" s="1" t="s">
        <v>167</v>
      </c>
    </row>
    <row r="802" spans="1:16">
      <c r="A802" s="7">
        <v>40009</v>
      </c>
      <c r="B802" s="1">
        <v>735</v>
      </c>
      <c r="C802" s="1" t="s">
        <v>234</v>
      </c>
      <c r="D802" s="1">
        <v>1</v>
      </c>
      <c r="E802" s="1">
        <v>532.99</v>
      </c>
      <c r="F802" s="1">
        <v>23</v>
      </c>
      <c r="G802" s="1" t="s">
        <v>6</v>
      </c>
      <c r="H802" s="1">
        <v>1642</v>
      </c>
      <c r="K802" s="1" t="s">
        <v>158</v>
      </c>
      <c r="L802" s="1" t="s">
        <v>264</v>
      </c>
      <c r="M802" s="1" t="s">
        <v>265</v>
      </c>
      <c r="N802" s="1" t="s">
        <v>253</v>
      </c>
      <c r="O802" s="1">
        <v>696.28</v>
      </c>
      <c r="P802" s="1" t="s">
        <v>167</v>
      </c>
    </row>
    <row r="803" spans="1:16">
      <c r="A803" s="7">
        <v>40009</v>
      </c>
      <c r="B803" s="1">
        <v>736</v>
      </c>
      <c r="C803" s="1" t="s">
        <v>234</v>
      </c>
      <c r="D803" s="1">
        <v>1</v>
      </c>
      <c r="E803" s="1">
        <v>651.52</v>
      </c>
      <c r="F803" s="1">
        <v>23</v>
      </c>
      <c r="G803" s="1" t="s">
        <v>6</v>
      </c>
      <c r="H803" s="1">
        <v>607</v>
      </c>
      <c r="K803" s="1" t="s">
        <v>98</v>
      </c>
      <c r="L803" s="1" t="s">
        <v>256</v>
      </c>
      <c r="M803" s="1" t="s">
        <v>257</v>
      </c>
      <c r="N803" s="1" t="s">
        <v>253</v>
      </c>
      <c r="O803" s="1">
        <v>312.52</v>
      </c>
      <c r="P803" s="1" t="s">
        <v>167</v>
      </c>
    </row>
    <row r="804" spans="1:16">
      <c r="A804" s="7">
        <v>40009</v>
      </c>
      <c r="B804" s="1">
        <v>737</v>
      </c>
      <c r="C804" s="1" t="s">
        <v>234</v>
      </c>
      <c r="D804" s="1">
        <v>1</v>
      </c>
      <c r="E804" s="1">
        <v>691.03</v>
      </c>
      <c r="F804" s="1">
        <v>23</v>
      </c>
      <c r="G804" s="1" t="s">
        <v>6</v>
      </c>
      <c r="H804" s="1">
        <v>315</v>
      </c>
      <c r="K804" s="1" t="s">
        <v>100</v>
      </c>
      <c r="L804" s="1" t="s">
        <v>264</v>
      </c>
      <c r="M804" s="1" t="s">
        <v>265</v>
      </c>
      <c r="N804" s="1" t="s">
        <v>253</v>
      </c>
      <c r="O804" s="1">
        <v>561.6</v>
      </c>
      <c r="P804" s="1" t="s">
        <v>167</v>
      </c>
    </row>
    <row r="805" spans="1:16">
      <c r="A805" s="7">
        <v>40009</v>
      </c>
      <c r="B805" s="1">
        <v>738</v>
      </c>
      <c r="C805" s="1" t="s">
        <v>234</v>
      </c>
      <c r="D805" s="1">
        <v>1</v>
      </c>
      <c r="E805" s="1">
        <v>414.46</v>
      </c>
      <c r="F805" s="1">
        <v>23</v>
      </c>
      <c r="G805" s="1" t="s">
        <v>6</v>
      </c>
      <c r="H805" s="1">
        <v>751</v>
      </c>
      <c r="K805" s="1" t="s">
        <v>110</v>
      </c>
      <c r="L805" s="1" t="s">
        <v>258</v>
      </c>
      <c r="M805" s="1" t="s">
        <v>259</v>
      </c>
      <c r="N805" s="1" t="s">
        <v>253</v>
      </c>
      <c r="O805" s="1">
        <v>324.48</v>
      </c>
      <c r="P805" s="1" t="s">
        <v>167</v>
      </c>
    </row>
    <row r="806" spans="1:16">
      <c r="A806" s="7">
        <v>40009</v>
      </c>
      <c r="B806" s="1">
        <v>739</v>
      </c>
      <c r="C806" s="1" t="s">
        <v>234</v>
      </c>
      <c r="D806" s="1">
        <v>1</v>
      </c>
      <c r="E806" s="1">
        <v>770.05</v>
      </c>
      <c r="F806" s="1">
        <v>23</v>
      </c>
      <c r="G806" s="1" t="s">
        <v>6</v>
      </c>
      <c r="H806" s="1">
        <v>716</v>
      </c>
      <c r="K806" s="1" t="s">
        <v>110</v>
      </c>
      <c r="L806" s="1" t="s">
        <v>256</v>
      </c>
      <c r="M806" s="1" t="s">
        <v>257</v>
      </c>
      <c r="N806" s="1" t="s">
        <v>253</v>
      </c>
      <c r="O806" s="1">
        <v>78</v>
      </c>
      <c r="P806" s="1" t="s">
        <v>167</v>
      </c>
    </row>
    <row r="807" spans="1:16">
      <c r="A807" s="7">
        <v>40009</v>
      </c>
      <c r="B807" s="1">
        <v>747</v>
      </c>
      <c r="C807" s="1" t="s">
        <v>234</v>
      </c>
      <c r="D807" s="1">
        <v>4</v>
      </c>
      <c r="E807" s="1">
        <v>209.41</v>
      </c>
      <c r="F807" s="1">
        <v>23</v>
      </c>
      <c r="G807" s="1" t="s">
        <v>6</v>
      </c>
      <c r="H807" s="1">
        <v>1974</v>
      </c>
      <c r="K807" s="1" t="s">
        <v>110</v>
      </c>
      <c r="L807" s="1" t="s">
        <v>256</v>
      </c>
      <c r="M807" s="1" t="s">
        <v>257</v>
      </c>
      <c r="N807" s="1" t="s">
        <v>253</v>
      </c>
      <c r="O807" s="1">
        <v>1560</v>
      </c>
      <c r="P807" s="1" t="s">
        <v>167</v>
      </c>
    </row>
    <row r="808" spans="1:16">
      <c r="A808" s="7">
        <v>40009</v>
      </c>
      <c r="B808" s="1">
        <v>748</v>
      </c>
      <c r="C808" s="1" t="s">
        <v>234</v>
      </c>
      <c r="D808" s="1">
        <v>4</v>
      </c>
      <c r="E808" s="1">
        <v>335.44</v>
      </c>
      <c r="F808" s="1">
        <v>23</v>
      </c>
      <c r="G808" s="1" t="s">
        <v>6</v>
      </c>
      <c r="H808" s="1">
        <v>933</v>
      </c>
      <c r="K808" s="1" t="s">
        <v>126</v>
      </c>
      <c r="L808" s="1" t="s">
        <v>248</v>
      </c>
      <c r="M808" s="1" t="s">
        <v>249</v>
      </c>
      <c r="N808" s="1" t="s">
        <v>253</v>
      </c>
      <c r="O808" s="1">
        <v>480</v>
      </c>
      <c r="P808" s="1" t="s">
        <v>167</v>
      </c>
    </row>
    <row r="809" spans="1:16">
      <c r="A809" s="7">
        <v>40009</v>
      </c>
      <c r="B809" s="1">
        <v>749</v>
      </c>
      <c r="C809" s="1" t="s">
        <v>234</v>
      </c>
      <c r="D809" s="1">
        <v>4</v>
      </c>
      <c r="E809" s="1">
        <v>735.44</v>
      </c>
      <c r="F809" s="1">
        <v>23</v>
      </c>
      <c r="G809" s="1" t="s">
        <v>6</v>
      </c>
      <c r="H809" s="1">
        <v>665</v>
      </c>
      <c r="K809" s="1" t="s">
        <v>110</v>
      </c>
      <c r="L809" s="1" t="s">
        <v>248</v>
      </c>
      <c r="M809" s="1" t="s">
        <v>249</v>
      </c>
      <c r="N809" s="1" t="s">
        <v>253</v>
      </c>
      <c r="O809" s="1">
        <v>318.24</v>
      </c>
      <c r="P809" s="1" t="s">
        <v>167</v>
      </c>
    </row>
    <row r="810" spans="1:16">
      <c r="A810" s="7">
        <v>40009</v>
      </c>
      <c r="B810" s="1">
        <v>715</v>
      </c>
      <c r="C810" s="1" t="s">
        <v>235</v>
      </c>
      <c r="D810" s="1">
        <v>1</v>
      </c>
      <c r="E810" s="1">
        <v>4.5</v>
      </c>
      <c r="F810" s="1">
        <v>23</v>
      </c>
      <c r="G810" s="1" t="s">
        <v>37</v>
      </c>
      <c r="H810" s="1">
        <v>174</v>
      </c>
      <c r="K810" s="1" t="s">
        <v>110</v>
      </c>
      <c r="L810" s="1" t="s">
        <v>264</v>
      </c>
      <c r="M810" s="1" t="s">
        <v>265</v>
      </c>
      <c r="N810" s="1" t="s">
        <v>253</v>
      </c>
      <c r="O810" s="1">
        <v>119.34</v>
      </c>
      <c r="P810" s="1" t="s">
        <v>167</v>
      </c>
    </row>
    <row r="811" spans="1:16">
      <c r="A811" s="7">
        <v>40071</v>
      </c>
      <c r="B811" s="1">
        <v>1106</v>
      </c>
      <c r="C811" s="1" t="s">
        <v>234</v>
      </c>
      <c r="D811" s="1">
        <v>4</v>
      </c>
      <c r="E811" s="1">
        <v>297.82</v>
      </c>
      <c r="F811" s="1">
        <v>23</v>
      </c>
      <c r="G811" s="1" t="s">
        <v>8</v>
      </c>
      <c r="H811" s="1">
        <v>0</v>
      </c>
      <c r="K811" s="1" t="s">
        <v>104</v>
      </c>
      <c r="L811" s="1" t="s">
        <v>245</v>
      </c>
      <c r="M811" s="1" t="s">
        <v>246</v>
      </c>
      <c r="N811" s="1" t="s">
        <v>253</v>
      </c>
      <c r="O811" s="1">
        <v>15</v>
      </c>
      <c r="P811" s="1" t="s">
        <v>167</v>
      </c>
    </row>
    <row r="812" spans="1:16">
      <c r="A812" s="7">
        <v>40071</v>
      </c>
      <c r="B812" s="1">
        <v>1100</v>
      </c>
      <c r="C812" s="1" t="s">
        <v>234</v>
      </c>
      <c r="D812" s="1">
        <v>4</v>
      </c>
      <c r="E812" s="1">
        <v>47.03</v>
      </c>
      <c r="F812" s="1">
        <v>23</v>
      </c>
      <c r="G812" s="1" t="s">
        <v>9</v>
      </c>
      <c r="H812" s="1">
        <v>778</v>
      </c>
      <c r="K812" s="1" t="s">
        <v>85</v>
      </c>
      <c r="L812" s="1" t="s">
        <v>245</v>
      </c>
      <c r="M812" s="1" t="s">
        <v>246</v>
      </c>
      <c r="N812" s="1" t="s">
        <v>253</v>
      </c>
      <c r="O812" s="1">
        <v>1092</v>
      </c>
      <c r="P812" s="1" t="s">
        <v>167</v>
      </c>
    </row>
    <row r="813" spans="1:16">
      <c r="A813" s="7">
        <v>40071</v>
      </c>
      <c r="B813" s="1">
        <v>1106</v>
      </c>
      <c r="C813" s="1" t="s">
        <v>234</v>
      </c>
      <c r="D813" s="1">
        <v>4</v>
      </c>
      <c r="E813" s="1">
        <v>78</v>
      </c>
      <c r="F813" s="1">
        <v>23</v>
      </c>
      <c r="G813" s="1" t="s">
        <v>11</v>
      </c>
      <c r="H813" s="1">
        <v>0</v>
      </c>
      <c r="K813" s="1" t="s">
        <v>104</v>
      </c>
      <c r="L813" s="1" t="s">
        <v>245</v>
      </c>
      <c r="M813" s="1" t="s">
        <v>246</v>
      </c>
      <c r="N813" s="1" t="s">
        <v>253</v>
      </c>
      <c r="O813" s="1">
        <v>37.5</v>
      </c>
      <c r="P813" s="1" t="s">
        <v>167</v>
      </c>
    </row>
    <row r="814" spans="1:16">
      <c r="A814" s="7">
        <v>40071</v>
      </c>
      <c r="B814" s="1">
        <v>1099</v>
      </c>
      <c r="C814" s="1" t="s">
        <v>234</v>
      </c>
      <c r="D814" s="1">
        <v>8</v>
      </c>
      <c r="E814" s="1">
        <v>1004.49</v>
      </c>
      <c r="F814" s="1">
        <v>23</v>
      </c>
      <c r="G814" s="1" t="s">
        <v>13</v>
      </c>
      <c r="H814" s="1">
        <v>1334</v>
      </c>
      <c r="K814" s="1" t="s">
        <v>116</v>
      </c>
      <c r="L814" s="1" t="s">
        <v>245</v>
      </c>
      <c r="M814" s="1" t="s">
        <v>246</v>
      </c>
      <c r="N814" s="1" t="s">
        <v>255</v>
      </c>
      <c r="O814" s="1">
        <v>78.900000000000006</v>
      </c>
      <c r="P814" s="1" t="s">
        <v>167</v>
      </c>
    </row>
    <row r="815" spans="1:16">
      <c r="A815" s="7">
        <v>40071</v>
      </c>
      <c r="B815" s="1">
        <v>1102</v>
      </c>
      <c r="C815" s="1" t="s">
        <v>235</v>
      </c>
      <c r="D815" s="1">
        <v>4</v>
      </c>
      <c r="E815" s="1">
        <v>31.35</v>
      </c>
      <c r="F815" s="1">
        <v>23</v>
      </c>
      <c r="G815" s="1" t="s">
        <v>13</v>
      </c>
      <c r="H815" s="1">
        <v>1808</v>
      </c>
      <c r="K815" s="1" t="s">
        <v>98</v>
      </c>
      <c r="L815" s="1" t="s">
        <v>245</v>
      </c>
      <c r="M815" s="1" t="s">
        <v>246</v>
      </c>
      <c r="N815" s="1" t="s">
        <v>250</v>
      </c>
      <c r="O815" s="1">
        <v>500</v>
      </c>
      <c r="P815" s="1" t="s">
        <v>170</v>
      </c>
    </row>
    <row r="816" spans="1:16">
      <c r="A816" s="7">
        <v>40071</v>
      </c>
      <c r="B816" s="1">
        <v>1115</v>
      </c>
      <c r="C816" s="1" t="s">
        <v>235</v>
      </c>
      <c r="D816" s="1">
        <v>4</v>
      </c>
      <c r="E816" s="1">
        <v>243.28</v>
      </c>
      <c r="F816" s="1">
        <v>23</v>
      </c>
      <c r="G816" s="1" t="s">
        <v>13</v>
      </c>
      <c r="H816" s="1">
        <v>1798</v>
      </c>
      <c r="K816" s="1" t="s">
        <v>76</v>
      </c>
      <c r="L816" s="1" t="s">
        <v>242</v>
      </c>
      <c r="M816" s="1" t="s">
        <v>243</v>
      </c>
      <c r="N816" s="1" t="s">
        <v>261</v>
      </c>
      <c r="O816" s="1">
        <v>120.26</v>
      </c>
      <c r="P816" s="1" t="s">
        <v>170</v>
      </c>
    </row>
    <row r="817" spans="1:16">
      <c r="A817" s="7">
        <v>40071</v>
      </c>
      <c r="B817" s="1">
        <v>912</v>
      </c>
      <c r="C817" s="1" t="s">
        <v>236</v>
      </c>
      <c r="D817" s="1">
        <v>4</v>
      </c>
      <c r="E817" s="1">
        <v>-188.1</v>
      </c>
      <c r="F817" s="1">
        <v>23</v>
      </c>
      <c r="G817" s="1" t="s">
        <v>3</v>
      </c>
      <c r="H817" s="1">
        <v>1820</v>
      </c>
      <c r="K817" s="1" t="s">
        <v>76</v>
      </c>
      <c r="L817" s="1" t="s">
        <v>242</v>
      </c>
      <c r="M817" s="1" t="s">
        <v>243</v>
      </c>
      <c r="N817" s="1" t="s">
        <v>261</v>
      </c>
      <c r="O817" s="1">
        <v>13.2</v>
      </c>
      <c r="P817" s="1" t="s">
        <v>170</v>
      </c>
    </row>
    <row r="818" spans="1:16">
      <c r="A818" s="7">
        <v>40071</v>
      </c>
      <c r="B818" s="1">
        <v>1109</v>
      </c>
      <c r="C818" s="1" t="s">
        <v>234</v>
      </c>
      <c r="D818" s="1">
        <v>8</v>
      </c>
      <c r="E818" s="1">
        <v>721.05</v>
      </c>
      <c r="F818" s="1">
        <v>23</v>
      </c>
      <c r="G818" s="1" t="s">
        <v>3</v>
      </c>
      <c r="H818" s="1">
        <v>1345</v>
      </c>
      <c r="K818" s="1" t="s">
        <v>76</v>
      </c>
      <c r="L818" s="1" t="s">
        <v>242</v>
      </c>
      <c r="M818" s="1" t="s">
        <v>243</v>
      </c>
      <c r="N818" s="1" t="s">
        <v>261</v>
      </c>
      <c r="O818" s="1">
        <v>17.18</v>
      </c>
      <c r="P818" s="1" t="s">
        <v>170</v>
      </c>
    </row>
    <row r="819" spans="1:16">
      <c r="A819" s="7">
        <v>40071</v>
      </c>
      <c r="B819" s="1">
        <v>1110</v>
      </c>
      <c r="C819" s="1" t="s">
        <v>234</v>
      </c>
      <c r="D819" s="1">
        <v>3</v>
      </c>
      <c r="E819" s="1">
        <v>689.7</v>
      </c>
      <c r="F819" s="1">
        <v>23</v>
      </c>
      <c r="G819" s="1" t="s">
        <v>3</v>
      </c>
      <c r="H819" s="1">
        <v>1485</v>
      </c>
      <c r="K819" s="1" t="s">
        <v>76</v>
      </c>
      <c r="L819" s="1" t="s">
        <v>242</v>
      </c>
      <c r="M819" s="1" t="s">
        <v>243</v>
      </c>
      <c r="N819" s="1" t="s">
        <v>261</v>
      </c>
      <c r="O819" s="1">
        <v>34.36</v>
      </c>
      <c r="P819" s="1" t="s">
        <v>170</v>
      </c>
    </row>
    <row r="820" spans="1:16">
      <c r="A820" s="7">
        <v>40071</v>
      </c>
      <c r="B820" s="1">
        <v>1111</v>
      </c>
      <c r="C820" s="1" t="s">
        <v>235</v>
      </c>
      <c r="D820" s="1">
        <v>4</v>
      </c>
      <c r="E820" s="1">
        <v>721.05</v>
      </c>
      <c r="F820" s="1">
        <v>23</v>
      </c>
      <c r="G820" s="1" t="s">
        <v>3</v>
      </c>
      <c r="H820" s="1">
        <v>1804</v>
      </c>
      <c r="K820" s="1" t="s">
        <v>72</v>
      </c>
      <c r="L820" s="1" t="s">
        <v>242</v>
      </c>
      <c r="M820" s="1" t="s">
        <v>243</v>
      </c>
      <c r="N820" s="1" t="s">
        <v>261</v>
      </c>
      <c r="O820" s="1">
        <v>17.18</v>
      </c>
      <c r="P820" s="1" t="s">
        <v>170</v>
      </c>
    </row>
    <row r="821" spans="1:16">
      <c r="A821" s="7">
        <v>40071</v>
      </c>
      <c r="B821" s="1">
        <v>1118</v>
      </c>
      <c r="C821" s="1" t="s">
        <v>234</v>
      </c>
      <c r="D821" s="1">
        <v>3</v>
      </c>
      <c r="E821" s="1">
        <v>846.45</v>
      </c>
      <c r="F821" s="1">
        <v>23</v>
      </c>
      <c r="G821" s="1" t="s">
        <v>3</v>
      </c>
      <c r="H821" s="1">
        <v>0</v>
      </c>
      <c r="K821" s="1" t="s">
        <v>98</v>
      </c>
      <c r="L821" s="1" t="s">
        <v>242</v>
      </c>
      <c r="M821" s="1" t="s">
        <v>243</v>
      </c>
      <c r="N821" s="1" t="s">
        <v>261</v>
      </c>
      <c r="O821" s="1">
        <v>69.599999999999994</v>
      </c>
      <c r="P821" s="1" t="s">
        <v>170</v>
      </c>
    </row>
    <row r="822" spans="1:16">
      <c r="A822" s="7">
        <v>40071</v>
      </c>
      <c r="B822" s="1">
        <v>1103</v>
      </c>
      <c r="C822" s="1" t="s">
        <v>235</v>
      </c>
      <c r="D822" s="1">
        <v>4</v>
      </c>
      <c r="E822" s="1">
        <v>34</v>
      </c>
      <c r="F822" s="1">
        <v>23</v>
      </c>
      <c r="G822" s="1" t="s">
        <v>44</v>
      </c>
      <c r="H822" s="1">
        <v>1349</v>
      </c>
      <c r="K822" s="1" t="s">
        <v>76</v>
      </c>
      <c r="L822" s="1" t="s">
        <v>242</v>
      </c>
      <c r="M822" s="1" t="s">
        <v>243</v>
      </c>
      <c r="N822" s="1" t="s">
        <v>261</v>
      </c>
      <c r="O822" s="1">
        <v>20.8</v>
      </c>
      <c r="P822" s="1" t="s">
        <v>170</v>
      </c>
    </row>
    <row r="823" spans="1:16">
      <c r="A823" s="7">
        <v>40071</v>
      </c>
      <c r="B823" s="1">
        <v>1101</v>
      </c>
      <c r="C823" s="1" t="s">
        <v>235</v>
      </c>
      <c r="D823" s="1">
        <v>4</v>
      </c>
      <c r="E823" s="1">
        <v>45</v>
      </c>
      <c r="F823" s="1">
        <v>23</v>
      </c>
      <c r="G823" s="1" t="s">
        <v>15</v>
      </c>
      <c r="H823" s="1">
        <v>1110</v>
      </c>
      <c r="K823" s="1" t="s">
        <v>76</v>
      </c>
      <c r="L823" s="1" t="s">
        <v>242</v>
      </c>
      <c r="M823" s="1" t="s">
        <v>243</v>
      </c>
      <c r="N823" s="1" t="s">
        <v>261</v>
      </c>
      <c r="O823" s="1">
        <v>39.94</v>
      </c>
      <c r="P823" s="1" t="s">
        <v>170</v>
      </c>
    </row>
    <row r="824" spans="1:16">
      <c r="A824" s="7">
        <v>40071</v>
      </c>
      <c r="B824" s="1">
        <v>1119</v>
      </c>
      <c r="C824" s="1" t="s">
        <v>235</v>
      </c>
      <c r="D824" s="1">
        <v>4</v>
      </c>
      <c r="E824" s="1">
        <v>45</v>
      </c>
      <c r="F824" s="1">
        <v>23</v>
      </c>
      <c r="G824" s="1" t="s">
        <v>15</v>
      </c>
      <c r="H824" s="1">
        <v>1780</v>
      </c>
      <c r="K824" s="1" t="s">
        <v>76</v>
      </c>
      <c r="L824" s="1" t="s">
        <v>242</v>
      </c>
      <c r="M824" s="1" t="s">
        <v>243</v>
      </c>
      <c r="N824" s="1" t="s">
        <v>261</v>
      </c>
      <c r="O824" s="1">
        <v>17.12</v>
      </c>
      <c r="P824" s="1" t="s">
        <v>170</v>
      </c>
    </row>
    <row r="825" spans="1:16">
      <c r="A825" s="7">
        <v>40071</v>
      </c>
      <c r="B825" s="1">
        <v>1120</v>
      </c>
      <c r="C825" s="1" t="s">
        <v>235</v>
      </c>
      <c r="D825" s="1">
        <v>4</v>
      </c>
      <c r="E825" s="1">
        <v>45</v>
      </c>
      <c r="F825" s="1">
        <v>23</v>
      </c>
      <c r="G825" s="1" t="s">
        <v>15</v>
      </c>
      <c r="H825" s="1">
        <v>1422</v>
      </c>
      <c r="K825" s="1" t="s">
        <v>76</v>
      </c>
      <c r="L825" s="1" t="s">
        <v>242</v>
      </c>
      <c r="M825" s="1" t="s">
        <v>243</v>
      </c>
      <c r="N825" s="1" t="s">
        <v>261</v>
      </c>
      <c r="O825" s="1">
        <v>32.479999999999997</v>
      </c>
      <c r="P825" s="1" t="s">
        <v>170</v>
      </c>
    </row>
    <row r="826" spans="1:16">
      <c r="A826" s="7">
        <v>40071</v>
      </c>
      <c r="B826" s="1">
        <v>1114</v>
      </c>
      <c r="C826" s="1" t="s">
        <v>234</v>
      </c>
      <c r="D826" s="1">
        <v>4</v>
      </c>
      <c r="E826" s="1">
        <v>358.43</v>
      </c>
      <c r="F826" s="1">
        <v>23</v>
      </c>
      <c r="G826" s="1" t="s">
        <v>5</v>
      </c>
      <c r="H826" s="1">
        <v>2110</v>
      </c>
      <c r="K826" s="1" t="s">
        <v>72</v>
      </c>
      <c r="L826" s="1" t="s">
        <v>242</v>
      </c>
      <c r="M826" s="1" t="s">
        <v>243</v>
      </c>
      <c r="N826" s="1" t="s">
        <v>261</v>
      </c>
      <c r="O826" s="1">
        <v>12.24</v>
      </c>
      <c r="P826" s="1" t="s">
        <v>170</v>
      </c>
    </row>
    <row r="827" spans="1:16">
      <c r="A827" s="7">
        <v>40071</v>
      </c>
      <c r="B827" s="1">
        <v>1113</v>
      </c>
      <c r="C827" s="1" t="s">
        <v>234</v>
      </c>
      <c r="D827" s="1">
        <v>1</v>
      </c>
      <c r="E827" s="1">
        <v>575</v>
      </c>
      <c r="F827" s="1">
        <v>23</v>
      </c>
      <c r="G827" s="1" t="s">
        <v>17</v>
      </c>
      <c r="H827" s="1">
        <v>2109</v>
      </c>
      <c r="K827" s="1" t="s">
        <v>76</v>
      </c>
      <c r="L827" s="1" t="s">
        <v>242</v>
      </c>
      <c r="M827" s="1" t="s">
        <v>243</v>
      </c>
      <c r="N827" s="1" t="s">
        <v>261</v>
      </c>
      <c r="O827" s="1">
        <v>8</v>
      </c>
      <c r="P827" s="1" t="s">
        <v>170</v>
      </c>
    </row>
    <row r="828" spans="1:16">
      <c r="A828" s="7">
        <v>40071</v>
      </c>
      <c r="B828" s="1">
        <v>1104</v>
      </c>
      <c r="C828" s="1" t="s">
        <v>234</v>
      </c>
      <c r="D828" s="1">
        <v>4</v>
      </c>
      <c r="E828" s="1">
        <v>80</v>
      </c>
      <c r="F828" s="1">
        <v>23</v>
      </c>
      <c r="G828" s="1" t="s">
        <v>18</v>
      </c>
      <c r="H828" s="1">
        <v>2107</v>
      </c>
      <c r="K828" s="1" t="s">
        <v>76</v>
      </c>
      <c r="L828" s="1" t="s">
        <v>242</v>
      </c>
      <c r="M828" s="1" t="s">
        <v>243</v>
      </c>
      <c r="N828" s="1" t="s">
        <v>261</v>
      </c>
      <c r="O828" s="1">
        <v>21.2</v>
      </c>
      <c r="P828" s="1" t="s">
        <v>170</v>
      </c>
    </row>
    <row r="829" spans="1:16">
      <c r="A829" s="7">
        <v>40071</v>
      </c>
      <c r="B829" s="1">
        <v>1105</v>
      </c>
      <c r="C829" s="1" t="s">
        <v>234</v>
      </c>
      <c r="D829" s="1">
        <v>4</v>
      </c>
      <c r="E829" s="1">
        <v>80</v>
      </c>
      <c r="F829" s="1">
        <v>23</v>
      </c>
      <c r="G829" s="1" t="s">
        <v>18</v>
      </c>
      <c r="H829" s="1">
        <v>2108</v>
      </c>
      <c r="K829" s="1" t="s">
        <v>76</v>
      </c>
      <c r="L829" s="1" t="s">
        <v>242</v>
      </c>
      <c r="M829" s="1" t="s">
        <v>243</v>
      </c>
      <c r="N829" s="1" t="s">
        <v>261</v>
      </c>
      <c r="O829" s="1">
        <v>14.12</v>
      </c>
      <c r="P829" s="1" t="s">
        <v>170</v>
      </c>
    </row>
    <row r="830" spans="1:16">
      <c r="A830" s="7">
        <v>40071</v>
      </c>
      <c r="B830" s="1">
        <v>1112</v>
      </c>
      <c r="C830" s="1" t="s">
        <v>235</v>
      </c>
      <c r="D830" s="1">
        <v>1</v>
      </c>
      <c r="E830" s="1">
        <v>34</v>
      </c>
      <c r="F830" s="1">
        <v>23</v>
      </c>
      <c r="G830" s="1" t="s">
        <v>32</v>
      </c>
      <c r="H830" s="1">
        <v>1257</v>
      </c>
      <c r="K830" s="1" t="s">
        <v>76</v>
      </c>
      <c r="L830" s="1" t="s">
        <v>242</v>
      </c>
      <c r="M830" s="1" t="s">
        <v>243</v>
      </c>
      <c r="N830" s="1" t="s">
        <v>261</v>
      </c>
      <c r="O830" s="1">
        <v>12.59</v>
      </c>
      <c r="P830" s="1" t="s">
        <v>170</v>
      </c>
    </row>
    <row r="831" spans="1:16">
      <c r="A831" s="7">
        <v>40101</v>
      </c>
      <c r="B831" s="1">
        <v>1264</v>
      </c>
      <c r="C831" s="1" t="s">
        <v>234</v>
      </c>
      <c r="D831" s="1">
        <v>4</v>
      </c>
      <c r="E831" s="1">
        <v>482.66</v>
      </c>
      <c r="F831" s="1">
        <v>23</v>
      </c>
      <c r="G831" s="1" t="s">
        <v>7</v>
      </c>
      <c r="H831" s="1">
        <v>0</v>
      </c>
      <c r="K831" s="1" t="s">
        <v>76</v>
      </c>
      <c r="L831" s="1" t="s">
        <v>242</v>
      </c>
      <c r="M831" s="1" t="s">
        <v>243</v>
      </c>
      <c r="N831" s="1" t="s">
        <v>261</v>
      </c>
      <c r="O831" s="1">
        <v>27.54</v>
      </c>
      <c r="P831" s="1" t="s">
        <v>170</v>
      </c>
    </row>
    <row r="832" spans="1:16">
      <c r="A832" s="7">
        <v>40101</v>
      </c>
      <c r="B832" s="1">
        <v>576</v>
      </c>
      <c r="C832" s="1" t="s">
        <v>234</v>
      </c>
      <c r="D832" s="1">
        <v>4</v>
      </c>
      <c r="E832" s="1">
        <v>21</v>
      </c>
      <c r="F832" s="1">
        <v>23</v>
      </c>
      <c r="G832" s="1" t="s">
        <v>11</v>
      </c>
      <c r="H832" s="1">
        <v>976</v>
      </c>
      <c r="K832" s="1" t="s">
        <v>76</v>
      </c>
      <c r="L832" s="1" t="s">
        <v>242</v>
      </c>
      <c r="M832" s="1" t="s">
        <v>243</v>
      </c>
      <c r="N832" s="1" t="s">
        <v>261</v>
      </c>
      <c r="O832" s="1">
        <v>24.96</v>
      </c>
      <c r="P832" s="1" t="s">
        <v>170</v>
      </c>
    </row>
    <row r="833" spans="1:16">
      <c r="A833" s="7">
        <v>40101</v>
      </c>
      <c r="B833" s="1">
        <v>1465</v>
      </c>
      <c r="C833" s="1" t="s">
        <v>234</v>
      </c>
      <c r="D833" s="1">
        <v>4</v>
      </c>
      <c r="E833" s="1">
        <v>80</v>
      </c>
      <c r="F833" s="1">
        <v>23</v>
      </c>
      <c r="G833" s="1" t="s">
        <v>18</v>
      </c>
      <c r="H833" s="1">
        <v>1228</v>
      </c>
      <c r="K833" s="1" t="s">
        <v>76</v>
      </c>
      <c r="L833" s="1" t="s">
        <v>242</v>
      </c>
      <c r="M833" s="1" t="s">
        <v>243</v>
      </c>
      <c r="N833" s="1" t="s">
        <v>261</v>
      </c>
      <c r="O833" s="1">
        <v>19.97</v>
      </c>
      <c r="P833" s="1" t="s">
        <v>170</v>
      </c>
    </row>
    <row r="834" spans="1:16">
      <c r="A834" s="7">
        <v>40101</v>
      </c>
      <c r="B834" s="1">
        <v>1466</v>
      </c>
      <c r="C834" s="1" t="s">
        <v>234</v>
      </c>
      <c r="D834" s="1">
        <v>4</v>
      </c>
      <c r="E834" s="1">
        <v>80</v>
      </c>
      <c r="F834" s="1">
        <v>23</v>
      </c>
      <c r="G834" s="1" t="s">
        <v>18</v>
      </c>
      <c r="H834" s="1">
        <v>2184</v>
      </c>
      <c r="K834" s="1" t="s">
        <v>76</v>
      </c>
      <c r="L834" s="1" t="s">
        <v>242</v>
      </c>
      <c r="M834" s="1" t="s">
        <v>243</v>
      </c>
      <c r="N834" s="1" t="s">
        <v>261</v>
      </c>
      <c r="O834" s="1">
        <v>12.96</v>
      </c>
      <c r="P834" s="1" t="s">
        <v>170</v>
      </c>
    </row>
    <row r="835" spans="1:16">
      <c r="A835" s="7">
        <v>40101</v>
      </c>
      <c r="B835" s="1">
        <v>1467</v>
      </c>
      <c r="C835" s="1" t="s">
        <v>234</v>
      </c>
      <c r="D835" s="1">
        <v>4</v>
      </c>
      <c r="E835" s="1">
        <v>235.57</v>
      </c>
      <c r="F835" s="1">
        <v>23</v>
      </c>
      <c r="G835" s="1" t="s">
        <v>51</v>
      </c>
      <c r="H835" s="1">
        <v>2185</v>
      </c>
      <c r="K835" s="1" t="s">
        <v>76</v>
      </c>
      <c r="L835" s="1" t="s">
        <v>242</v>
      </c>
      <c r="M835" s="1" t="s">
        <v>243</v>
      </c>
      <c r="N835" s="1" t="s">
        <v>261</v>
      </c>
      <c r="O835" s="1">
        <v>51.36</v>
      </c>
      <c r="P835" s="1" t="s">
        <v>170</v>
      </c>
    </row>
    <row r="836" spans="1:16">
      <c r="A836" s="7">
        <v>40101</v>
      </c>
      <c r="B836" s="1">
        <v>1427</v>
      </c>
      <c r="C836" s="1" t="s">
        <v>234</v>
      </c>
      <c r="D836" s="1">
        <v>4</v>
      </c>
      <c r="E836" s="1">
        <v>3675</v>
      </c>
      <c r="F836" s="1">
        <v>23</v>
      </c>
      <c r="G836" s="1" t="s">
        <v>43</v>
      </c>
      <c r="H836" s="1">
        <v>0</v>
      </c>
      <c r="K836" s="1" t="s">
        <v>76</v>
      </c>
      <c r="L836" s="1" t="s">
        <v>242</v>
      </c>
      <c r="M836" s="1" t="s">
        <v>243</v>
      </c>
      <c r="N836" s="1" t="s">
        <v>261</v>
      </c>
      <c r="O836" s="1">
        <v>20.239999999999998</v>
      </c>
      <c r="P836" s="1" t="s">
        <v>170</v>
      </c>
    </row>
    <row r="837" spans="1:16">
      <c r="A837" s="7">
        <v>40162</v>
      </c>
      <c r="B837" s="1">
        <v>1436</v>
      </c>
      <c r="C837" s="1" t="s">
        <v>238</v>
      </c>
      <c r="D837" s="1">
        <v>3</v>
      </c>
      <c r="E837" s="1">
        <v>-0.13</v>
      </c>
      <c r="F837" s="1">
        <v>23</v>
      </c>
      <c r="G837" s="1" t="s">
        <v>9</v>
      </c>
      <c r="H837" s="1">
        <v>1492</v>
      </c>
      <c r="K837" s="1" t="s">
        <v>76</v>
      </c>
      <c r="L837" s="1" t="s">
        <v>242</v>
      </c>
      <c r="M837" s="1" t="s">
        <v>243</v>
      </c>
      <c r="N837" s="1" t="s">
        <v>261</v>
      </c>
      <c r="O837" s="1">
        <v>20</v>
      </c>
      <c r="P837" s="1" t="s">
        <v>170</v>
      </c>
    </row>
    <row r="838" spans="1:16">
      <c r="A838" s="7">
        <v>40162</v>
      </c>
      <c r="B838" s="1">
        <v>1436</v>
      </c>
      <c r="C838" s="1" t="s">
        <v>238</v>
      </c>
      <c r="D838" s="1">
        <v>3</v>
      </c>
      <c r="E838" s="1">
        <v>331.72</v>
      </c>
      <c r="F838" s="1">
        <v>23</v>
      </c>
      <c r="G838" s="1" t="s">
        <v>9</v>
      </c>
      <c r="H838" s="1">
        <v>1492</v>
      </c>
      <c r="K838" s="1" t="s">
        <v>76</v>
      </c>
      <c r="L838" s="1" t="s">
        <v>242</v>
      </c>
      <c r="M838" s="1" t="s">
        <v>243</v>
      </c>
      <c r="N838" s="1" t="s">
        <v>261</v>
      </c>
      <c r="O838" s="1">
        <v>3.12</v>
      </c>
      <c r="P838" s="1" t="s">
        <v>170</v>
      </c>
    </row>
    <row r="839" spans="1:16">
      <c r="A839" s="7">
        <v>40162</v>
      </c>
      <c r="B839" s="1">
        <v>1523</v>
      </c>
      <c r="C839" s="1" t="s">
        <v>237</v>
      </c>
      <c r="D839" s="1">
        <v>4</v>
      </c>
      <c r="E839" s="1">
        <v>11.25</v>
      </c>
      <c r="F839" s="1">
        <v>23</v>
      </c>
      <c r="G839" s="1" t="s">
        <v>52</v>
      </c>
      <c r="H839" s="1">
        <v>0</v>
      </c>
      <c r="K839" s="1" t="s">
        <v>76</v>
      </c>
      <c r="L839" s="1" t="s">
        <v>242</v>
      </c>
      <c r="M839" s="1" t="s">
        <v>243</v>
      </c>
      <c r="N839" s="1" t="s">
        <v>261</v>
      </c>
      <c r="O839" s="1">
        <v>3.44</v>
      </c>
      <c r="P839" s="1" t="s">
        <v>170</v>
      </c>
    </row>
    <row r="840" spans="1:16">
      <c r="A840" s="7">
        <v>40162</v>
      </c>
      <c r="B840" s="1">
        <v>1544</v>
      </c>
      <c r="C840" s="1" t="s">
        <v>235</v>
      </c>
      <c r="D840" s="1">
        <v>1</v>
      </c>
      <c r="E840" s="1">
        <v>730.54</v>
      </c>
      <c r="F840" s="1">
        <v>23</v>
      </c>
      <c r="G840" s="1" t="s">
        <v>28</v>
      </c>
      <c r="H840" s="1">
        <v>603</v>
      </c>
      <c r="K840" s="1" t="s">
        <v>76</v>
      </c>
      <c r="L840" s="1" t="s">
        <v>242</v>
      </c>
      <c r="M840" s="1" t="s">
        <v>243</v>
      </c>
      <c r="N840" s="1" t="s">
        <v>261</v>
      </c>
      <c r="O840" s="1">
        <v>25.2</v>
      </c>
      <c r="P840" s="1" t="s">
        <v>170</v>
      </c>
    </row>
    <row r="841" spans="1:16">
      <c r="A841" s="7">
        <v>40162</v>
      </c>
      <c r="B841" s="1">
        <v>1585</v>
      </c>
      <c r="C841" s="1" t="s">
        <v>237</v>
      </c>
      <c r="D841" s="1">
        <v>4</v>
      </c>
      <c r="E841" s="1">
        <v>2600</v>
      </c>
      <c r="F841" s="1">
        <v>23</v>
      </c>
      <c r="G841" s="1" t="s">
        <v>53</v>
      </c>
      <c r="H841" s="1">
        <v>255</v>
      </c>
      <c r="K841" s="1" t="s">
        <v>76</v>
      </c>
      <c r="L841" s="1" t="s">
        <v>242</v>
      </c>
      <c r="M841" s="1" t="s">
        <v>243</v>
      </c>
      <c r="N841" s="1" t="s">
        <v>261</v>
      </c>
      <c r="O841" s="1">
        <v>21.6</v>
      </c>
      <c r="P841" s="1" t="s">
        <v>170</v>
      </c>
    </row>
    <row r="842" spans="1:16">
      <c r="A842" s="7">
        <v>39829</v>
      </c>
      <c r="B842" s="1">
        <v>19</v>
      </c>
      <c r="C842" s="1" t="s">
        <v>234</v>
      </c>
      <c r="D842" s="1">
        <v>2</v>
      </c>
      <c r="E842" s="1">
        <v>360</v>
      </c>
      <c r="F842" s="1">
        <v>23</v>
      </c>
      <c r="G842" s="1" t="s">
        <v>22</v>
      </c>
      <c r="H842" s="1">
        <v>1992</v>
      </c>
      <c r="K842" s="1" t="s">
        <v>76</v>
      </c>
      <c r="L842" s="1" t="s">
        <v>242</v>
      </c>
      <c r="M842" s="1" t="s">
        <v>243</v>
      </c>
      <c r="N842" s="1" t="s">
        <v>261</v>
      </c>
      <c r="O842" s="1">
        <v>38.4</v>
      </c>
      <c r="P842" s="1" t="s">
        <v>170</v>
      </c>
    </row>
    <row r="843" spans="1:16">
      <c r="A843" s="7">
        <v>39829</v>
      </c>
      <c r="B843" s="1">
        <v>21</v>
      </c>
      <c r="C843" s="1" t="s">
        <v>234</v>
      </c>
      <c r="D843" s="1">
        <v>2</v>
      </c>
      <c r="E843" s="1">
        <v>360</v>
      </c>
      <c r="F843" s="1">
        <v>23</v>
      </c>
      <c r="G843" s="1" t="s">
        <v>22</v>
      </c>
      <c r="H843" s="1">
        <v>0</v>
      </c>
      <c r="K843" s="1" t="s">
        <v>76</v>
      </c>
      <c r="L843" s="1" t="s">
        <v>242</v>
      </c>
      <c r="M843" s="1" t="s">
        <v>243</v>
      </c>
      <c r="N843" s="1" t="s">
        <v>261</v>
      </c>
      <c r="O843" s="1">
        <v>18.239999999999998</v>
      </c>
      <c r="P843" s="1" t="s">
        <v>170</v>
      </c>
    </row>
    <row r="844" spans="1:16">
      <c r="A844" s="7">
        <v>39829</v>
      </c>
      <c r="B844" s="1">
        <v>25</v>
      </c>
      <c r="C844" s="1" t="s">
        <v>234</v>
      </c>
      <c r="D844" s="1">
        <v>2</v>
      </c>
      <c r="E844" s="1">
        <v>360</v>
      </c>
      <c r="F844" s="1">
        <v>23</v>
      </c>
      <c r="G844" s="1" t="s">
        <v>22</v>
      </c>
      <c r="H844" s="1">
        <v>1994</v>
      </c>
      <c r="K844" s="1" t="s">
        <v>98</v>
      </c>
      <c r="L844" s="1" t="s">
        <v>242</v>
      </c>
      <c r="M844" s="1" t="s">
        <v>243</v>
      </c>
      <c r="N844" s="1" t="s">
        <v>261</v>
      </c>
      <c r="O844" s="1">
        <v>20.8</v>
      </c>
      <c r="P844" s="1" t="s">
        <v>170</v>
      </c>
    </row>
    <row r="845" spans="1:16">
      <c r="A845" s="7">
        <v>39829</v>
      </c>
      <c r="B845" s="1">
        <v>20</v>
      </c>
      <c r="C845" s="1" t="s">
        <v>234</v>
      </c>
      <c r="D845" s="1">
        <v>1</v>
      </c>
      <c r="E845" s="1">
        <v>150</v>
      </c>
      <c r="F845" s="1">
        <v>23</v>
      </c>
      <c r="G845" s="1" t="s">
        <v>41</v>
      </c>
      <c r="H845" s="1">
        <v>1993</v>
      </c>
      <c r="K845" s="1" t="s">
        <v>98</v>
      </c>
      <c r="L845" s="1" t="s">
        <v>242</v>
      </c>
      <c r="M845" s="1" t="s">
        <v>243</v>
      </c>
      <c r="N845" s="1" t="s">
        <v>261</v>
      </c>
      <c r="O845" s="1">
        <v>20</v>
      </c>
      <c r="P845" s="1" t="s">
        <v>170</v>
      </c>
    </row>
    <row r="846" spans="1:16">
      <c r="A846" s="7">
        <v>39829</v>
      </c>
      <c r="B846" s="1">
        <v>23</v>
      </c>
      <c r="C846" s="1" t="s">
        <v>234</v>
      </c>
      <c r="D846" s="1">
        <v>4</v>
      </c>
      <c r="E846" s="1">
        <v>150</v>
      </c>
      <c r="F846" s="1">
        <v>23</v>
      </c>
      <c r="G846" s="1" t="s">
        <v>41</v>
      </c>
      <c r="H846" s="1">
        <v>849</v>
      </c>
      <c r="K846" s="1" t="s">
        <v>76</v>
      </c>
      <c r="L846" s="1" t="s">
        <v>242</v>
      </c>
      <c r="M846" s="1" t="s">
        <v>243</v>
      </c>
      <c r="N846" s="1" t="s">
        <v>261</v>
      </c>
      <c r="O846" s="1">
        <v>21.84</v>
      </c>
      <c r="P846" s="1" t="s">
        <v>170</v>
      </c>
    </row>
    <row r="847" spans="1:16">
      <c r="A847" s="7">
        <v>39829</v>
      </c>
      <c r="B847" s="1">
        <v>26</v>
      </c>
      <c r="C847" s="1" t="s">
        <v>234</v>
      </c>
      <c r="D847" s="1">
        <v>3</v>
      </c>
      <c r="E847" s="1">
        <v>150</v>
      </c>
      <c r="F847" s="1">
        <v>23</v>
      </c>
      <c r="G847" s="1" t="s">
        <v>41</v>
      </c>
      <c r="H847" s="1">
        <v>577</v>
      </c>
      <c r="K847" s="1" t="s">
        <v>79</v>
      </c>
      <c r="L847" s="1" t="s">
        <v>248</v>
      </c>
      <c r="M847" s="1" t="s">
        <v>249</v>
      </c>
      <c r="N847" s="1" t="s">
        <v>251</v>
      </c>
      <c r="O847" s="1">
        <v>1.02</v>
      </c>
      <c r="P847" s="1" t="s">
        <v>170</v>
      </c>
    </row>
    <row r="848" spans="1:16">
      <c r="A848" s="7">
        <v>39860</v>
      </c>
      <c r="B848" s="1">
        <v>333</v>
      </c>
      <c r="C848" s="1" t="s">
        <v>234</v>
      </c>
      <c r="D848" s="1">
        <v>4</v>
      </c>
      <c r="E848" s="1">
        <v>254.02</v>
      </c>
      <c r="F848" s="1">
        <v>23</v>
      </c>
      <c r="G848" s="1" t="s">
        <v>12</v>
      </c>
      <c r="H848" s="1">
        <v>0</v>
      </c>
      <c r="K848" s="1" t="s">
        <v>79</v>
      </c>
      <c r="L848" s="1" t="s">
        <v>245</v>
      </c>
      <c r="M848" s="1" t="s">
        <v>246</v>
      </c>
      <c r="N848" s="1" t="s">
        <v>251</v>
      </c>
      <c r="O848" s="1">
        <v>3</v>
      </c>
      <c r="P848" s="1" t="s">
        <v>142</v>
      </c>
    </row>
    <row r="849" spans="1:16">
      <c r="A849" s="7">
        <v>39860</v>
      </c>
      <c r="B849" s="1">
        <v>309</v>
      </c>
      <c r="C849" s="1" t="s">
        <v>234</v>
      </c>
      <c r="D849" s="1">
        <v>4</v>
      </c>
      <c r="E849" s="1">
        <v>1159.95</v>
      </c>
      <c r="F849" s="1">
        <v>23</v>
      </c>
      <c r="G849" s="1" t="s">
        <v>3</v>
      </c>
      <c r="H849" s="1">
        <v>1336</v>
      </c>
      <c r="K849" s="1" t="s">
        <v>171</v>
      </c>
      <c r="L849" s="1" t="s">
        <v>245</v>
      </c>
      <c r="M849" s="1" t="s">
        <v>246</v>
      </c>
      <c r="N849" s="1" t="s">
        <v>251</v>
      </c>
      <c r="O849" s="1">
        <v>-3</v>
      </c>
      <c r="P849" s="1" t="s">
        <v>172</v>
      </c>
    </row>
    <row r="850" spans="1:16">
      <c r="A850" s="7">
        <v>39860</v>
      </c>
      <c r="B850" s="1">
        <v>310</v>
      </c>
      <c r="C850" s="1" t="s">
        <v>234</v>
      </c>
      <c r="D850" s="1">
        <v>2</v>
      </c>
      <c r="E850" s="1">
        <v>909.15</v>
      </c>
      <c r="F850" s="1">
        <v>23</v>
      </c>
      <c r="G850" s="1" t="s">
        <v>3</v>
      </c>
      <c r="H850" s="1">
        <v>1841</v>
      </c>
      <c r="K850" s="1" t="s">
        <v>79</v>
      </c>
      <c r="L850" s="1" t="s">
        <v>262</v>
      </c>
      <c r="M850" s="1" t="s">
        <v>263</v>
      </c>
      <c r="N850" s="1" t="s">
        <v>251</v>
      </c>
      <c r="O850" s="1">
        <v>4</v>
      </c>
      <c r="P850" s="1" t="s">
        <v>170</v>
      </c>
    </row>
    <row r="851" spans="1:16">
      <c r="A851" s="7">
        <v>39860</v>
      </c>
      <c r="B851" s="1">
        <v>314</v>
      </c>
      <c r="C851" s="1" t="s">
        <v>234</v>
      </c>
      <c r="D851" s="1">
        <v>3</v>
      </c>
      <c r="E851" s="1">
        <v>454.6</v>
      </c>
      <c r="F851" s="1">
        <v>23</v>
      </c>
      <c r="G851" s="1" t="s">
        <v>3</v>
      </c>
      <c r="H851" s="1">
        <v>1813</v>
      </c>
      <c r="K851" s="1" t="s">
        <v>100</v>
      </c>
      <c r="L851" s="1" t="s">
        <v>245</v>
      </c>
      <c r="M851" s="1" t="s">
        <v>246</v>
      </c>
      <c r="N851" s="1" t="s">
        <v>252</v>
      </c>
      <c r="O851" s="1">
        <v>138.4</v>
      </c>
      <c r="P851" s="1" t="s">
        <v>170</v>
      </c>
    </row>
    <row r="852" spans="1:16">
      <c r="A852" s="7">
        <v>39860</v>
      </c>
      <c r="B852" s="1">
        <v>315</v>
      </c>
      <c r="C852" s="1" t="s">
        <v>234</v>
      </c>
      <c r="D852" s="1">
        <v>4</v>
      </c>
      <c r="E852" s="1">
        <v>909.15</v>
      </c>
      <c r="F852" s="1">
        <v>23</v>
      </c>
      <c r="G852" s="1" t="s">
        <v>3</v>
      </c>
      <c r="H852" s="1">
        <v>2021</v>
      </c>
      <c r="K852" s="1" t="s">
        <v>100</v>
      </c>
      <c r="L852" s="1" t="s">
        <v>245</v>
      </c>
      <c r="M852" s="1" t="s">
        <v>246</v>
      </c>
      <c r="N852" s="1" t="s">
        <v>252</v>
      </c>
      <c r="O852" s="1">
        <v>117</v>
      </c>
      <c r="P852" s="1" t="s">
        <v>170</v>
      </c>
    </row>
    <row r="853" spans="1:16">
      <c r="A853" s="7">
        <v>39860</v>
      </c>
      <c r="B853" s="1">
        <v>317</v>
      </c>
      <c r="C853" s="1" t="s">
        <v>234</v>
      </c>
      <c r="D853" s="1">
        <v>4</v>
      </c>
      <c r="E853" s="1">
        <v>909.15</v>
      </c>
      <c r="F853" s="1">
        <v>23</v>
      </c>
      <c r="G853" s="1" t="s">
        <v>3</v>
      </c>
      <c r="H853" s="1">
        <v>0</v>
      </c>
      <c r="K853" s="1" t="s">
        <v>86</v>
      </c>
      <c r="L853" s="1" t="s">
        <v>242</v>
      </c>
      <c r="M853" s="1" t="s">
        <v>243</v>
      </c>
      <c r="N853" s="1" t="s">
        <v>254</v>
      </c>
      <c r="O853" s="1">
        <v>21.62</v>
      </c>
      <c r="P853" s="1" t="s">
        <v>170</v>
      </c>
    </row>
    <row r="854" spans="1:16">
      <c r="A854" s="7">
        <v>39860</v>
      </c>
      <c r="B854" s="1">
        <v>332</v>
      </c>
      <c r="C854" s="1" t="s">
        <v>234</v>
      </c>
      <c r="D854" s="1">
        <v>3</v>
      </c>
      <c r="E854" s="1">
        <v>783.75</v>
      </c>
      <c r="F854" s="1">
        <v>23</v>
      </c>
      <c r="G854" s="1" t="s">
        <v>3</v>
      </c>
      <c r="H854" s="1">
        <v>1838</v>
      </c>
      <c r="K854" s="1" t="s">
        <v>104</v>
      </c>
      <c r="L854" s="1" t="s">
        <v>242</v>
      </c>
      <c r="M854" s="1" t="s">
        <v>243</v>
      </c>
      <c r="N854" s="1" t="s">
        <v>254</v>
      </c>
      <c r="O854" s="1">
        <v>0.72</v>
      </c>
      <c r="P854" s="1" t="s">
        <v>170</v>
      </c>
    </row>
    <row r="855" spans="1:16">
      <c r="A855" s="7">
        <v>39860</v>
      </c>
      <c r="B855" s="1">
        <v>303</v>
      </c>
      <c r="C855" s="1" t="s">
        <v>234</v>
      </c>
      <c r="D855" s="1">
        <v>1</v>
      </c>
      <c r="E855" s="1">
        <v>588.59</v>
      </c>
      <c r="F855" s="1">
        <v>23</v>
      </c>
      <c r="G855" s="1" t="s">
        <v>29</v>
      </c>
      <c r="H855" s="1">
        <v>1257</v>
      </c>
      <c r="K855" s="1" t="s">
        <v>109</v>
      </c>
      <c r="L855" s="1" t="s">
        <v>242</v>
      </c>
      <c r="M855" s="1" t="s">
        <v>243</v>
      </c>
      <c r="N855" s="1" t="s">
        <v>254</v>
      </c>
      <c r="O855" s="1">
        <v>11.12</v>
      </c>
      <c r="P855" s="1" t="s">
        <v>170</v>
      </c>
    </row>
    <row r="856" spans="1:16">
      <c r="A856" s="7">
        <v>39860</v>
      </c>
      <c r="B856" s="1">
        <v>311</v>
      </c>
      <c r="C856" s="1" t="s">
        <v>234</v>
      </c>
      <c r="D856" s="1">
        <v>2</v>
      </c>
      <c r="E856" s="1">
        <v>572.5</v>
      </c>
      <c r="F856" s="1">
        <v>23</v>
      </c>
      <c r="G856" s="1" t="s">
        <v>29</v>
      </c>
      <c r="H856" s="1">
        <v>22</v>
      </c>
      <c r="K856" s="1" t="s">
        <v>88</v>
      </c>
      <c r="L856" s="1" t="s">
        <v>242</v>
      </c>
      <c r="M856" s="1" t="s">
        <v>243</v>
      </c>
      <c r="N856" s="1" t="s">
        <v>244</v>
      </c>
      <c r="O856" s="1">
        <v>200</v>
      </c>
      <c r="P856" s="1" t="s">
        <v>167</v>
      </c>
    </row>
    <row r="857" spans="1:16">
      <c r="A857" s="7">
        <v>39860</v>
      </c>
      <c r="B857" s="1">
        <v>313</v>
      </c>
      <c r="C857" s="1" t="s">
        <v>234</v>
      </c>
      <c r="D857" s="1">
        <v>3</v>
      </c>
      <c r="E857" s="1">
        <v>256.42</v>
      </c>
      <c r="F857" s="1">
        <v>23</v>
      </c>
      <c r="G857" s="1" t="s">
        <v>29</v>
      </c>
      <c r="H857" s="1">
        <v>319</v>
      </c>
      <c r="K857" s="1" t="s">
        <v>63</v>
      </c>
      <c r="L857" s="1" t="s">
        <v>242</v>
      </c>
      <c r="M857" s="1" t="s">
        <v>243</v>
      </c>
      <c r="N857" s="1" t="s">
        <v>244</v>
      </c>
      <c r="O857" s="1">
        <v>23237.02</v>
      </c>
      <c r="P857" s="1" t="s">
        <v>167</v>
      </c>
    </row>
    <row r="858" spans="1:16">
      <c r="A858" s="7">
        <v>39860</v>
      </c>
      <c r="B858" s="1">
        <v>316</v>
      </c>
      <c r="C858" s="1" t="s">
        <v>234</v>
      </c>
      <c r="D858" s="1">
        <v>1</v>
      </c>
      <c r="E858" s="1">
        <v>199.6</v>
      </c>
      <c r="F858" s="1">
        <v>23</v>
      </c>
      <c r="G858" s="1" t="s">
        <v>29</v>
      </c>
      <c r="H858" s="1">
        <v>331</v>
      </c>
      <c r="K858" s="1" t="s">
        <v>63</v>
      </c>
      <c r="L858" s="1" t="s">
        <v>242</v>
      </c>
      <c r="M858" s="1" t="s">
        <v>243</v>
      </c>
      <c r="N858" s="1" t="s">
        <v>244</v>
      </c>
      <c r="O858" s="1">
        <v>13839.89</v>
      </c>
      <c r="P858" s="1" t="s">
        <v>167</v>
      </c>
    </row>
    <row r="859" spans="1:16">
      <c r="A859" s="7">
        <v>39860</v>
      </c>
      <c r="B859" s="1">
        <v>318</v>
      </c>
      <c r="C859" s="1" t="s">
        <v>234</v>
      </c>
      <c r="D859" s="1">
        <v>4</v>
      </c>
      <c r="E859" s="1">
        <v>567.59</v>
      </c>
      <c r="F859" s="1">
        <v>23</v>
      </c>
      <c r="G859" s="1" t="s">
        <v>29</v>
      </c>
      <c r="H859" s="1">
        <v>1398</v>
      </c>
      <c r="K859" s="1" t="s">
        <v>63</v>
      </c>
      <c r="L859" s="1" t="s">
        <v>242</v>
      </c>
      <c r="M859" s="1" t="s">
        <v>243</v>
      </c>
      <c r="N859" s="1" t="s">
        <v>244</v>
      </c>
      <c r="O859" s="1">
        <v>-2407.9899999999998</v>
      </c>
      <c r="P859" s="1" t="s">
        <v>167</v>
      </c>
    </row>
    <row r="860" spans="1:16">
      <c r="A860" s="7">
        <v>39860</v>
      </c>
      <c r="B860" s="1">
        <v>319</v>
      </c>
      <c r="C860" s="1" t="s">
        <v>234</v>
      </c>
      <c r="D860" s="1">
        <v>4</v>
      </c>
      <c r="E860" s="1">
        <v>570.77</v>
      </c>
      <c r="F860" s="1">
        <v>23</v>
      </c>
      <c r="G860" s="1" t="s">
        <v>29</v>
      </c>
      <c r="H860" s="1">
        <v>1283</v>
      </c>
      <c r="K860" s="1" t="s">
        <v>63</v>
      </c>
      <c r="L860" s="1" t="s">
        <v>242</v>
      </c>
      <c r="M860" s="1" t="s">
        <v>243</v>
      </c>
      <c r="N860" s="1" t="s">
        <v>244</v>
      </c>
      <c r="O860" s="1">
        <v>33709.599999999999</v>
      </c>
      <c r="P860" s="1" t="s">
        <v>167</v>
      </c>
    </row>
    <row r="861" spans="1:16">
      <c r="A861" s="7">
        <v>39860</v>
      </c>
      <c r="B861" s="1">
        <v>320</v>
      </c>
      <c r="C861" s="1" t="s">
        <v>234</v>
      </c>
      <c r="D861" s="1">
        <v>4</v>
      </c>
      <c r="E861" s="1">
        <v>526.36</v>
      </c>
      <c r="F861" s="1">
        <v>23</v>
      </c>
      <c r="G861" s="1" t="s">
        <v>29</v>
      </c>
      <c r="H861" s="1">
        <v>126</v>
      </c>
      <c r="K861" s="1" t="s">
        <v>63</v>
      </c>
      <c r="L861" s="1" t="s">
        <v>242</v>
      </c>
      <c r="M861" s="1" t="s">
        <v>243</v>
      </c>
      <c r="N861" s="1" t="s">
        <v>244</v>
      </c>
      <c r="O861" s="1">
        <v>12381.77</v>
      </c>
      <c r="P861" s="1" t="s">
        <v>167</v>
      </c>
    </row>
    <row r="862" spans="1:16">
      <c r="A862" s="7">
        <v>39860</v>
      </c>
      <c r="B862" s="1">
        <v>321</v>
      </c>
      <c r="C862" s="1" t="s">
        <v>235</v>
      </c>
      <c r="D862" s="1">
        <v>1</v>
      </c>
      <c r="E862" s="1">
        <v>756.88</v>
      </c>
      <c r="F862" s="1">
        <v>23</v>
      </c>
      <c r="G862" s="1" t="s">
        <v>29</v>
      </c>
      <c r="H862" s="1">
        <v>1330</v>
      </c>
      <c r="K862" s="1" t="s">
        <v>65</v>
      </c>
      <c r="L862" s="1" t="s">
        <v>242</v>
      </c>
      <c r="M862" s="1" t="s">
        <v>243</v>
      </c>
      <c r="N862" s="1" t="s">
        <v>244</v>
      </c>
      <c r="O862" s="1">
        <v>9221.1200000000008</v>
      </c>
      <c r="P862" s="1" t="s">
        <v>167</v>
      </c>
    </row>
    <row r="863" spans="1:16">
      <c r="A863" s="7">
        <v>39860</v>
      </c>
      <c r="B863" s="1">
        <v>322</v>
      </c>
      <c r="C863" s="1" t="s">
        <v>235</v>
      </c>
      <c r="D863" s="1">
        <v>1</v>
      </c>
      <c r="E863" s="1">
        <v>374.95</v>
      </c>
      <c r="F863" s="1">
        <v>23</v>
      </c>
      <c r="G863" s="1" t="s">
        <v>29</v>
      </c>
      <c r="H863" s="1">
        <v>1251</v>
      </c>
      <c r="K863" s="1" t="s">
        <v>66</v>
      </c>
      <c r="L863" s="1" t="s">
        <v>242</v>
      </c>
      <c r="M863" s="1" t="s">
        <v>243</v>
      </c>
      <c r="N863" s="1" t="s">
        <v>244</v>
      </c>
      <c r="O863" s="1">
        <v>9479.9</v>
      </c>
      <c r="P863" s="1" t="s">
        <v>167</v>
      </c>
    </row>
    <row r="864" spans="1:16">
      <c r="A864" s="7">
        <v>39860</v>
      </c>
      <c r="B864" s="1">
        <v>323</v>
      </c>
      <c r="C864" s="1" t="s">
        <v>235</v>
      </c>
      <c r="D864" s="1">
        <v>1</v>
      </c>
      <c r="E864" s="1">
        <v>453.1</v>
      </c>
      <c r="F864" s="1">
        <v>23</v>
      </c>
      <c r="G864" s="1" t="s">
        <v>29</v>
      </c>
      <c r="H864" s="1">
        <v>25</v>
      </c>
      <c r="K864" s="1" t="s">
        <v>66</v>
      </c>
      <c r="L864" s="1" t="s">
        <v>242</v>
      </c>
      <c r="M864" s="1" t="s">
        <v>243</v>
      </c>
      <c r="N864" s="1" t="s">
        <v>244</v>
      </c>
      <c r="O864" s="1">
        <v>-69.78</v>
      </c>
      <c r="P864" s="1" t="s">
        <v>167</v>
      </c>
    </row>
    <row r="865" spans="1:16">
      <c r="A865" s="7">
        <v>39860</v>
      </c>
      <c r="B865" s="1">
        <v>324</v>
      </c>
      <c r="C865" s="1" t="s">
        <v>235</v>
      </c>
      <c r="D865" s="1">
        <v>1</v>
      </c>
      <c r="E865" s="1">
        <v>572.5</v>
      </c>
      <c r="F865" s="1">
        <v>23</v>
      </c>
      <c r="G865" s="1" t="s">
        <v>29</v>
      </c>
      <c r="H865" s="1">
        <v>1779</v>
      </c>
      <c r="K865" s="1" t="s">
        <v>66</v>
      </c>
      <c r="L865" s="1" t="s">
        <v>242</v>
      </c>
      <c r="M865" s="1" t="s">
        <v>243</v>
      </c>
      <c r="N865" s="1" t="s">
        <v>244</v>
      </c>
      <c r="O865" s="1">
        <v>3396.75</v>
      </c>
      <c r="P865" s="1" t="s">
        <v>167</v>
      </c>
    </row>
    <row r="866" spans="1:16">
      <c r="A866" s="7">
        <v>39860</v>
      </c>
      <c r="B866" s="1">
        <v>325</v>
      </c>
      <c r="C866" s="1" t="s">
        <v>234</v>
      </c>
      <c r="D866" s="1">
        <v>4</v>
      </c>
      <c r="E866" s="1">
        <v>742.89</v>
      </c>
      <c r="F866" s="1">
        <v>23</v>
      </c>
      <c r="G866" s="1" t="s">
        <v>29</v>
      </c>
      <c r="H866" s="1">
        <v>865</v>
      </c>
      <c r="K866" s="1" t="s">
        <v>66</v>
      </c>
      <c r="L866" s="1" t="s">
        <v>242</v>
      </c>
      <c r="M866" s="1" t="s">
        <v>243</v>
      </c>
      <c r="N866" s="1" t="s">
        <v>244</v>
      </c>
      <c r="O866" s="1">
        <v>19100.400000000001</v>
      </c>
      <c r="P866" s="1" t="s">
        <v>167</v>
      </c>
    </row>
    <row r="867" spans="1:16">
      <c r="A867" s="7">
        <v>39860</v>
      </c>
      <c r="B867" s="1">
        <v>326</v>
      </c>
      <c r="C867" s="1" t="s">
        <v>234</v>
      </c>
      <c r="D867" s="1">
        <v>4</v>
      </c>
      <c r="E867" s="1">
        <v>677.86</v>
      </c>
      <c r="F867" s="1">
        <v>23</v>
      </c>
      <c r="G867" s="1" t="s">
        <v>29</v>
      </c>
      <c r="H867" s="1">
        <v>1844</v>
      </c>
      <c r="K867" s="1" t="s">
        <v>66</v>
      </c>
      <c r="L867" s="1" t="s">
        <v>242</v>
      </c>
      <c r="M867" s="1" t="s">
        <v>243</v>
      </c>
      <c r="N867" s="1" t="s">
        <v>244</v>
      </c>
      <c r="O867" s="1">
        <v>5980.03</v>
      </c>
      <c r="P867" s="1" t="s">
        <v>167</v>
      </c>
    </row>
    <row r="868" spans="1:16">
      <c r="A868" s="7">
        <v>39860</v>
      </c>
      <c r="B868" s="1">
        <v>327</v>
      </c>
      <c r="C868" s="1" t="s">
        <v>235</v>
      </c>
      <c r="D868" s="1">
        <v>1</v>
      </c>
      <c r="E868" s="1">
        <v>256.42</v>
      </c>
      <c r="F868" s="1">
        <v>23</v>
      </c>
      <c r="G868" s="1" t="s">
        <v>29</v>
      </c>
      <c r="H868" s="1">
        <v>728</v>
      </c>
      <c r="K868" s="1" t="s">
        <v>67</v>
      </c>
      <c r="L868" s="1" t="s">
        <v>242</v>
      </c>
      <c r="M868" s="1" t="s">
        <v>243</v>
      </c>
      <c r="N868" s="1" t="s">
        <v>244</v>
      </c>
      <c r="O868" s="1">
        <v>1885.47</v>
      </c>
      <c r="P868" s="1" t="s">
        <v>167</v>
      </c>
    </row>
    <row r="869" spans="1:16">
      <c r="A869" s="7">
        <v>39860</v>
      </c>
      <c r="B869" s="1">
        <v>329</v>
      </c>
      <c r="C869" s="1" t="s">
        <v>235</v>
      </c>
      <c r="D869" s="1">
        <v>1</v>
      </c>
      <c r="E869" s="1">
        <v>368.32</v>
      </c>
      <c r="F869" s="1">
        <v>23</v>
      </c>
      <c r="G869" s="1" t="s">
        <v>29</v>
      </c>
      <c r="H869" s="1">
        <v>1439</v>
      </c>
      <c r="K869" s="1" t="s">
        <v>67</v>
      </c>
      <c r="L869" s="1" t="s">
        <v>242</v>
      </c>
      <c r="M869" s="1" t="s">
        <v>243</v>
      </c>
      <c r="N869" s="1" t="s">
        <v>244</v>
      </c>
      <c r="O869" s="1">
        <v>948.89</v>
      </c>
      <c r="P869" s="1" t="s">
        <v>167</v>
      </c>
    </row>
    <row r="870" spans="1:16">
      <c r="A870" s="7">
        <v>39860</v>
      </c>
      <c r="B870" s="1">
        <v>330</v>
      </c>
      <c r="C870" s="1" t="s">
        <v>235</v>
      </c>
      <c r="D870" s="1">
        <v>1</v>
      </c>
      <c r="E870" s="1">
        <v>717.37</v>
      </c>
      <c r="F870" s="1">
        <v>23</v>
      </c>
      <c r="G870" s="1" t="s">
        <v>29</v>
      </c>
      <c r="H870" s="1">
        <v>72</v>
      </c>
      <c r="K870" s="1" t="s">
        <v>67</v>
      </c>
      <c r="L870" s="1" t="s">
        <v>242</v>
      </c>
      <c r="M870" s="1" t="s">
        <v>243</v>
      </c>
      <c r="N870" s="1" t="s">
        <v>244</v>
      </c>
      <c r="O870" s="1">
        <v>4137.8500000000004</v>
      </c>
      <c r="P870" s="1" t="s">
        <v>167</v>
      </c>
    </row>
    <row r="871" spans="1:16">
      <c r="A871" s="7">
        <v>39860</v>
      </c>
      <c r="B871" s="1">
        <v>331</v>
      </c>
      <c r="C871" s="1" t="s">
        <v>234</v>
      </c>
      <c r="D871" s="1">
        <v>3</v>
      </c>
      <c r="E871" s="1">
        <v>1072.96</v>
      </c>
      <c r="F871" s="1">
        <v>23</v>
      </c>
      <c r="G871" s="1" t="s">
        <v>29</v>
      </c>
      <c r="H871" s="1">
        <v>55</v>
      </c>
      <c r="K871" s="1" t="s">
        <v>67</v>
      </c>
      <c r="L871" s="1" t="s">
        <v>242</v>
      </c>
      <c r="M871" s="1" t="s">
        <v>243</v>
      </c>
      <c r="N871" s="1" t="s">
        <v>244</v>
      </c>
      <c r="O871" s="1">
        <v>466.9</v>
      </c>
      <c r="P871" s="1" t="s">
        <v>167</v>
      </c>
    </row>
    <row r="872" spans="1:16">
      <c r="A872" s="7">
        <v>39860</v>
      </c>
      <c r="B872" s="1">
        <v>334</v>
      </c>
      <c r="C872" s="1" t="s">
        <v>235</v>
      </c>
      <c r="D872" s="1">
        <v>1</v>
      </c>
      <c r="E872" s="1">
        <v>368.32</v>
      </c>
      <c r="F872" s="1">
        <v>23</v>
      </c>
      <c r="G872" s="1" t="s">
        <v>29</v>
      </c>
      <c r="H872" s="1">
        <v>141</v>
      </c>
      <c r="K872" s="1" t="s">
        <v>68</v>
      </c>
      <c r="L872" s="1" t="s">
        <v>242</v>
      </c>
      <c r="M872" s="1" t="s">
        <v>243</v>
      </c>
      <c r="N872" s="1" t="s">
        <v>244</v>
      </c>
      <c r="O872" s="1">
        <v>3266.02</v>
      </c>
      <c r="P872" s="1" t="s">
        <v>167</v>
      </c>
    </row>
    <row r="873" spans="1:16">
      <c r="A873" s="7">
        <v>39860</v>
      </c>
      <c r="B873" s="1">
        <v>335</v>
      </c>
      <c r="C873" s="1" t="s">
        <v>235</v>
      </c>
      <c r="D873" s="1">
        <v>1</v>
      </c>
      <c r="E873" s="1">
        <v>111.9</v>
      </c>
      <c r="F873" s="1">
        <v>23</v>
      </c>
      <c r="G873" s="1" t="s">
        <v>30</v>
      </c>
      <c r="H873" s="1">
        <v>45</v>
      </c>
      <c r="K873" s="1" t="s">
        <v>68</v>
      </c>
      <c r="L873" s="1" t="s">
        <v>242</v>
      </c>
      <c r="M873" s="1" t="s">
        <v>243</v>
      </c>
      <c r="N873" s="1" t="s">
        <v>244</v>
      </c>
      <c r="O873" s="1">
        <v>1609.54</v>
      </c>
      <c r="P873" s="1" t="s">
        <v>167</v>
      </c>
    </row>
    <row r="874" spans="1:16">
      <c r="A874" s="7">
        <v>39860</v>
      </c>
      <c r="B874" s="1">
        <v>336</v>
      </c>
      <c r="C874" s="1" t="s">
        <v>235</v>
      </c>
      <c r="D874" s="1">
        <v>1</v>
      </c>
      <c r="E874" s="1">
        <v>111.9</v>
      </c>
      <c r="F874" s="1">
        <v>23</v>
      </c>
      <c r="G874" s="1" t="s">
        <v>30</v>
      </c>
      <c r="H874" s="1">
        <v>305</v>
      </c>
      <c r="K874" s="1" t="s">
        <v>68</v>
      </c>
      <c r="L874" s="1" t="s">
        <v>242</v>
      </c>
      <c r="M874" s="1" t="s">
        <v>243</v>
      </c>
      <c r="N874" s="1" t="s">
        <v>244</v>
      </c>
      <c r="O874" s="1">
        <v>4920.29</v>
      </c>
      <c r="P874" s="1" t="s">
        <v>167</v>
      </c>
    </row>
    <row r="875" spans="1:16">
      <c r="A875" s="7">
        <v>39860</v>
      </c>
      <c r="B875" s="1">
        <v>328</v>
      </c>
      <c r="C875" s="1" t="s">
        <v>234</v>
      </c>
      <c r="D875" s="1">
        <v>2</v>
      </c>
      <c r="E875" s="1">
        <v>75</v>
      </c>
      <c r="F875" s="1">
        <v>23</v>
      </c>
      <c r="G875" s="1" t="s">
        <v>21</v>
      </c>
      <c r="H875" s="1">
        <v>1377</v>
      </c>
      <c r="K875" s="1" t="s">
        <v>68</v>
      </c>
      <c r="L875" s="1" t="s">
        <v>242</v>
      </c>
      <c r="M875" s="1" t="s">
        <v>243</v>
      </c>
      <c r="N875" s="1" t="s">
        <v>244</v>
      </c>
      <c r="O875" s="1">
        <v>1670.37</v>
      </c>
      <c r="P875" s="1" t="s">
        <v>167</v>
      </c>
    </row>
    <row r="876" spans="1:16">
      <c r="A876" s="7">
        <v>39860</v>
      </c>
      <c r="B876" s="1">
        <v>30</v>
      </c>
      <c r="C876" s="1" t="s">
        <v>236</v>
      </c>
      <c r="D876" s="1">
        <v>1</v>
      </c>
      <c r="E876" s="1">
        <v>-150</v>
      </c>
      <c r="F876" s="1">
        <v>23</v>
      </c>
      <c r="G876" s="1" t="s">
        <v>41</v>
      </c>
      <c r="H876" s="1">
        <v>1997</v>
      </c>
      <c r="K876" s="1" t="s">
        <v>69</v>
      </c>
      <c r="L876" s="1" t="s">
        <v>242</v>
      </c>
      <c r="M876" s="1" t="s">
        <v>243</v>
      </c>
      <c r="N876" s="1" t="s">
        <v>244</v>
      </c>
      <c r="O876" s="1">
        <v>1198.76</v>
      </c>
      <c r="P876" s="1" t="s">
        <v>167</v>
      </c>
    </row>
    <row r="877" spans="1:16">
      <c r="A877" s="7">
        <v>39860</v>
      </c>
      <c r="B877" s="1">
        <v>35</v>
      </c>
      <c r="C877" s="1" t="s">
        <v>236</v>
      </c>
      <c r="D877" s="1">
        <v>1</v>
      </c>
      <c r="E877" s="1">
        <v>-150</v>
      </c>
      <c r="F877" s="1">
        <v>23</v>
      </c>
      <c r="G877" s="1" t="s">
        <v>41</v>
      </c>
      <c r="H877" s="1">
        <v>1999</v>
      </c>
      <c r="K877" s="1" t="s">
        <v>70</v>
      </c>
      <c r="L877" s="1" t="s">
        <v>242</v>
      </c>
      <c r="M877" s="1" t="s">
        <v>243</v>
      </c>
      <c r="N877" s="1" t="s">
        <v>244</v>
      </c>
      <c r="O877" s="1">
        <v>1223.3800000000001</v>
      </c>
      <c r="P877" s="1" t="s">
        <v>167</v>
      </c>
    </row>
    <row r="878" spans="1:16">
      <c r="A878" s="7">
        <v>39888</v>
      </c>
      <c r="B878" s="1">
        <v>505</v>
      </c>
      <c r="C878" s="1" t="s">
        <v>234</v>
      </c>
      <c r="D878" s="1">
        <v>3</v>
      </c>
      <c r="E878" s="1">
        <v>139.75</v>
      </c>
      <c r="F878" s="1">
        <v>23</v>
      </c>
      <c r="G878" s="1" t="s">
        <v>48</v>
      </c>
      <c r="H878" s="1">
        <v>377</v>
      </c>
      <c r="K878" s="1" t="s">
        <v>70</v>
      </c>
      <c r="L878" s="1" t="s">
        <v>242</v>
      </c>
      <c r="M878" s="1" t="s">
        <v>243</v>
      </c>
      <c r="N878" s="1" t="s">
        <v>244</v>
      </c>
      <c r="O878" s="1">
        <v>441.59</v>
      </c>
      <c r="P878" s="1" t="s">
        <v>167</v>
      </c>
    </row>
    <row r="879" spans="1:16">
      <c r="A879" s="7">
        <v>39919</v>
      </c>
      <c r="B879" s="1">
        <v>539</v>
      </c>
      <c r="C879" s="1" t="s">
        <v>235</v>
      </c>
      <c r="D879" s="1">
        <v>1</v>
      </c>
      <c r="E879" s="1">
        <v>144.52000000000001</v>
      </c>
      <c r="F879" s="1">
        <v>23</v>
      </c>
      <c r="G879" s="1" t="s">
        <v>29</v>
      </c>
      <c r="H879" s="1">
        <v>5</v>
      </c>
      <c r="K879" s="1" t="s">
        <v>70</v>
      </c>
      <c r="L879" s="1" t="s">
        <v>242</v>
      </c>
      <c r="M879" s="1" t="s">
        <v>243</v>
      </c>
      <c r="N879" s="1" t="s">
        <v>244</v>
      </c>
      <c r="O879" s="1">
        <v>2483.08</v>
      </c>
      <c r="P879" s="1" t="s">
        <v>167</v>
      </c>
    </row>
    <row r="880" spans="1:16">
      <c r="A880" s="7">
        <v>40010</v>
      </c>
      <c r="B880" s="1">
        <v>721</v>
      </c>
      <c r="C880" s="1" t="s">
        <v>234</v>
      </c>
      <c r="D880" s="1">
        <v>3</v>
      </c>
      <c r="E880" s="1">
        <v>45</v>
      </c>
      <c r="F880" s="1">
        <v>23</v>
      </c>
      <c r="G880" s="1" t="s">
        <v>15</v>
      </c>
      <c r="H880" s="1">
        <v>2074</v>
      </c>
      <c r="K880" s="1" t="s">
        <v>70</v>
      </c>
      <c r="L880" s="1" t="s">
        <v>242</v>
      </c>
      <c r="M880" s="1" t="s">
        <v>243</v>
      </c>
      <c r="N880" s="1" t="s">
        <v>244</v>
      </c>
      <c r="O880" s="1">
        <v>777.46</v>
      </c>
      <c r="P880" s="1" t="s">
        <v>167</v>
      </c>
    </row>
    <row r="881" spans="1:16">
      <c r="A881" s="7">
        <v>40010</v>
      </c>
      <c r="B881" s="1">
        <v>720</v>
      </c>
      <c r="C881" s="1" t="s">
        <v>234</v>
      </c>
      <c r="D881" s="1">
        <v>3</v>
      </c>
      <c r="E881" s="1">
        <v>374.95</v>
      </c>
      <c r="F881" s="1">
        <v>23</v>
      </c>
      <c r="G881" s="1" t="s">
        <v>6</v>
      </c>
      <c r="H881" s="1">
        <v>1764</v>
      </c>
      <c r="K881" s="1" t="s">
        <v>71</v>
      </c>
      <c r="L881" s="1" t="s">
        <v>242</v>
      </c>
      <c r="M881" s="1" t="s">
        <v>243</v>
      </c>
      <c r="N881" s="1" t="s">
        <v>244</v>
      </c>
      <c r="O881" s="1">
        <v>343.38</v>
      </c>
      <c r="P881" s="1" t="s">
        <v>167</v>
      </c>
    </row>
    <row r="882" spans="1:16">
      <c r="A882" s="7">
        <v>40010</v>
      </c>
      <c r="B882" s="1">
        <v>726</v>
      </c>
      <c r="C882" s="1" t="s">
        <v>235</v>
      </c>
      <c r="D882" s="1">
        <v>1</v>
      </c>
      <c r="E882" s="1">
        <v>546.16</v>
      </c>
      <c r="F882" s="1">
        <v>23</v>
      </c>
      <c r="G882" s="1" t="s">
        <v>6</v>
      </c>
      <c r="H882" s="1">
        <v>108</v>
      </c>
      <c r="K882" s="1" t="s">
        <v>71</v>
      </c>
      <c r="L882" s="1" t="s">
        <v>242</v>
      </c>
      <c r="M882" s="1" t="s">
        <v>243</v>
      </c>
      <c r="N882" s="1" t="s">
        <v>244</v>
      </c>
      <c r="O882" s="1">
        <v>123.79</v>
      </c>
      <c r="P882" s="1" t="s">
        <v>167</v>
      </c>
    </row>
    <row r="883" spans="1:16">
      <c r="A883" s="7">
        <v>40010</v>
      </c>
      <c r="B883" s="1">
        <v>727</v>
      </c>
      <c r="C883" s="1" t="s">
        <v>235</v>
      </c>
      <c r="D883" s="1">
        <v>1</v>
      </c>
      <c r="E883" s="1">
        <v>438.2</v>
      </c>
      <c r="F883" s="1">
        <v>23</v>
      </c>
      <c r="G883" s="1" t="s">
        <v>6</v>
      </c>
      <c r="H883" s="1">
        <v>1631</v>
      </c>
      <c r="K883" s="1" t="s">
        <v>71</v>
      </c>
      <c r="L883" s="1" t="s">
        <v>242</v>
      </c>
      <c r="M883" s="1" t="s">
        <v>243</v>
      </c>
      <c r="N883" s="1" t="s">
        <v>244</v>
      </c>
      <c r="O883" s="1">
        <v>378.42</v>
      </c>
      <c r="P883" s="1" t="s">
        <v>167</v>
      </c>
    </row>
    <row r="884" spans="1:16">
      <c r="A884" s="7">
        <v>40010</v>
      </c>
      <c r="B884" s="1">
        <v>729</v>
      </c>
      <c r="C884" s="1" t="s">
        <v>235</v>
      </c>
      <c r="D884" s="1">
        <v>1</v>
      </c>
      <c r="E884" s="1">
        <v>202.78</v>
      </c>
      <c r="F884" s="1">
        <v>23</v>
      </c>
      <c r="G884" s="1" t="s">
        <v>6</v>
      </c>
      <c r="H884" s="1">
        <v>109</v>
      </c>
      <c r="K884" s="1" t="s">
        <v>71</v>
      </c>
      <c r="L884" s="1" t="s">
        <v>242</v>
      </c>
      <c r="M884" s="1" t="s">
        <v>243</v>
      </c>
      <c r="N884" s="1" t="s">
        <v>244</v>
      </c>
      <c r="O884" s="1">
        <v>128.46</v>
      </c>
      <c r="P884" s="1" t="s">
        <v>167</v>
      </c>
    </row>
    <row r="885" spans="1:16">
      <c r="A885" s="7">
        <v>40010</v>
      </c>
      <c r="B885" s="1">
        <v>740</v>
      </c>
      <c r="C885" s="1" t="s">
        <v>234</v>
      </c>
      <c r="D885" s="1">
        <v>1</v>
      </c>
      <c r="E885" s="1">
        <v>374.95</v>
      </c>
      <c r="F885" s="1">
        <v>23</v>
      </c>
      <c r="G885" s="1" t="s">
        <v>6</v>
      </c>
      <c r="H885" s="1">
        <v>834</v>
      </c>
      <c r="K885" s="1" t="s">
        <v>92</v>
      </c>
      <c r="L885" s="1" t="s">
        <v>245</v>
      </c>
      <c r="M885" s="1" t="s">
        <v>246</v>
      </c>
      <c r="N885" s="1" t="s">
        <v>255</v>
      </c>
      <c r="O885" s="1">
        <v>3842.99</v>
      </c>
      <c r="P885" s="1" t="s">
        <v>173</v>
      </c>
    </row>
    <row r="886" spans="1:16">
      <c r="A886" s="7">
        <v>40010</v>
      </c>
      <c r="B886" s="1">
        <v>751</v>
      </c>
      <c r="C886" s="1" t="s">
        <v>234</v>
      </c>
      <c r="D886" s="1">
        <v>4</v>
      </c>
      <c r="E886" s="1">
        <v>256.42</v>
      </c>
      <c r="F886" s="1">
        <v>23</v>
      </c>
      <c r="G886" s="1" t="s">
        <v>6</v>
      </c>
      <c r="H886" s="1">
        <v>204</v>
      </c>
      <c r="K886" s="1" t="s">
        <v>90</v>
      </c>
      <c r="L886" s="1" t="s">
        <v>245</v>
      </c>
      <c r="M886" s="1" t="s">
        <v>246</v>
      </c>
      <c r="N886" s="1" t="s">
        <v>255</v>
      </c>
      <c r="O886" s="1">
        <v>442.1</v>
      </c>
      <c r="P886" s="1" t="s">
        <v>173</v>
      </c>
    </row>
    <row r="887" spans="1:16">
      <c r="A887" s="7">
        <v>40010</v>
      </c>
      <c r="B887" s="1">
        <v>728</v>
      </c>
      <c r="C887" s="1" t="s">
        <v>235</v>
      </c>
      <c r="D887" s="1">
        <v>1</v>
      </c>
      <c r="E887" s="1">
        <v>4.5</v>
      </c>
      <c r="F887" s="1">
        <v>23</v>
      </c>
      <c r="G887" s="1" t="s">
        <v>37</v>
      </c>
      <c r="H887" s="1">
        <v>632</v>
      </c>
      <c r="K887" s="1" t="s">
        <v>94</v>
      </c>
      <c r="L887" s="1" t="s">
        <v>245</v>
      </c>
      <c r="M887" s="1" t="s">
        <v>246</v>
      </c>
      <c r="N887" s="1" t="s">
        <v>255</v>
      </c>
      <c r="O887" s="1">
        <v>1243.44</v>
      </c>
      <c r="P887" s="1" t="s">
        <v>174</v>
      </c>
    </row>
    <row r="888" spans="1:16">
      <c r="A888" s="7">
        <v>40072</v>
      </c>
      <c r="B888" s="1">
        <v>1121</v>
      </c>
      <c r="C888" s="1" t="s">
        <v>234</v>
      </c>
      <c r="D888" s="1">
        <v>4</v>
      </c>
      <c r="E888" s="1">
        <v>542.48</v>
      </c>
      <c r="F888" s="1">
        <v>23</v>
      </c>
      <c r="G888" s="1" t="s">
        <v>8</v>
      </c>
      <c r="H888" s="1">
        <v>1759</v>
      </c>
      <c r="K888" s="1" t="s">
        <v>90</v>
      </c>
      <c r="L888" s="1" t="s">
        <v>245</v>
      </c>
      <c r="M888" s="1" t="s">
        <v>246</v>
      </c>
      <c r="N888" s="1" t="s">
        <v>255</v>
      </c>
      <c r="O888" s="1">
        <v>312.13</v>
      </c>
      <c r="P888" s="1" t="s">
        <v>174</v>
      </c>
    </row>
    <row r="889" spans="1:16">
      <c r="A889" s="7">
        <v>40072</v>
      </c>
      <c r="B889" s="1">
        <v>1130</v>
      </c>
      <c r="C889" s="1" t="s">
        <v>234</v>
      </c>
      <c r="D889" s="1">
        <v>1</v>
      </c>
      <c r="E889" s="1">
        <v>1011.22</v>
      </c>
      <c r="F889" s="1">
        <v>23</v>
      </c>
      <c r="G889" s="1" t="s">
        <v>9</v>
      </c>
      <c r="H889" s="1">
        <v>1414</v>
      </c>
      <c r="K889" s="1" t="s">
        <v>82</v>
      </c>
      <c r="L889" s="1" t="s">
        <v>262</v>
      </c>
      <c r="M889" s="1" t="s">
        <v>263</v>
      </c>
      <c r="N889" s="1" t="s">
        <v>247</v>
      </c>
      <c r="O889" s="1">
        <v>135.94</v>
      </c>
      <c r="P889" s="1" t="s">
        <v>175</v>
      </c>
    </row>
    <row r="890" spans="1:16">
      <c r="A890" s="7">
        <v>40072</v>
      </c>
      <c r="B890" s="1">
        <v>1121</v>
      </c>
      <c r="C890" s="1" t="s">
        <v>234</v>
      </c>
      <c r="D890" s="1">
        <v>4</v>
      </c>
      <c r="E890" s="1">
        <v>78</v>
      </c>
      <c r="F890" s="1">
        <v>23</v>
      </c>
      <c r="G890" s="1" t="s">
        <v>11</v>
      </c>
      <c r="H890" s="1">
        <v>1759</v>
      </c>
      <c r="K890" s="1" t="s">
        <v>76</v>
      </c>
      <c r="L890" s="1" t="s">
        <v>248</v>
      </c>
      <c r="M890" s="1" t="s">
        <v>249</v>
      </c>
      <c r="N890" s="1" t="s">
        <v>250</v>
      </c>
      <c r="O890" s="1">
        <v>546</v>
      </c>
      <c r="P890" s="1" t="s">
        <v>175</v>
      </c>
    </row>
    <row r="891" spans="1:16">
      <c r="A891" s="7">
        <v>40072</v>
      </c>
      <c r="B891" s="1">
        <v>1130</v>
      </c>
      <c r="C891" s="1" t="s">
        <v>234</v>
      </c>
      <c r="D891" s="1">
        <v>1</v>
      </c>
      <c r="E891" s="1">
        <v>78</v>
      </c>
      <c r="F891" s="1">
        <v>23</v>
      </c>
      <c r="G891" s="1" t="s">
        <v>11</v>
      </c>
      <c r="H891" s="1">
        <v>1414</v>
      </c>
      <c r="K891" s="1" t="s">
        <v>76</v>
      </c>
      <c r="L891" s="1" t="s">
        <v>245</v>
      </c>
      <c r="M891" s="1" t="s">
        <v>246</v>
      </c>
      <c r="N891" s="1" t="s">
        <v>250</v>
      </c>
      <c r="O891" s="1">
        <v>1500</v>
      </c>
      <c r="P891" s="1" t="s">
        <v>175</v>
      </c>
    </row>
    <row r="892" spans="1:16">
      <c r="A892" s="7">
        <v>40072</v>
      </c>
      <c r="B892" s="1">
        <v>1133</v>
      </c>
      <c r="C892" s="1" t="s">
        <v>234</v>
      </c>
      <c r="D892" s="1">
        <v>3</v>
      </c>
      <c r="E892" s="1">
        <v>447.15</v>
      </c>
      <c r="F892" s="1">
        <v>23</v>
      </c>
      <c r="G892" s="1" t="s">
        <v>12</v>
      </c>
      <c r="H892" s="1">
        <v>444</v>
      </c>
      <c r="K892" s="1" t="s">
        <v>76</v>
      </c>
      <c r="L892" s="1" t="s">
        <v>245</v>
      </c>
      <c r="M892" s="1" t="s">
        <v>246</v>
      </c>
      <c r="N892" s="1" t="s">
        <v>250</v>
      </c>
      <c r="O892" s="1">
        <v>300</v>
      </c>
      <c r="P892" s="1" t="s">
        <v>175</v>
      </c>
    </row>
    <row r="893" spans="1:16">
      <c r="A893" s="7">
        <v>40072</v>
      </c>
      <c r="B893" s="1">
        <v>1134</v>
      </c>
      <c r="C893" s="1" t="s">
        <v>235</v>
      </c>
      <c r="D893" s="1">
        <v>4</v>
      </c>
      <c r="E893" s="1">
        <v>757.74</v>
      </c>
      <c r="F893" s="1">
        <v>23</v>
      </c>
      <c r="G893" s="1" t="s">
        <v>12</v>
      </c>
      <c r="H893" s="1">
        <v>177</v>
      </c>
      <c r="K893" s="1" t="s">
        <v>74</v>
      </c>
      <c r="L893" s="1" t="s">
        <v>245</v>
      </c>
      <c r="M893" s="1" t="s">
        <v>246</v>
      </c>
      <c r="N893" s="1" t="s">
        <v>250</v>
      </c>
      <c r="O893" s="1">
        <v>960</v>
      </c>
      <c r="P893" s="1" t="s">
        <v>175</v>
      </c>
    </row>
    <row r="894" spans="1:16">
      <c r="A894" s="7">
        <v>40072</v>
      </c>
      <c r="B894" s="1">
        <v>1142</v>
      </c>
      <c r="C894" s="1" t="s">
        <v>234</v>
      </c>
      <c r="D894" s="1">
        <v>3</v>
      </c>
      <c r="E894" s="1">
        <v>808.44</v>
      </c>
      <c r="F894" s="1">
        <v>23</v>
      </c>
      <c r="G894" s="1" t="s">
        <v>12</v>
      </c>
      <c r="H894" s="1">
        <v>520</v>
      </c>
      <c r="K894" s="1" t="s">
        <v>75</v>
      </c>
      <c r="L894" s="1" t="s">
        <v>245</v>
      </c>
      <c r="M894" s="1" t="s">
        <v>246</v>
      </c>
      <c r="N894" s="1" t="s">
        <v>250</v>
      </c>
      <c r="O894" s="1">
        <v>314.39999999999998</v>
      </c>
      <c r="P894" s="1" t="s">
        <v>175</v>
      </c>
    </row>
    <row r="895" spans="1:16">
      <c r="A895" s="7">
        <v>40072</v>
      </c>
      <c r="B895" s="1">
        <v>1136</v>
      </c>
      <c r="C895" s="1" t="s">
        <v>234</v>
      </c>
      <c r="D895" s="1">
        <v>1</v>
      </c>
      <c r="E895" s="1">
        <v>863.42</v>
      </c>
      <c r="F895" s="1">
        <v>23</v>
      </c>
      <c r="G895" s="1" t="s">
        <v>13</v>
      </c>
      <c r="H895" s="1">
        <v>1825</v>
      </c>
      <c r="K895" s="1" t="s">
        <v>75</v>
      </c>
      <c r="L895" s="1" t="s">
        <v>245</v>
      </c>
      <c r="M895" s="1" t="s">
        <v>246</v>
      </c>
      <c r="N895" s="1" t="s">
        <v>250</v>
      </c>
      <c r="O895" s="1">
        <v>24.04</v>
      </c>
      <c r="P895" s="1" t="s">
        <v>175</v>
      </c>
    </row>
    <row r="896" spans="1:16">
      <c r="A896" s="7">
        <v>40072</v>
      </c>
      <c r="B896" s="1">
        <v>1138</v>
      </c>
      <c r="C896" s="1" t="s">
        <v>235</v>
      </c>
      <c r="D896" s="1">
        <v>4</v>
      </c>
      <c r="E896" s="1">
        <v>659.64</v>
      </c>
      <c r="F896" s="1">
        <v>23</v>
      </c>
      <c r="G896" s="1" t="s">
        <v>13</v>
      </c>
      <c r="H896" s="1">
        <v>1530</v>
      </c>
      <c r="K896" s="1" t="s">
        <v>100</v>
      </c>
      <c r="L896" s="1" t="s">
        <v>245</v>
      </c>
      <c r="M896" s="1" t="s">
        <v>246</v>
      </c>
      <c r="N896" s="1" t="s">
        <v>250</v>
      </c>
      <c r="O896" s="1">
        <v>24</v>
      </c>
      <c r="P896" s="1" t="s">
        <v>175</v>
      </c>
    </row>
    <row r="897" spans="1:16">
      <c r="A897" s="7">
        <v>40072</v>
      </c>
      <c r="B897" s="1">
        <v>1139</v>
      </c>
      <c r="C897" s="1" t="s">
        <v>235</v>
      </c>
      <c r="D897" s="1">
        <v>4</v>
      </c>
      <c r="E897" s="1">
        <v>510.08</v>
      </c>
      <c r="F897" s="1">
        <v>23</v>
      </c>
      <c r="G897" s="1" t="s">
        <v>13</v>
      </c>
      <c r="H897" s="1">
        <v>1363</v>
      </c>
      <c r="K897" s="1" t="s">
        <v>100</v>
      </c>
      <c r="L897" s="1" t="s">
        <v>245</v>
      </c>
      <c r="M897" s="1" t="s">
        <v>246</v>
      </c>
      <c r="N897" s="1" t="s">
        <v>250</v>
      </c>
      <c r="O897" s="1">
        <v>200</v>
      </c>
      <c r="P897" s="1" t="s">
        <v>175</v>
      </c>
    </row>
    <row r="898" spans="1:16">
      <c r="A898" s="7">
        <v>40072</v>
      </c>
      <c r="B898" s="1">
        <v>1141</v>
      </c>
      <c r="C898" s="1" t="s">
        <v>234</v>
      </c>
      <c r="D898" s="1">
        <v>4</v>
      </c>
      <c r="E898" s="1">
        <v>158.04</v>
      </c>
      <c r="F898" s="1">
        <v>23</v>
      </c>
      <c r="G898" s="1" t="s">
        <v>13</v>
      </c>
      <c r="H898" s="1">
        <v>404</v>
      </c>
      <c r="K898" s="1" t="s">
        <v>79</v>
      </c>
      <c r="L898" s="1" t="s">
        <v>248</v>
      </c>
      <c r="M898" s="1" t="s">
        <v>249</v>
      </c>
      <c r="N898" s="1" t="s">
        <v>251</v>
      </c>
      <c r="O898" s="1">
        <v>6.27</v>
      </c>
      <c r="P898" s="1" t="s">
        <v>175</v>
      </c>
    </row>
    <row r="899" spans="1:16">
      <c r="A899" s="7">
        <v>40072</v>
      </c>
      <c r="B899" s="1">
        <v>1132</v>
      </c>
      <c r="C899" s="1" t="s">
        <v>234</v>
      </c>
      <c r="D899" s="1">
        <v>4</v>
      </c>
      <c r="E899" s="1">
        <v>470.25</v>
      </c>
      <c r="F899" s="1">
        <v>23</v>
      </c>
      <c r="G899" s="1" t="s">
        <v>3</v>
      </c>
      <c r="H899" s="1">
        <v>2114</v>
      </c>
      <c r="K899" s="1" t="s">
        <v>79</v>
      </c>
      <c r="L899" s="1" t="s">
        <v>248</v>
      </c>
      <c r="M899" s="1" t="s">
        <v>249</v>
      </c>
      <c r="N899" s="1" t="s">
        <v>251</v>
      </c>
      <c r="O899" s="1">
        <v>7.12</v>
      </c>
      <c r="P899" s="1" t="s">
        <v>175</v>
      </c>
    </row>
    <row r="900" spans="1:16">
      <c r="A900" s="7">
        <v>40072</v>
      </c>
      <c r="B900" s="1">
        <v>1135</v>
      </c>
      <c r="C900" s="1" t="s">
        <v>234</v>
      </c>
      <c r="D900" s="1">
        <v>1</v>
      </c>
      <c r="E900" s="1">
        <v>858.45</v>
      </c>
      <c r="F900" s="1">
        <v>23</v>
      </c>
      <c r="G900" s="1" t="s">
        <v>3</v>
      </c>
      <c r="H900" s="1">
        <v>1351</v>
      </c>
      <c r="K900" s="1" t="s">
        <v>79</v>
      </c>
      <c r="L900" s="1" t="s">
        <v>256</v>
      </c>
      <c r="M900" s="1" t="s">
        <v>257</v>
      </c>
      <c r="N900" s="1" t="s">
        <v>251</v>
      </c>
      <c r="O900" s="1">
        <v>12.07</v>
      </c>
      <c r="P900" s="1" t="s">
        <v>175</v>
      </c>
    </row>
    <row r="901" spans="1:16">
      <c r="A901" s="7">
        <v>40072</v>
      </c>
      <c r="B901" s="1">
        <v>1137</v>
      </c>
      <c r="C901" s="1" t="s">
        <v>234</v>
      </c>
      <c r="D901" s="1">
        <v>1</v>
      </c>
      <c r="E901" s="1">
        <v>687.68</v>
      </c>
      <c r="F901" s="1">
        <v>23</v>
      </c>
      <c r="G901" s="1" t="s">
        <v>5</v>
      </c>
      <c r="H901" s="1">
        <v>1967</v>
      </c>
      <c r="K901" s="1" t="s">
        <v>79</v>
      </c>
      <c r="L901" s="1" t="s">
        <v>245</v>
      </c>
      <c r="M901" s="1" t="s">
        <v>246</v>
      </c>
      <c r="N901" s="1" t="s">
        <v>251</v>
      </c>
      <c r="O901" s="1">
        <v>2</v>
      </c>
      <c r="P901" s="1" t="s">
        <v>175</v>
      </c>
    </row>
    <row r="902" spans="1:16">
      <c r="A902" s="7">
        <v>40072</v>
      </c>
      <c r="B902" s="1">
        <v>1066</v>
      </c>
      <c r="C902" s="1" t="s">
        <v>234</v>
      </c>
      <c r="D902" s="1">
        <v>8</v>
      </c>
      <c r="E902" s="1">
        <v>230.75</v>
      </c>
      <c r="F902" s="1">
        <v>23</v>
      </c>
      <c r="G902" s="1" t="s">
        <v>6</v>
      </c>
      <c r="H902" s="1">
        <v>1162</v>
      </c>
      <c r="K902" s="1" t="s">
        <v>88</v>
      </c>
      <c r="L902" s="1" t="s">
        <v>248</v>
      </c>
      <c r="M902" s="1" t="s">
        <v>249</v>
      </c>
      <c r="N902" s="1" t="s">
        <v>252</v>
      </c>
      <c r="O902" s="1">
        <v>102.11</v>
      </c>
      <c r="P902" s="1" t="s">
        <v>175</v>
      </c>
    </row>
    <row r="903" spans="1:16">
      <c r="A903" s="7">
        <v>40072</v>
      </c>
      <c r="B903" s="1">
        <v>1107</v>
      </c>
      <c r="C903" s="1" t="s">
        <v>234</v>
      </c>
      <c r="D903" s="1">
        <v>1</v>
      </c>
      <c r="E903" s="1">
        <v>158.04</v>
      </c>
      <c r="F903" s="1">
        <v>23</v>
      </c>
      <c r="G903" s="1" t="s">
        <v>6</v>
      </c>
      <c r="H903" s="1">
        <v>742</v>
      </c>
      <c r="K903" s="1" t="s">
        <v>168</v>
      </c>
      <c r="L903" s="1" t="s">
        <v>245</v>
      </c>
      <c r="M903" s="1" t="s">
        <v>246</v>
      </c>
      <c r="N903" s="1" t="s">
        <v>252</v>
      </c>
      <c r="O903" s="1">
        <v>48.7</v>
      </c>
      <c r="P903" s="1" t="s">
        <v>175</v>
      </c>
    </row>
    <row r="904" spans="1:16">
      <c r="A904" s="7">
        <v>40072</v>
      </c>
      <c r="B904" s="1">
        <v>1116</v>
      </c>
      <c r="C904" s="1" t="s">
        <v>235</v>
      </c>
      <c r="D904" s="1">
        <v>1</v>
      </c>
      <c r="E904" s="1">
        <v>1557.37</v>
      </c>
      <c r="F904" s="1">
        <v>23</v>
      </c>
      <c r="G904" s="1" t="s">
        <v>6</v>
      </c>
      <c r="H904" s="1">
        <v>2013</v>
      </c>
      <c r="K904" s="1" t="s">
        <v>168</v>
      </c>
      <c r="L904" s="1" t="s">
        <v>245</v>
      </c>
      <c r="M904" s="1" t="s">
        <v>246</v>
      </c>
      <c r="N904" s="1" t="s">
        <v>252</v>
      </c>
      <c r="O904" s="1">
        <v>58.5</v>
      </c>
      <c r="P904" s="1" t="s">
        <v>175</v>
      </c>
    </row>
    <row r="905" spans="1:16">
      <c r="A905" s="7">
        <v>40072</v>
      </c>
      <c r="B905" s="1">
        <v>1117</v>
      </c>
      <c r="C905" s="1" t="s">
        <v>234</v>
      </c>
      <c r="D905" s="1">
        <v>2</v>
      </c>
      <c r="E905" s="1">
        <v>524.63</v>
      </c>
      <c r="F905" s="1">
        <v>23</v>
      </c>
      <c r="G905" s="1" t="s">
        <v>6</v>
      </c>
      <c r="H905" s="1">
        <v>119</v>
      </c>
      <c r="K905" s="1" t="s">
        <v>168</v>
      </c>
      <c r="L905" s="1" t="s">
        <v>245</v>
      </c>
      <c r="M905" s="1" t="s">
        <v>246</v>
      </c>
      <c r="N905" s="1" t="s">
        <v>252</v>
      </c>
      <c r="O905" s="1">
        <v>6</v>
      </c>
      <c r="P905" s="1" t="s">
        <v>175</v>
      </c>
    </row>
    <row r="906" spans="1:16">
      <c r="A906" s="7">
        <v>40072</v>
      </c>
      <c r="B906" s="1">
        <v>520</v>
      </c>
      <c r="C906" s="1" t="s">
        <v>235</v>
      </c>
      <c r="D906" s="1">
        <v>1</v>
      </c>
      <c r="E906" s="1">
        <v>102</v>
      </c>
      <c r="F906" s="1">
        <v>23</v>
      </c>
      <c r="G906" s="1" t="s">
        <v>28</v>
      </c>
      <c r="H906" s="1">
        <v>2013</v>
      </c>
      <c r="K906" s="1" t="s">
        <v>168</v>
      </c>
      <c r="L906" s="1" t="s">
        <v>245</v>
      </c>
      <c r="M906" s="1" t="s">
        <v>246</v>
      </c>
      <c r="N906" s="1" t="s">
        <v>252</v>
      </c>
      <c r="O906" s="1">
        <v>11.4</v>
      </c>
      <c r="P906" s="1" t="s">
        <v>175</v>
      </c>
    </row>
    <row r="907" spans="1:16">
      <c r="A907" s="7">
        <v>40072</v>
      </c>
      <c r="B907" s="1">
        <v>1140</v>
      </c>
      <c r="C907" s="1" t="s">
        <v>234</v>
      </c>
      <c r="D907" s="1">
        <v>4</v>
      </c>
      <c r="E907" s="1">
        <v>80</v>
      </c>
      <c r="F907" s="1">
        <v>23</v>
      </c>
      <c r="G907" s="1" t="s">
        <v>18</v>
      </c>
      <c r="H907" s="1">
        <v>1924</v>
      </c>
      <c r="K907" s="1" t="s">
        <v>168</v>
      </c>
      <c r="L907" s="1" t="s">
        <v>245</v>
      </c>
      <c r="M907" s="1" t="s">
        <v>246</v>
      </c>
      <c r="N907" s="1" t="s">
        <v>252</v>
      </c>
      <c r="O907" s="1">
        <v>53.9</v>
      </c>
      <c r="P907" s="1" t="s">
        <v>175</v>
      </c>
    </row>
    <row r="908" spans="1:16">
      <c r="A908" s="7">
        <v>40072</v>
      </c>
      <c r="B908" s="1">
        <v>1143</v>
      </c>
      <c r="C908" s="1" t="s">
        <v>234</v>
      </c>
      <c r="D908" s="1">
        <v>3</v>
      </c>
      <c r="E908" s="1">
        <v>111.9</v>
      </c>
      <c r="F908" s="1">
        <v>23</v>
      </c>
      <c r="G908" s="1" t="s">
        <v>30</v>
      </c>
      <c r="H908" s="1">
        <v>1839</v>
      </c>
      <c r="K908" s="1" t="s">
        <v>82</v>
      </c>
      <c r="L908" s="1" t="s">
        <v>245</v>
      </c>
      <c r="M908" s="1" t="s">
        <v>246</v>
      </c>
      <c r="N908" s="1" t="s">
        <v>252</v>
      </c>
      <c r="O908" s="1">
        <v>9.89</v>
      </c>
      <c r="P908" s="1" t="s">
        <v>175</v>
      </c>
    </row>
    <row r="909" spans="1:16">
      <c r="A909" s="7">
        <v>40102</v>
      </c>
      <c r="B909" s="1">
        <v>584</v>
      </c>
      <c r="C909" s="1" t="s">
        <v>234</v>
      </c>
      <c r="D909" s="1">
        <v>4</v>
      </c>
      <c r="E909" s="1">
        <v>11850</v>
      </c>
      <c r="F909" s="1">
        <v>23</v>
      </c>
      <c r="G909" s="1" t="s">
        <v>54</v>
      </c>
      <c r="H909" s="1">
        <v>0</v>
      </c>
      <c r="K909" s="1" t="s">
        <v>82</v>
      </c>
      <c r="L909" s="1" t="s">
        <v>245</v>
      </c>
      <c r="M909" s="1" t="s">
        <v>246</v>
      </c>
      <c r="N909" s="1" t="s">
        <v>252</v>
      </c>
      <c r="O909" s="1">
        <v>8.31</v>
      </c>
      <c r="P909" s="1" t="s">
        <v>175</v>
      </c>
    </row>
    <row r="910" spans="1:16">
      <c r="A910" s="7">
        <v>40163</v>
      </c>
      <c r="B910" s="1">
        <v>1546</v>
      </c>
      <c r="C910" s="1" t="s">
        <v>235</v>
      </c>
      <c r="D910" s="1">
        <v>4</v>
      </c>
      <c r="E910" s="1">
        <v>4.5</v>
      </c>
      <c r="F910" s="1">
        <v>23</v>
      </c>
      <c r="G910" s="1" t="s">
        <v>55</v>
      </c>
      <c r="H910" s="1">
        <v>2079</v>
      </c>
      <c r="K910" s="1" t="s">
        <v>105</v>
      </c>
      <c r="L910" s="1" t="s">
        <v>245</v>
      </c>
      <c r="M910" s="1" t="s">
        <v>246</v>
      </c>
      <c r="N910" s="1" t="s">
        <v>252</v>
      </c>
      <c r="O910" s="1">
        <v>298.97000000000003</v>
      </c>
      <c r="P910" s="1" t="s">
        <v>175</v>
      </c>
    </row>
    <row r="911" spans="1:16">
      <c r="A911" s="7">
        <v>40163</v>
      </c>
      <c r="B911" s="1">
        <v>1545</v>
      </c>
      <c r="C911" s="1" t="s">
        <v>234</v>
      </c>
      <c r="D911" s="1">
        <v>4</v>
      </c>
      <c r="E911" s="1">
        <v>65</v>
      </c>
      <c r="F911" s="1">
        <v>23</v>
      </c>
      <c r="G911" s="1" t="s">
        <v>18</v>
      </c>
      <c r="H911" s="1">
        <v>0</v>
      </c>
      <c r="K911" s="1" t="s">
        <v>82</v>
      </c>
      <c r="L911" s="1" t="s">
        <v>258</v>
      </c>
      <c r="M911" s="1" t="s">
        <v>259</v>
      </c>
      <c r="N911" s="1" t="s">
        <v>253</v>
      </c>
      <c r="O911" s="1">
        <v>141.69999999999999</v>
      </c>
      <c r="P911" s="1" t="s">
        <v>175</v>
      </c>
    </row>
    <row r="912" spans="1:16">
      <c r="A912" s="7">
        <v>39861</v>
      </c>
      <c r="B912" s="1">
        <v>70</v>
      </c>
      <c r="C912" s="1" t="s">
        <v>234</v>
      </c>
      <c r="D912" s="1">
        <v>4</v>
      </c>
      <c r="E912" s="1">
        <v>2752.56</v>
      </c>
      <c r="F912" s="1">
        <v>23</v>
      </c>
      <c r="G912" s="1" t="s">
        <v>23</v>
      </c>
      <c r="H912" s="1">
        <v>0</v>
      </c>
      <c r="K912" s="1" t="s">
        <v>82</v>
      </c>
      <c r="L912" s="1" t="s">
        <v>258</v>
      </c>
      <c r="M912" s="1" t="s">
        <v>259</v>
      </c>
      <c r="N912" s="1" t="s">
        <v>253</v>
      </c>
      <c r="O912" s="1">
        <v>44.63</v>
      </c>
      <c r="P912" s="1" t="s">
        <v>175</v>
      </c>
    </row>
    <row r="913" spans="1:16">
      <c r="A913" s="7">
        <v>39861</v>
      </c>
      <c r="B913" s="1">
        <v>349</v>
      </c>
      <c r="C913" s="1" t="s">
        <v>235</v>
      </c>
      <c r="D913" s="1">
        <v>4</v>
      </c>
      <c r="E913" s="1">
        <v>509.44</v>
      </c>
      <c r="F913" s="1">
        <v>23</v>
      </c>
      <c r="G913" s="1" t="s">
        <v>13</v>
      </c>
      <c r="H913" s="1">
        <v>1363</v>
      </c>
      <c r="K913" s="1" t="s">
        <v>100</v>
      </c>
      <c r="L913" s="1" t="s">
        <v>248</v>
      </c>
      <c r="M913" s="1" t="s">
        <v>249</v>
      </c>
      <c r="N913" s="1" t="s">
        <v>253</v>
      </c>
      <c r="O913" s="1">
        <v>138</v>
      </c>
      <c r="P913" s="1" t="s">
        <v>175</v>
      </c>
    </row>
    <row r="914" spans="1:16">
      <c r="A914" s="7">
        <v>39861</v>
      </c>
      <c r="B914" s="1">
        <v>342</v>
      </c>
      <c r="C914" s="1" t="s">
        <v>234</v>
      </c>
      <c r="D914" s="1">
        <v>4</v>
      </c>
      <c r="E914" s="1">
        <v>971.85</v>
      </c>
      <c r="F914" s="1">
        <v>23</v>
      </c>
      <c r="G914" s="1" t="s">
        <v>3</v>
      </c>
      <c r="H914" s="1">
        <v>0</v>
      </c>
      <c r="K914" s="1" t="s">
        <v>110</v>
      </c>
      <c r="L914" s="1" t="s">
        <v>245</v>
      </c>
      <c r="M914" s="1" t="s">
        <v>246</v>
      </c>
      <c r="N914" s="1" t="s">
        <v>253</v>
      </c>
      <c r="O914" s="1">
        <v>1342.79</v>
      </c>
      <c r="P914" s="1" t="s">
        <v>175</v>
      </c>
    </row>
    <row r="915" spans="1:16">
      <c r="A915" s="7">
        <v>39861</v>
      </c>
      <c r="B915" s="1">
        <v>343</v>
      </c>
      <c r="C915" s="1" t="s">
        <v>234</v>
      </c>
      <c r="D915" s="1">
        <v>4</v>
      </c>
      <c r="E915" s="1">
        <v>450</v>
      </c>
      <c r="F915" s="1">
        <v>23</v>
      </c>
      <c r="G915" s="1" t="s">
        <v>3</v>
      </c>
      <c r="H915" s="1">
        <v>1820</v>
      </c>
      <c r="K915" s="1" t="s">
        <v>101</v>
      </c>
      <c r="L915" s="1" t="s">
        <v>256</v>
      </c>
      <c r="M915" s="1" t="s">
        <v>257</v>
      </c>
      <c r="N915" s="1" t="s">
        <v>253</v>
      </c>
      <c r="O915" s="1">
        <v>3115.98</v>
      </c>
      <c r="P915" s="1" t="s">
        <v>175</v>
      </c>
    </row>
    <row r="916" spans="1:16">
      <c r="A916" s="7">
        <v>39861</v>
      </c>
      <c r="B916" s="1">
        <v>344</v>
      </c>
      <c r="C916" s="1" t="s">
        <v>234</v>
      </c>
      <c r="D916" s="1">
        <v>4</v>
      </c>
      <c r="E916" s="1">
        <v>846.45</v>
      </c>
      <c r="F916" s="1">
        <v>23</v>
      </c>
      <c r="G916" s="1" t="s">
        <v>3</v>
      </c>
      <c r="H916" s="1">
        <v>1787</v>
      </c>
      <c r="K916" s="1" t="s">
        <v>102</v>
      </c>
      <c r="L916" s="1" t="s">
        <v>248</v>
      </c>
      <c r="M916" s="1" t="s">
        <v>249</v>
      </c>
      <c r="N916" s="1" t="s">
        <v>253</v>
      </c>
      <c r="O916" s="1">
        <v>627.12</v>
      </c>
      <c r="P916" s="1" t="s">
        <v>175</v>
      </c>
    </row>
    <row r="917" spans="1:16">
      <c r="A917" s="7">
        <v>39861</v>
      </c>
      <c r="B917" s="1">
        <v>350</v>
      </c>
      <c r="C917" s="1" t="s">
        <v>234</v>
      </c>
      <c r="D917" s="1">
        <v>4</v>
      </c>
      <c r="E917" s="1">
        <v>1159.95</v>
      </c>
      <c r="F917" s="1">
        <v>23</v>
      </c>
      <c r="G917" s="1" t="s">
        <v>3</v>
      </c>
      <c r="H917" s="1">
        <v>1349</v>
      </c>
      <c r="K917" s="1" t="s">
        <v>82</v>
      </c>
      <c r="L917" s="1" t="s">
        <v>245</v>
      </c>
      <c r="M917" s="1" t="s">
        <v>246</v>
      </c>
      <c r="N917" s="1" t="s">
        <v>253</v>
      </c>
      <c r="O917" s="1">
        <v>637.69000000000005</v>
      </c>
      <c r="P917" s="1" t="s">
        <v>175</v>
      </c>
    </row>
    <row r="918" spans="1:16">
      <c r="A918" s="7">
        <v>39861</v>
      </c>
      <c r="B918" s="1">
        <v>357</v>
      </c>
      <c r="C918" s="1" t="s">
        <v>234</v>
      </c>
      <c r="D918" s="1">
        <v>3</v>
      </c>
      <c r="E918" s="1">
        <v>1034.55</v>
      </c>
      <c r="F918" s="1">
        <v>23</v>
      </c>
      <c r="G918" s="1" t="s">
        <v>3</v>
      </c>
      <c r="H918" s="1">
        <v>1356</v>
      </c>
      <c r="K918" s="1" t="s">
        <v>155</v>
      </c>
      <c r="L918" s="1" t="s">
        <v>264</v>
      </c>
      <c r="M918" s="1" t="s">
        <v>265</v>
      </c>
      <c r="N918" s="1" t="s">
        <v>253</v>
      </c>
      <c r="O918" s="1">
        <v>45.1</v>
      </c>
      <c r="P918" s="1" t="s">
        <v>175</v>
      </c>
    </row>
    <row r="919" spans="1:16">
      <c r="A919" s="7">
        <v>39861</v>
      </c>
      <c r="B919" s="1">
        <v>385</v>
      </c>
      <c r="C919" s="1" t="s">
        <v>234</v>
      </c>
      <c r="D919" s="1">
        <v>3</v>
      </c>
      <c r="E919" s="1">
        <v>909.15</v>
      </c>
      <c r="F919" s="1">
        <v>23</v>
      </c>
      <c r="G919" s="1" t="s">
        <v>3</v>
      </c>
      <c r="H919" s="1">
        <v>1812</v>
      </c>
      <c r="K919" s="1" t="s">
        <v>86</v>
      </c>
      <c r="L919" s="1" t="s">
        <v>248</v>
      </c>
      <c r="M919" s="1" t="s">
        <v>249</v>
      </c>
      <c r="N919" s="1" t="s">
        <v>253</v>
      </c>
      <c r="O919" s="1">
        <v>120.03</v>
      </c>
      <c r="P919" s="1" t="s">
        <v>175</v>
      </c>
    </row>
    <row r="920" spans="1:16">
      <c r="A920" s="7">
        <v>39861</v>
      </c>
      <c r="B920" s="1">
        <v>340</v>
      </c>
      <c r="C920" s="1" t="s">
        <v>234</v>
      </c>
      <c r="D920" s="1">
        <v>4</v>
      </c>
      <c r="E920" s="1">
        <v>832.55</v>
      </c>
      <c r="F920" s="1">
        <v>23</v>
      </c>
      <c r="G920" s="1" t="s">
        <v>28</v>
      </c>
      <c r="H920" s="1">
        <v>0</v>
      </c>
      <c r="K920" s="1" t="s">
        <v>98</v>
      </c>
      <c r="L920" s="1" t="s">
        <v>245</v>
      </c>
      <c r="M920" s="1" t="s">
        <v>246</v>
      </c>
      <c r="N920" s="1" t="s">
        <v>253</v>
      </c>
      <c r="O920" s="1">
        <v>1740</v>
      </c>
      <c r="P920" s="1" t="s">
        <v>175</v>
      </c>
    </row>
    <row r="921" spans="1:16">
      <c r="A921" s="7">
        <v>39861</v>
      </c>
      <c r="B921" s="1">
        <v>337</v>
      </c>
      <c r="C921" s="1" t="s">
        <v>235</v>
      </c>
      <c r="D921" s="1">
        <v>1</v>
      </c>
      <c r="E921" s="1">
        <v>684.4</v>
      </c>
      <c r="F921" s="1">
        <v>23</v>
      </c>
      <c r="G921" s="1" t="s">
        <v>29</v>
      </c>
      <c r="H921" s="1">
        <v>98</v>
      </c>
      <c r="K921" s="1" t="s">
        <v>103</v>
      </c>
      <c r="L921" s="1" t="s">
        <v>245</v>
      </c>
      <c r="M921" s="1" t="s">
        <v>246</v>
      </c>
      <c r="N921" s="1" t="s">
        <v>253</v>
      </c>
      <c r="O921" s="1">
        <v>39.24</v>
      </c>
      <c r="P921" s="1" t="s">
        <v>175</v>
      </c>
    </row>
    <row r="922" spans="1:16">
      <c r="A922" s="7">
        <v>39861</v>
      </c>
      <c r="B922" s="1">
        <v>338</v>
      </c>
      <c r="C922" s="1" t="s">
        <v>235</v>
      </c>
      <c r="D922" s="1">
        <v>1</v>
      </c>
      <c r="E922" s="1">
        <v>875.41</v>
      </c>
      <c r="F922" s="1">
        <v>23</v>
      </c>
      <c r="G922" s="1" t="s">
        <v>29</v>
      </c>
      <c r="H922" s="1">
        <v>393</v>
      </c>
      <c r="K922" s="1" t="s">
        <v>103</v>
      </c>
      <c r="L922" s="1" t="s">
        <v>245</v>
      </c>
      <c r="M922" s="1" t="s">
        <v>246</v>
      </c>
      <c r="N922" s="1" t="s">
        <v>253</v>
      </c>
      <c r="O922" s="1">
        <v>341.07</v>
      </c>
      <c r="P922" s="1" t="s">
        <v>175</v>
      </c>
    </row>
    <row r="923" spans="1:16">
      <c r="A923" s="7">
        <v>39861</v>
      </c>
      <c r="B923" s="1">
        <v>339</v>
      </c>
      <c r="C923" s="1" t="s">
        <v>234</v>
      </c>
      <c r="D923" s="1">
        <v>1</v>
      </c>
      <c r="E923" s="1">
        <v>341.98</v>
      </c>
      <c r="F923" s="1">
        <v>23</v>
      </c>
      <c r="G923" s="1" t="s">
        <v>29</v>
      </c>
      <c r="H923" s="1">
        <v>344</v>
      </c>
      <c r="K923" s="1" t="s">
        <v>77</v>
      </c>
      <c r="L923" s="1" t="s">
        <v>245</v>
      </c>
      <c r="M923" s="1" t="s">
        <v>246</v>
      </c>
      <c r="N923" s="1" t="s">
        <v>253</v>
      </c>
      <c r="O923" s="1">
        <v>331.66</v>
      </c>
      <c r="P923" s="1" t="s">
        <v>175</v>
      </c>
    </row>
    <row r="924" spans="1:16">
      <c r="A924" s="7">
        <v>39861</v>
      </c>
      <c r="B924" s="1">
        <v>341</v>
      </c>
      <c r="C924" s="1" t="s">
        <v>234</v>
      </c>
      <c r="D924" s="1">
        <v>4</v>
      </c>
      <c r="E924" s="1">
        <v>419.36</v>
      </c>
      <c r="F924" s="1">
        <v>23</v>
      </c>
      <c r="G924" s="1" t="s">
        <v>29</v>
      </c>
      <c r="H924" s="1">
        <v>194</v>
      </c>
      <c r="K924" s="1" t="s">
        <v>77</v>
      </c>
      <c r="L924" s="1" t="s">
        <v>248</v>
      </c>
      <c r="M924" s="1" t="s">
        <v>249</v>
      </c>
      <c r="N924" s="1" t="s">
        <v>253</v>
      </c>
      <c r="O924" s="1">
        <v>734.23</v>
      </c>
      <c r="P924" s="1" t="s">
        <v>175</v>
      </c>
    </row>
    <row r="925" spans="1:16">
      <c r="A925" s="7">
        <v>39861</v>
      </c>
      <c r="B925" s="1">
        <v>345</v>
      </c>
      <c r="C925" s="1" t="s">
        <v>234</v>
      </c>
      <c r="D925" s="1">
        <v>4</v>
      </c>
      <c r="E925" s="1">
        <v>1177.1199999999999</v>
      </c>
      <c r="F925" s="1">
        <v>23</v>
      </c>
      <c r="G925" s="1" t="s">
        <v>29</v>
      </c>
      <c r="H925" s="1">
        <v>114</v>
      </c>
      <c r="K925" s="1" t="s">
        <v>88</v>
      </c>
      <c r="L925" s="1" t="s">
        <v>245</v>
      </c>
      <c r="M925" s="1" t="s">
        <v>246</v>
      </c>
      <c r="N925" s="1" t="s">
        <v>253</v>
      </c>
      <c r="O925" s="1">
        <v>310.61</v>
      </c>
      <c r="P925" s="1" t="s">
        <v>175</v>
      </c>
    </row>
    <row r="926" spans="1:16">
      <c r="A926" s="7">
        <v>39861</v>
      </c>
      <c r="B926" s="1">
        <v>347</v>
      </c>
      <c r="C926" s="1" t="s">
        <v>234</v>
      </c>
      <c r="D926" s="1">
        <v>2</v>
      </c>
      <c r="E926" s="1">
        <v>502.07</v>
      </c>
      <c r="F926" s="1">
        <v>23</v>
      </c>
      <c r="G926" s="1" t="s">
        <v>29</v>
      </c>
      <c r="H926" s="1">
        <v>1742</v>
      </c>
      <c r="K926" s="1" t="s">
        <v>168</v>
      </c>
      <c r="L926" s="1" t="s">
        <v>245</v>
      </c>
      <c r="M926" s="1" t="s">
        <v>246</v>
      </c>
      <c r="N926" s="1" t="s">
        <v>253</v>
      </c>
      <c r="O926" s="1">
        <v>307</v>
      </c>
      <c r="P926" s="1" t="s">
        <v>175</v>
      </c>
    </row>
    <row r="927" spans="1:16">
      <c r="A927" s="7">
        <v>39861</v>
      </c>
      <c r="B927" s="1">
        <v>348</v>
      </c>
      <c r="C927" s="1" t="s">
        <v>234</v>
      </c>
      <c r="D927" s="1">
        <v>2</v>
      </c>
      <c r="E927" s="1">
        <v>771.55</v>
      </c>
      <c r="F927" s="1">
        <v>23</v>
      </c>
      <c r="G927" s="1" t="s">
        <v>29</v>
      </c>
      <c r="H927" s="1">
        <v>56</v>
      </c>
      <c r="K927" s="1" t="s">
        <v>88</v>
      </c>
      <c r="L927" s="1" t="s">
        <v>245</v>
      </c>
      <c r="M927" s="1" t="s">
        <v>246</v>
      </c>
      <c r="N927" s="1" t="s">
        <v>253</v>
      </c>
      <c r="O927" s="1">
        <v>69.77</v>
      </c>
      <c r="P927" s="1" t="s">
        <v>175</v>
      </c>
    </row>
    <row r="928" spans="1:16">
      <c r="A928" s="7">
        <v>39861</v>
      </c>
      <c r="B928" s="1">
        <v>351</v>
      </c>
      <c r="C928" s="1" t="s">
        <v>234</v>
      </c>
      <c r="D928" s="1">
        <v>4</v>
      </c>
      <c r="E928" s="1">
        <v>532.99</v>
      </c>
      <c r="F928" s="1">
        <v>23</v>
      </c>
      <c r="G928" s="1" t="s">
        <v>29</v>
      </c>
      <c r="H928" s="1">
        <v>237</v>
      </c>
      <c r="K928" s="1" t="s">
        <v>88</v>
      </c>
      <c r="L928" s="1" t="s">
        <v>245</v>
      </c>
      <c r="M928" s="1" t="s">
        <v>246</v>
      </c>
      <c r="N928" s="1" t="s">
        <v>253</v>
      </c>
      <c r="O928" s="1">
        <v>40.770000000000003</v>
      </c>
      <c r="P928" s="1" t="s">
        <v>175</v>
      </c>
    </row>
    <row r="929" spans="1:16">
      <c r="A929" s="7">
        <v>39861</v>
      </c>
      <c r="B929" s="1">
        <v>352</v>
      </c>
      <c r="C929" s="1" t="s">
        <v>235</v>
      </c>
      <c r="D929" s="1">
        <v>1</v>
      </c>
      <c r="E929" s="1">
        <v>205.47</v>
      </c>
      <c r="F929" s="1">
        <v>23</v>
      </c>
      <c r="G929" s="1" t="s">
        <v>29</v>
      </c>
      <c r="H929" s="1">
        <v>801</v>
      </c>
      <c r="K929" s="1" t="s">
        <v>88</v>
      </c>
      <c r="L929" s="1" t="s">
        <v>245</v>
      </c>
      <c r="M929" s="1" t="s">
        <v>246</v>
      </c>
      <c r="N929" s="1" t="s">
        <v>253</v>
      </c>
      <c r="O929" s="1">
        <v>190.91</v>
      </c>
      <c r="P929" s="1" t="s">
        <v>175</v>
      </c>
    </row>
    <row r="930" spans="1:16">
      <c r="A930" s="7">
        <v>39861</v>
      </c>
      <c r="B930" s="1">
        <v>353</v>
      </c>
      <c r="C930" s="1" t="s">
        <v>234</v>
      </c>
      <c r="D930" s="1">
        <v>4</v>
      </c>
      <c r="E930" s="1">
        <v>256.42</v>
      </c>
      <c r="F930" s="1">
        <v>23</v>
      </c>
      <c r="G930" s="1" t="s">
        <v>29</v>
      </c>
      <c r="H930" s="1">
        <v>1591</v>
      </c>
      <c r="K930" s="1" t="s">
        <v>104</v>
      </c>
      <c r="L930" s="1" t="s">
        <v>248</v>
      </c>
      <c r="M930" s="1" t="s">
        <v>249</v>
      </c>
      <c r="N930" s="1" t="s">
        <v>253</v>
      </c>
      <c r="O930" s="1">
        <v>8.82</v>
      </c>
      <c r="P930" s="1" t="s">
        <v>175</v>
      </c>
    </row>
    <row r="931" spans="1:16">
      <c r="A931" s="7">
        <v>39861</v>
      </c>
      <c r="B931" s="1">
        <v>354</v>
      </c>
      <c r="C931" s="1" t="s">
        <v>234</v>
      </c>
      <c r="D931" s="1">
        <v>3</v>
      </c>
      <c r="E931" s="1">
        <v>374.95</v>
      </c>
      <c r="F931" s="1">
        <v>23</v>
      </c>
      <c r="G931" s="1" t="s">
        <v>29</v>
      </c>
      <c r="H931" s="1">
        <v>413</v>
      </c>
      <c r="K931" s="1" t="s">
        <v>98</v>
      </c>
      <c r="L931" s="1" t="s">
        <v>245</v>
      </c>
      <c r="M931" s="1" t="s">
        <v>246</v>
      </c>
      <c r="N931" s="1" t="s">
        <v>253</v>
      </c>
      <c r="O931" s="1">
        <v>59.8</v>
      </c>
      <c r="P931" s="1" t="s">
        <v>175</v>
      </c>
    </row>
    <row r="932" spans="1:16">
      <c r="A932" s="7">
        <v>39861</v>
      </c>
      <c r="B932" s="1">
        <v>356</v>
      </c>
      <c r="C932" s="1" t="s">
        <v>234</v>
      </c>
      <c r="D932" s="1">
        <v>3</v>
      </c>
      <c r="E932" s="1">
        <v>174.8</v>
      </c>
      <c r="F932" s="1">
        <v>23</v>
      </c>
      <c r="G932" s="1" t="s">
        <v>29</v>
      </c>
      <c r="H932" s="1">
        <v>1503</v>
      </c>
      <c r="K932" s="1" t="s">
        <v>105</v>
      </c>
      <c r="L932" s="1" t="s">
        <v>245</v>
      </c>
      <c r="M932" s="1" t="s">
        <v>246</v>
      </c>
      <c r="N932" s="1" t="s">
        <v>253</v>
      </c>
      <c r="O932" s="1">
        <v>369.59</v>
      </c>
      <c r="P932" s="1" t="s">
        <v>175</v>
      </c>
    </row>
    <row r="933" spans="1:16">
      <c r="A933" s="7">
        <v>39861</v>
      </c>
      <c r="B933" s="1">
        <v>346</v>
      </c>
      <c r="C933" s="1" t="s">
        <v>234</v>
      </c>
      <c r="D933" s="1">
        <v>2</v>
      </c>
      <c r="E933" s="1">
        <v>75</v>
      </c>
      <c r="F933" s="1">
        <v>23</v>
      </c>
      <c r="G933" s="1" t="s">
        <v>21</v>
      </c>
      <c r="H933" s="1">
        <v>1338</v>
      </c>
      <c r="K933" s="1" t="s">
        <v>124</v>
      </c>
      <c r="L933" s="1" t="s">
        <v>245</v>
      </c>
      <c r="M933" s="1" t="s">
        <v>246</v>
      </c>
      <c r="N933" s="1" t="s">
        <v>253</v>
      </c>
      <c r="O933" s="1">
        <v>195</v>
      </c>
      <c r="P933" s="1" t="s">
        <v>175</v>
      </c>
    </row>
    <row r="934" spans="1:16">
      <c r="A934" s="7">
        <v>39861</v>
      </c>
      <c r="B934" s="1">
        <v>355</v>
      </c>
      <c r="C934" s="1" t="s">
        <v>234</v>
      </c>
      <c r="D934" s="1">
        <v>3</v>
      </c>
      <c r="E934" s="1">
        <v>75</v>
      </c>
      <c r="F934" s="1">
        <v>23</v>
      </c>
      <c r="G934" s="1" t="s">
        <v>21</v>
      </c>
      <c r="H934" s="1">
        <v>0</v>
      </c>
      <c r="K934" s="1" t="s">
        <v>106</v>
      </c>
      <c r="L934" s="1" t="s">
        <v>245</v>
      </c>
      <c r="M934" s="1" t="s">
        <v>246</v>
      </c>
      <c r="N934" s="1" t="s">
        <v>253</v>
      </c>
      <c r="O934" s="1">
        <v>563.83000000000004</v>
      </c>
      <c r="P934" s="1" t="s">
        <v>175</v>
      </c>
    </row>
    <row r="935" spans="1:16">
      <c r="A935" s="7">
        <v>39981</v>
      </c>
      <c r="B935" s="1">
        <v>601</v>
      </c>
      <c r="C935" s="1" t="s">
        <v>235</v>
      </c>
      <c r="D935" s="1">
        <v>1</v>
      </c>
      <c r="E935" s="1">
        <v>651.52</v>
      </c>
      <c r="F935" s="1">
        <v>23</v>
      </c>
      <c r="G935" s="1" t="s">
        <v>6</v>
      </c>
      <c r="H935" s="1">
        <v>717</v>
      </c>
      <c r="K935" s="1" t="s">
        <v>72</v>
      </c>
      <c r="L935" s="1" t="s">
        <v>245</v>
      </c>
      <c r="M935" s="1" t="s">
        <v>246</v>
      </c>
      <c r="N935" s="1" t="s">
        <v>253</v>
      </c>
      <c r="O935" s="1">
        <v>271.86</v>
      </c>
      <c r="P935" s="1" t="s">
        <v>175</v>
      </c>
    </row>
    <row r="936" spans="1:16">
      <c r="A936" s="7">
        <v>39981</v>
      </c>
      <c r="B936" s="1">
        <v>602</v>
      </c>
      <c r="C936" s="1" t="s">
        <v>235</v>
      </c>
      <c r="D936" s="1">
        <v>1</v>
      </c>
      <c r="E936" s="1">
        <v>4.5</v>
      </c>
      <c r="F936" s="1">
        <v>23</v>
      </c>
      <c r="G936" s="1" t="s">
        <v>37</v>
      </c>
      <c r="H936" s="1">
        <v>717</v>
      </c>
      <c r="K936" s="1" t="s">
        <v>72</v>
      </c>
      <c r="L936" s="1" t="s">
        <v>245</v>
      </c>
      <c r="M936" s="1" t="s">
        <v>246</v>
      </c>
      <c r="N936" s="1" t="s">
        <v>253</v>
      </c>
      <c r="O936" s="1">
        <v>205.47</v>
      </c>
      <c r="P936" s="1" t="s">
        <v>175</v>
      </c>
    </row>
    <row r="937" spans="1:16">
      <c r="A937" s="7">
        <v>40011</v>
      </c>
      <c r="B937" s="1">
        <v>722</v>
      </c>
      <c r="C937" s="1" t="s">
        <v>234</v>
      </c>
      <c r="D937" s="1">
        <v>3</v>
      </c>
      <c r="E937" s="1">
        <v>327.94</v>
      </c>
      <c r="F937" s="1">
        <v>23</v>
      </c>
      <c r="G937" s="1" t="s">
        <v>6</v>
      </c>
      <c r="H937" s="1">
        <v>178</v>
      </c>
      <c r="K937" s="1" t="s">
        <v>88</v>
      </c>
      <c r="L937" s="1" t="s">
        <v>245</v>
      </c>
      <c r="M937" s="1" t="s">
        <v>246</v>
      </c>
      <c r="N937" s="1" t="s">
        <v>253</v>
      </c>
      <c r="O937" s="1">
        <v>290.64999999999998</v>
      </c>
      <c r="P937" s="1" t="s">
        <v>175</v>
      </c>
    </row>
    <row r="938" spans="1:16">
      <c r="A938" s="7">
        <v>40011</v>
      </c>
      <c r="B938" s="1">
        <v>723</v>
      </c>
      <c r="C938" s="1" t="s">
        <v>234</v>
      </c>
      <c r="D938" s="1">
        <v>3</v>
      </c>
      <c r="E938" s="1">
        <v>216.91</v>
      </c>
      <c r="F938" s="1">
        <v>23</v>
      </c>
      <c r="G938" s="1" t="s">
        <v>6</v>
      </c>
      <c r="H938" s="1">
        <v>157</v>
      </c>
      <c r="K938" s="1" t="s">
        <v>88</v>
      </c>
      <c r="L938" s="1" t="s">
        <v>245</v>
      </c>
      <c r="M938" s="1" t="s">
        <v>246</v>
      </c>
      <c r="N938" s="1" t="s">
        <v>253</v>
      </c>
      <c r="O938" s="1">
        <v>81.62</v>
      </c>
      <c r="P938" s="1" t="s">
        <v>175</v>
      </c>
    </row>
    <row r="939" spans="1:16">
      <c r="A939" s="7">
        <v>40011</v>
      </c>
      <c r="B939" s="1">
        <v>724</v>
      </c>
      <c r="C939" s="1" t="s">
        <v>234</v>
      </c>
      <c r="D939" s="1">
        <v>3</v>
      </c>
      <c r="E939" s="1">
        <v>371.44</v>
      </c>
      <c r="F939" s="1">
        <v>23</v>
      </c>
      <c r="G939" s="1" t="s">
        <v>6</v>
      </c>
      <c r="H939" s="1">
        <v>949</v>
      </c>
      <c r="K939" s="1" t="s">
        <v>88</v>
      </c>
      <c r="L939" s="1" t="s">
        <v>245</v>
      </c>
      <c r="M939" s="1" t="s">
        <v>246</v>
      </c>
      <c r="N939" s="1" t="s">
        <v>253</v>
      </c>
      <c r="O939" s="1">
        <v>79.08</v>
      </c>
      <c r="P939" s="1" t="s">
        <v>175</v>
      </c>
    </row>
    <row r="940" spans="1:16">
      <c r="A940" s="7">
        <v>40011</v>
      </c>
      <c r="B940" s="1">
        <v>730</v>
      </c>
      <c r="C940" s="1" t="s">
        <v>235</v>
      </c>
      <c r="D940" s="1">
        <v>1</v>
      </c>
      <c r="E940" s="1">
        <v>302.69</v>
      </c>
      <c r="F940" s="1">
        <v>23</v>
      </c>
      <c r="G940" s="1" t="s">
        <v>6</v>
      </c>
      <c r="H940" s="1">
        <v>1638</v>
      </c>
      <c r="K940" s="1" t="s">
        <v>88</v>
      </c>
      <c r="L940" s="1" t="s">
        <v>245</v>
      </c>
      <c r="M940" s="1" t="s">
        <v>246</v>
      </c>
      <c r="N940" s="1" t="s">
        <v>253</v>
      </c>
      <c r="O940" s="1">
        <v>54.41</v>
      </c>
      <c r="P940" s="1" t="s">
        <v>175</v>
      </c>
    </row>
    <row r="941" spans="1:16">
      <c r="A941" s="7">
        <v>40011</v>
      </c>
      <c r="B941" s="1">
        <v>731</v>
      </c>
      <c r="C941" s="1" t="s">
        <v>235</v>
      </c>
      <c r="D941" s="1">
        <v>1</v>
      </c>
      <c r="E941" s="1">
        <v>368.32</v>
      </c>
      <c r="F941" s="1">
        <v>23</v>
      </c>
      <c r="G941" s="1" t="s">
        <v>6</v>
      </c>
      <c r="H941" s="1">
        <v>98</v>
      </c>
      <c r="K941" s="1" t="s">
        <v>88</v>
      </c>
      <c r="L941" s="1" t="s">
        <v>245</v>
      </c>
      <c r="M941" s="1" t="s">
        <v>246</v>
      </c>
      <c r="N941" s="1" t="s">
        <v>253</v>
      </c>
      <c r="O941" s="1">
        <v>134.51</v>
      </c>
      <c r="P941" s="1" t="s">
        <v>175</v>
      </c>
    </row>
    <row r="942" spans="1:16">
      <c r="A942" s="7">
        <v>40011</v>
      </c>
      <c r="B942" s="1">
        <v>733</v>
      </c>
      <c r="C942" s="1" t="s">
        <v>234</v>
      </c>
      <c r="D942" s="1">
        <v>8</v>
      </c>
      <c r="E942" s="1">
        <v>613.07000000000005</v>
      </c>
      <c r="F942" s="1">
        <v>23</v>
      </c>
      <c r="G942" s="1" t="s">
        <v>6</v>
      </c>
      <c r="H942" s="1">
        <v>344</v>
      </c>
      <c r="K942" s="1" t="s">
        <v>88</v>
      </c>
      <c r="L942" s="1" t="s">
        <v>245</v>
      </c>
      <c r="M942" s="1" t="s">
        <v>246</v>
      </c>
      <c r="N942" s="1" t="s">
        <v>253</v>
      </c>
      <c r="O942" s="1">
        <v>798.3</v>
      </c>
      <c r="P942" s="1" t="s">
        <v>175</v>
      </c>
    </row>
    <row r="943" spans="1:16">
      <c r="A943" s="7">
        <v>40011</v>
      </c>
      <c r="B943" s="1">
        <v>741</v>
      </c>
      <c r="C943" s="1" t="s">
        <v>234</v>
      </c>
      <c r="D943" s="1">
        <v>1</v>
      </c>
      <c r="E943" s="1">
        <v>493.48</v>
      </c>
      <c r="F943" s="1">
        <v>23</v>
      </c>
      <c r="G943" s="1" t="s">
        <v>6</v>
      </c>
      <c r="H943" s="1">
        <v>1574</v>
      </c>
      <c r="K943" s="1" t="s">
        <v>106</v>
      </c>
      <c r="L943" s="1" t="s">
        <v>264</v>
      </c>
      <c r="M943" s="1" t="s">
        <v>265</v>
      </c>
      <c r="N943" s="1" t="s">
        <v>253</v>
      </c>
      <c r="O943" s="1">
        <v>348</v>
      </c>
      <c r="P943" s="1" t="s">
        <v>175</v>
      </c>
    </row>
    <row r="944" spans="1:16">
      <c r="A944" s="7">
        <v>40011</v>
      </c>
      <c r="B944" s="1">
        <v>742</v>
      </c>
      <c r="C944" s="1" t="s">
        <v>234</v>
      </c>
      <c r="D944" s="1">
        <v>1</v>
      </c>
      <c r="E944" s="1">
        <v>453.97</v>
      </c>
      <c r="F944" s="1">
        <v>23</v>
      </c>
      <c r="G944" s="1" t="s">
        <v>6</v>
      </c>
      <c r="H944" s="1">
        <v>1257</v>
      </c>
      <c r="K944" s="1" t="s">
        <v>88</v>
      </c>
      <c r="L944" s="1" t="s">
        <v>245</v>
      </c>
      <c r="M944" s="1" t="s">
        <v>246</v>
      </c>
      <c r="N944" s="1" t="s">
        <v>253</v>
      </c>
      <c r="O944" s="1">
        <v>163.9</v>
      </c>
      <c r="P944" s="1" t="s">
        <v>175</v>
      </c>
    </row>
    <row r="945" spans="1:16">
      <c r="A945" s="7">
        <v>40011</v>
      </c>
      <c r="B945" s="1">
        <v>743</v>
      </c>
      <c r="C945" s="1" t="s">
        <v>234</v>
      </c>
      <c r="D945" s="1">
        <v>1</v>
      </c>
      <c r="E945" s="1">
        <v>388.12</v>
      </c>
      <c r="F945" s="1">
        <v>23</v>
      </c>
      <c r="G945" s="1" t="s">
        <v>6</v>
      </c>
      <c r="H945" s="1">
        <v>1953</v>
      </c>
      <c r="K945" s="1" t="s">
        <v>88</v>
      </c>
      <c r="L945" s="1" t="s">
        <v>245</v>
      </c>
      <c r="M945" s="1" t="s">
        <v>246</v>
      </c>
      <c r="N945" s="1" t="s">
        <v>253</v>
      </c>
      <c r="O945" s="1">
        <v>160.80000000000001</v>
      </c>
      <c r="P945" s="1" t="s">
        <v>175</v>
      </c>
    </row>
    <row r="946" spans="1:16">
      <c r="A946" s="7">
        <v>40011</v>
      </c>
      <c r="B946" s="1">
        <v>752</v>
      </c>
      <c r="C946" s="1" t="s">
        <v>234</v>
      </c>
      <c r="D946" s="1">
        <v>4</v>
      </c>
      <c r="E946" s="1">
        <v>609.41</v>
      </c>
      <c r="F946" s="1">
        <v>23</v>
      </c>
      <c r="G946" s="1" t="s">
        <v>6</v>
      </c>
      <c r="H946" s="1">
        <v>1247</v>
      </c>
      <c r="K946" s="1" t="s">
        <v>88</v>
      </c>
      <c r="L946" s="1" t="s">
        <v>245</v>
      </c>
      <c r="M946" s="1" t="s">
        <v>246</v>
      </c>
      <c r="N946" s="1" t="s">
        <v>253</v>
      </c>
      <c r="O946" s="1">
        <v>12.05</v>
      </c>
      <c r="P946" s="1" t="s">
        <v>175</v>
      </c>
    </row>
    <row r="947" spans="1:16">
      <c r="A947" s="7">
        <v>40011</v>
      </c>
      <c r="B947" s="1">
        <v>753</v>
      </c>
      <c r="C947" s="1" t="s">
        <v>234</v>
      </c>
      <c r="D947" s="1">
        <v>4</v>
      </c>
      <c r="E947" s="1">
        <v>770.05</v>
      </c>
      <c r="F947" s="1">
        <v>23</v>
      </c>
      <c r="G947" s="1" t="s">
        <v>6</v>
      </c>
      <c r="H947" s="1">
        <v>364</v>
      </c>
      <c r="K947" s="1" t="s">
        <v>103</v>
      </c>
      <c r="L947" s="1" t="s">
        <v>264</v>
      </c>
      <c r="M947" s="1" t="s">
        <v>265</v>
      </c>
      <c r="N947" s="1" t="s">
        <v>253</v>
      </c>
      <c r="O947" s="1">
        <v>63.2</v>
      </c>
      <c r="P947" s="1" t="s">
        <v>175</v>
      </c>
    </row>
    <row r="948" spans="1:16">
      <c r="A948" s="7">
        <v>40011</v>
      </c>
      <c r="B948" s="1">
        <v>754</v>
      </c>
      <c r="C948" s="1" t="s">
        <v>234</v>
      </c>
      <c r="D948" s="1">
        <v>4</v>
      </c>
      <c r="E948" s="1">
        <v>791.39</v>
      </c>
      <c r="F948" s="1">
        <v>23</v>
      </c>
      <c r="G948" s="1" t="s">
        <v>6</v>
      </c>
      <c r="H948" s="1">
        <v>958</v>
      </c>
      <c r="K948" s="1" t="s">
        <v>108</v>
      </c>
      <c r="L948" s="1" t="s">
        <v>258</v>
      </c>
      <c r="M948" s="1" t="s">
        <v>259</v>
      </c>
      <c r="N948" s="1" t="s">
        <v>253</v>
      </c>
      <c r="O948" s="1">
        <v>82.86</v>
      </c>
      <c r="P948" s="1" t="s">
        <v>175</v>
      </c>
    </row>
    <row r="949" spans="1:16">
      <c r="A949" s="7">
        <v>40011</v>
      </c>
      <c r="B949" s="1">
        <v>755</v>
      </c>
      <c r="C949" s="1" t="s">
        <v>234</v>
      </c>
      <c r="D949" s="1">
        <v>4</v>
      </c>
      <c r="E949" s="1">
        <v>256.42</v>
      </c>
      <c r="F949" s="1">
        <v>23</v>
      </c>
      <c r="G949" s="1" t="s">
        <v>6</v>
      </c>
      <c r="H949" s="1">
        <v>1591</v>
      </c>
      <c r="K949" s="1" t="s">
        <v>123</v>
      </c>
      <c r="L949" s="1" t="s">
        <v>245</v>
      </c>
      <c r="M949" s="1" t="s">
        <v>246</v>
      </c>
      <c r="N949" s="1" t="s">
        <v>253</v>
      </c>
      <c r="O949" s="1">
        <v>879.2</v>
      </c>
      <c r="P949" s="1" t="s">
        <v>175</v>
      </c>
    </row>
    <row r="950" spans="1:16">
      <c r="A950" s="7">
        <v>40011</v>
      </c>
      <c r="B950" s="1">
        <v>756</v>
      </c>
      <c r="C950" s="1" t="s">
        <v>234</v>
      </c>
      <c r="D950" s="1">
        <v>4</v>
      </c>
      <c r="E950" s="1">
        <v>572.5</v>
      </c>
      <c r="F950" s="1">
        <v>23</v>
      </c>
      <c r="G950" s="1" t="s">
        <v>6</v>
      </c>
      <c r="H950" s="1">
        <v>1279</v>
      </c>
      <c r="K950" s="1" t="s">
        <v>72</v>
      </c>
      <c r="L950" s="1" t="s">
        <v>256</v>
      </c>
      <c r="M950" s="1" t="s">
        <v>257</v>
      </c>
      <c r="N950" s="1" t="s">
        <v>253</v>
      </c>
      <c r="O950" s="1">
        <v>348.5</v>
      </c>
      <c r="P950" s="1" t="s">
        <v>175</v>
      </c>
    </row>
    <row r="951" spans="1:16">
      <c r="A951" s="7">
        <v>40011</v>
      </c>
      <c r="B951" s="1">
        <v>732</v>
      </c>
      <c r="C951" s="1" t="s">
        <v>235</v>
      </c>
      <c r="D951" s="1">
        <v>1</v>
      </c>
      <c r="E951" s="1">
        <v>4.5</v>
      </c>
      <c r="F951" s="1">
        <v>23</v>
      </c>
      <c r="G951" s="1" t="s">
        <v>37</v>
      </c>
      <c r="H951" s="1">
        <v>1257</v>
      </c>
      <c r="K951" s="1" t="s">
        <v>110</v>
      </c>
      <c r="L951" s="1" t="s">
        <v>245</v>
      </c>
      <c r="M951" s="1" t="s">
        <v>246</v>
      </c>
      <c r="N951" s="1" t="s">
        <v>253</v>
      </c>
      <c r="O951" s="1">
        <v>318.24</v>
      </c>
      <c r="P951" s="1" t="s">
        <v>175</v>
      </c>
    </row>
    <row r="952" spans="1:16">
      <c r="A952" s="7">
        <v>40042</v>
      </c>
      <c r="B952" s="1">
        <v>599</v>
      </c>
      <c r="C952" s="1" t="s">
        <v>234</v>
      </c>
      <c r="D952" s="1">
        <v>4</v>
      </c>
      <c r="E952" s="1">
        <v>296.45999999999998</v>
      </c>
      <c r="F952" s="1">
        <v>23</v>
      </c>
      <c r="G952" s="1" t="s">
        <v>16</v>
      </c>
      <c r="H952" s="1">
        <v>0</v>
      </c>
      <c r="K952" s="1" t="s">
        <v>72</v>
      </c>
      <c r="L952" s="1" t="s">
        <v>245</v>
      </c>
      <c r="M952" s="1" t="s">
        <v>246</v>
      </c>
      <c r="N952" s="1" t="s">
        <v>253</v>
      </c>
      <c r="O952" s="1">
        <v>296.08999999999997</v>
      </c>
      <c r="P952" s="1" t="s">
        <v>175</v>
      </c>
    </row>
    <row r="953" spans="1:16">
      <c r="A953" s="7">
        <v>40073</v>
      </c>
      <c r="B953" s="1">
        <v>1125</v>
      </c>
      <c r="C953" s="1" t="s">
        <v>234</v>
      </c>
      <c r="D953" s="1">
        <v>2</v>
      </c>
      <c r="E953" s="1">
        <v>887.33</v>
      </c>
      <c r="F953" s="1">
        <v>23</v>
      </c>
      <c r="G953" s="1" t="s">
        <v>7</v>
      </c>
      <c r="H953" s="1">
        <v>0</v>
      </c>
      <c r="K953" s="1" t="s">
        <v>110</v>
      </c>
      <c r="L953" s="1" t="s">
        <v>245</v>
      </c>
      <c r="M953" s="1" t="s">
        <v>246</v>
      </c>
      <c r="N953" s="1" t="s">
        <v>253</v>
      </c>
      <c r="O953" s="1">
        <v>567.84</v>
      </c>
      <c r="P953" s="1" t="s">
        <v>175</v>
      </c>
    </row>
    <row r="954" spans="1:16">
      <c r="A954" s="7">
        <v>40073</v>
      </c>
      <c r="B954" s="1">
        <v>1128</v>
      </c>
      <c r="C954" s="1" t="s">
        <v>234</v>
      </c>
      <c r="D954" s="1">
        <v>4</v>
      </c>
      <c r="E954" s="1">
        <v>783.6</v>
      </c>
      <c r="F954" s="1">
        <v>23</v>
      </c>
      <c r="G954" s="1" t="s">
        <v>8</v>
      </c>
      <c r="H954" s="1">
        <v>1762</v>
      </c>
      <c r="K954" s="1" t="s">
        <v>77</v>
      </c>
      <c r="L954" s="1" t="s">
        <v>258</v>
      </c>
      <c r="M954" s="1" t="s">
        <v>259</v>
      </c>
      <c r="N954" s="1" t="s">
        <v>253</v>
      </c>
      <c r="O954" s="1">
        <v>87.72</v>
      </c>
      <c r="P954" s="1" t="s">
        <v>175</v>
      </c>
    </row>
    <row r="955" spans="1:16">
      <c r="A955" s="7">
        <v>40073</v>
      </c>
      <c r="B955" s="1">
        <v>1125</v>
      </c>
      <c r="C955" s="1" t="s">
        <v>234</v>
      </c>
      <c r="D955" s="1">
        <v>2</v>
      </c>
      <c r="E955" s="1">
        <v>78</v>
      </c>
      <c r="F955" s="1">
        <v>23</v>
      </c>
      <c r="G955" s="1" t="s">
        <v>11</v>
      </c>
      <c r="H955" s="1">
        <v>0</v>
      </c>
      <c r="K955" s="1" t="s">
        <v>109</v>
      </c>
      <c r="L955" s="1" t="s">
        <v>245</v>
      </c>
      <c r="M955" s="1" t="s">
        <v>246</v>
      </c>
      <c r="N955" s="1" t="s">
        <v>253</v>
      </c>
      <c r="O955" s="1">
        <v>46.06</v>
      </c>
      <c r="P955" s="1" t="s">
        <v>175</v>
      </c>
    </row>
    <row r="956" spans="1:16">
      <c r="A956" s="7">
        <v>40073</v>
      </c>
      <c r="B956" s="1">
        <v>1128</v>
      </c>
      <c r="C956" s="1" t="s">
        <v>234</v>
      </c>
      <c r="D956" s="1">
        <v>4</v>
      </c>
      <c r="E956" s="1">
        <v>78</v>
      </c>
      <c r="F956" s="1">
        <v>23</v>
      </c>
      <c r="G956" s="1" t="s">
        <v>11</v>
      </c>
      <c r="H956" s="1">
        <v>1762</v>
      </c>
      <c r="K956" s="1" t="s">
        <v>98</v>
      </c>
      <c r="L956" s="1" t="s">
        <v>245</v>
      </c>
      <c r="M956" s="1" t="s">
        <v>246</v>
      </c>
      <c r="N956" s="1" t="s">
        <v>253</v>
      </c>
      <c r="O956" s="1">
        <v>2000</v>
      </c>
      <c r="P956" s="1" t="s">
        <v>175</v>
      </c>
    </row>
    <row r="957" spans="1:16">
      <c r="A957" s="7">
        <v>40073</v>
      </c>
      <c r="B957" s="1">
        <v>1145</v>
      </c>
      <c r="C957" s="1" t="s">
        <v>235</v>
      </c>
      <c r="D957" s="1">
        <v>4</v>
      </c>
      <c r="E957" s="1">
        <v>138.13</v>
      </c>
      <c r="F957" s="1">
        <v>23</v>
      </c>
      <c r="G957" s="1" t="s">
        <v>12</v>
      </c>
      <c r="H957" s="1">
        <v>176</v>
      </c>
      <c r="K957" s="1" t="s">
        <v>77</v>
      </c>
      <c r="L957" s="1" t="s">
        <v>245</v>
      </c>
      <c r="M957" s="1" t="s">
        <v>246</v>
      </c>
      <c r="N957" s="1" t="s">
        <v>253</v>
      </c>
      <c r="O957" s="1">
        <v>2543.36</v>
      </c>
      <c r="P957" s="1" t="s">
        <v>175</v>
      </c>
    </row>
    <row r="958" spans="1:16">
      <c r="A958" s="7">
        <v>40073</v>
      </c>
      <c r="B958" s="1">
        <v>1146</v>
      </c>
      <c r="C958" s="1" t="s">
        <v>235</v>
      </c>
      <c r="D958" s="1">
        <v>4</v>
      </c>
      <c r="E958" s="1">
        <v>54.2</v>
      </c>
      <c r="F958" s="1">
        <v>23</v>
      </c>
      <c r="G958" s="1" t="s">
        <v>12</v>
      </c>
      <c r="H958" s="1">
        <v>448</v>
      </c>
      <c r="K958" s="1" t="s">
        <v>76</v>
      </c>
      <c r="L958" s="1" t="s">
        <v>258</v>
      </c>
      <c r="M958" s="1" t="s">
        <v>259</v>
      </c>
      <c r="N958" s="1" t="s">
        <v>253</v>
      </c>
      <c r="O958" s="1">
        <v>95</v>
      </c>
      <c r="P958" s="1" t="s">
        <v>175</v>
      </c>
    </row>
    <row r="959" spans="1:16">
      <c r="A959" s="7">
        <v>40073</v>
      </c>
      <c r="B959" s="1">
        <v>1157</v>
      </c>
      <c r="C959" s="1" t="s">
        <v>235</v>
      </c>
      <c r="D959" s="1">
        <v>1</v>
      </c>
      <c r="E959" s="1">
        <v>158.04</v>
      </c>
      <c r="F959" s="1">
        <v>23</v>
      </c>
      <c r="G959" s="1" t="s">
        <v>12</v>
      </c>
      <c r="H959" s="1">
        <v>421</v>
      </c>
      <c r="K959" s="1" t="s">
        <v>77</v>
      </c>
      <c r="L959" s="1" t="s">
        <v>262</v>
      </c>
      <c r="M959" s="1" t="s">
        <v>263</v>
      </c>
      <c r="N959" s="1" t="s">
        <v>253</v>
      </c>
      <c r="O959" s="1">
        <v>633.29</v>
      </c>
      <c r="P959" s="1" t="s">
        <v>175</v>
      </c>
    </row>
    <row r="960" spans="1:16">
      <c r="A960" s="7">
        <v>40073</v>
      </c>
      <c r="B960" s="1">
        <v>1147</v>
      </c>
      <c r="C960" s="1" t="s">
        <v>235</v>
      </c>
      <c r="D960" s="1">
        <v>4</v>
      </c>
      <c r="E960" s="1">
        <v>141.08000000000001</v>
      </c>
      <c r="F960" s="1">
        <v>23</v>
      </c>
      <c r="G960" s="1" t="s">
        <v>13</v>
      </c>
      <c r="H960" s="1">
        <v>1085</v>
      </c>
      <c r="K960" s="1" t="s">
        <v>77</v>
      </c>
      <c r="L960" s="1" t="s">
        <v>262</v>
      </c>
      <c r="M960" s="1" t="s">
        <v>263</v>
      </c>
      <c r="N960" s="1" t="s">
        <v>253</v>
      </c>
      <c r="O960" s="1">
        <v>98.78</v>
      </c>
      <c r="P960" s="1" t="s">
        <v>175</v>
      </c>
    </row>
    <row r="961" spans="1:16">
      <c r="A961" s="7">
        <v>40073</v>
      </c>
      <c r="B961" s="1">
        <v>1148</v>
      </c>
      <c r="C961" s="1" t="s">
        <v>234</v>
      </c>
      <c r="D961" s="1">
        <v>1</v>
      </c>
      <c r="E961" s="1">
        <v>926.12</v>
      </c>
      <c r="F961" s="1">
        <v>23</v>
      </c>
      <c r="G961" s="1" t="s">
        <v>13</v>
      </c>
      <c r="H961" s="1">
        <v>0</v>
      </c>
      <c r="K961" s="1" t="s">
        <v>77</v>
      </c>
      <c r="L961" s="1" t="s">
        <v>262</v>
      </c>
      <c r="M961" s="1" t="s">
        <v>263</v>
      </c>
      <c r="N961" s="1" t="s">
        <v>253</v>
      </c>
      <c r="O961" s="1">
        <v>2068.15</v>
      </c>
      <c r="P961" s="1" t="s">
        <v>175</v>
      </c>
    </row>
    <row r="962" spans="1:16">
      <c r="A962" s="7">
        <v>40073</v>
      </c>
      <c r="B962" s="1">
        <v>1150</v>
      </c>
      <c r="C962" s="1" t="s">
        <v>234</v>
      </c>
      <c r="D962" s="1">
        <v>3</v>
      </c>
      <c r="E962" s="1">
        <v>168.54</v>
      </c>
      <c r="F962" s="1">
        <v>23</v>
      </c>
      <c r="G962" s="1" t="s">
        <v>13</v>
      </c>
      <c r="H962" s="1">
        <v>409</v>
      </c>
      <c r="K962" s="1" t="s">
        <v>77</v>
      </c>
      <c r="L962" s="1" t="s">
        <v>262</v>
      </c>
      <c r="M962" s="1" t="s">
        <v>263</v>
      </c>
      <c r="N962" s="1" t="s">
        <v>253</v>
      </c>
      <c r="O962" s="1">
        <v>2592.38</v>
      </c>
      <c r="P962" s="1" t="s">
        <v>175</v>
      </c>
    </row>
    <row r="963" spans="1:16">
      <c r="A963" s="7">
        <v>40073</v>
      </c>
      <c r="B963" s="1">
        <v>1155</v>
      </c>
      <c r="C963" s="1" t="s">
        <v>234</v>
      </c>
      <c r="D963" s="1">
        <v>4</v>
      </c>
      <c r="E963" s="1">
        <v>125.4</v>
      </c>
      <c r="F963" s="1">
        <v>23</v>
      </c>
      <c r="G963" s="1" t="s">
        <v>13</v>
      </c>
      <c r="H963" s="1">
        <v>1426</v>
      </c>
      <c r="K963" s="1" t="s">
        <v>78</v>
      </c>
      <c r="L963" s="1" t="s">
        <v>256</v>
      </c>
      <c r="M963" s="1" t="s">
        <v>257</v>
      </c>
      <c r="N963" s="1" t="s">
        <v>253</v>
      </c>
      <c r="O963" s="1">
        <v>475</v>
      </c>
      <c r="P963" s="1" t="s">
        <v>175</v>
      </c>
    </row>
    <row r="964" spans="1:16">
      <c r="A964" s="7">
        <v>40073</v>
      </c>
      <c r="B964" s="1">
        <v>1149</v>
      </c>
      <c r="C964" s="1" t="s">
        <v>234</v>
      </c>
      <c r="D964" s="1">
        <v>3</v>
      </c>
      <c r="E964" s="1">
        <v>595.65</v>
      </c>
      <c r="F964" s="1">
        <v>23</v>
      </c>
      <c r="G964" s="1" t="s">
        <v>3</v>
      </c>
      <c r="H964" s="1">
        <v>1836</v>
      </c>
      <c r="K964" s="1" t="s">
        <v>78</v>
      </c>
      <c r="L964" s="1" t="s">
        <v>256</v>
      </c>
      <c r="M964" s="1" t="s">
        <v>257</v>
      </c>
      <c r="N964" s="1" t="s">
        <v>253</v>
      </c>
      <c r="O964" s="1">
        <v>899</v>
      </c>
      <c r="P964" s="1" t="s">
        <v>175</v>
      </c>
    </row>
    <row r="965" spans="1:16">
      <c r="A965" s="7">
        <v>40073</v>
      </c>
      <c r="B965" s="1">
        <v>1153</v>
      </c>
      <c r="C965" s="1" t="s">
        <v>234</v>
      </c>
      <c r="D965" s="1">
        <v>4</v>
      </c>
      <c r="E965" s="1">
        <v>33.75</v>
      </c>
      <c r="F965" s="1">
        <v>23</v>
      </c>
      <c r="G965" s="1" t="s">
        <v>4</v>
      </c>
      <c r="H965" s="1">
        <v>2117</v>
      </c>
      <c r="K965" s="1" t="s">
        <v>78</v>
      </c>
      <c r="L965" s="1" t="s">
        <v>256</v>
      </c>
      <c r="M965" s="1" t="s">
        <v>257</v>
      </c>
      <c r="N965" s="1" t="s">
        <v>253</v>
      </c>
      <c r="O965" s="1">
        <v>1160</v>
      </c>
      <c r="P965" s="1" t="s">
        <v>175</v>
      </c>
    </row>
    <row r="966" spans="1:16">
      <c r="A966" s="7">
        <v>40073</v>
      </c>
      <c r="B966" s="1">
        <v>1108</v>
      </c>
      <c r="C966" s="1" t="s">
        <v>234</v>
      </c>
      <c r="D966" s="1">
        <v>3</v>
      </c>
      <c r="E966" s="1">
        <v>874.26</v>
      </c>
      <c r="F966" s="1">
        <v>23</v>
      </c>
      <c r="G966" s="1" t="s">
        <v>6</v>
      </c>
      <c r="H966" s="1">
        <v>1663</v>
      </c>
      <c r="K966" s="1" t="s">
        <v>72</v>
      </c>
      <c r="L966" s="1" t="s">
        <v>258</v>
      </c>
      <c r="M966" s="1" t="s">
        <v>259</v>
      </c>
      <c r="N966" s="1" t="s">
        <v>253</v>
      </c>
      <c r="O966" s="1">
        <v>86.71</v>
      </c>
      <c r="P966" s="1" t="s">
        <v>175</v>
      </c>
    </row>
    <row r="967" spans="1:16">
      <c r="A967" s="7">
        <v>40073</v>
      </c>
      <c r="B967" s="1">
        <v>1151</v>
      </c>
      <c r="C967" s="1" t="s">
        <v>234</v>
      </c>
      <c r="D967" s="1">
        <v>4</v>
      </c>
      <c r="E967" s="1">
        <v>80</v>
      </c>
      <c r="F967" s="1">
        <v>23</v>
      </c>
      <c r="G967" s="1" t="s">
        <v>18</v>
      </c>
      <c r="H967" s="1">
        <v>2115</v>
      </c>
      <c r="K967" s="1" t="s">
        <v>98</v>
      </c>
      <c r="L967" s="1" t="s">
        <v>245</v>
      </c>
      <c r="M967" s="1" t="s">
        <v>246</v>
      </c>
      <c r="N967" s="1" t="s">
        <v>253</v>
      </c>
      <c r="O967" s="1">
        <v>669.24</v>
      </c>
      <c r="P967" s="1" t="s">
        <v>175</v>
      </c>
    </row>
    <row r="968" spans="1:16">
      <c r="A968" s="7">
        <v>40073</v>
      </c>
      <c r="B968" s="1">
        <v>1152</v>
      </c>
      <c r="C968" s="1" t="s">
        <v>234</v>
      </c>
      <c r="D968" s="1">
        <v>4</v>
      </c>
      <c r="E968" s="1">
        <v>80</v>
      </c>
      <c r="F968" s="1">
        <v>23</v>
      </c>
      <c r="G968" s="1" t="s">
        <v>18</v>
      </c>
      <c r="H968" s="1">
        <v>2116</v>
      </c>
      <c r="K968" s="1" t="s">
        <v>80</v>
      </c>
      <c r="L968" s="1" t="s">
        <v>245</v>
      </c>
      <c r="M968" s="1" t="s">
        <v>246</v>
      </c>
      <c r="N968" s="1" t="s">
        <v>253</v>
      </c>
      <c r="O968" s="1">
        <v>118.3</v>
      </c>
      <c r="P968" s="1" t="s">
        <v>175</v>
      </c>
    </row>
    <row r="969" spans="1:16">
      <c r="A969" s="7">
        <v>40073</v>
      </c>
      <c r="B969" s="1">
        <v>1154</v>
      </c>
      <c r="C969" s="1" t="s">
        <v>234</v>
      </c>
      <c r="D969" s="1">
        <v>4</v>
      </c>
      <c r="E969" s="1">
        <v>80</v>
      </c>
      <c r="F969" s="1">
        <v>23</v>
      </c>
      <c r="G969" s="1" t="s">
        <v>18</v>
      </c>
      <c r="H969" s="1">
        <v>585</v>
      </c>
      <c r="K969" s="1" t="s">
        <v>110</v>
      </c>
      <c r="L969" s="1" t="s">
        <v>245</v>
      </c>
      <c r="M969" s="1" t="s">
        <v>246</v>
      </c>
      <c r="N969" s="1" t="s">
        <v>253</v>
      </c>
      <c r="O969" s="1">
        <v>119.34</v>
      </c>
      <c r="P969" s="1" t="s">
        <v>175</v>
      </c>
    </row>
    <row r="970" spans="1:16">
      <c r="A970" s="7">
        <v>40073</v>
      </c>
      <c r="B970" s="1">
        <v>1156</v>
      </c>
      <c r="C970" s="1" t="s">
        <v>234</v>
      </c>
      <c r="D970" s="1">
        <v>4</v>
      </c>
      <c r="E970" s="1">
        <v>65</v>
      </c>
      <c r="F970" s="1">
        <v>23</v>
      </c>
      <c r="G970" s="1" t="s">
        <v>18</v>
      </c>
      <c r="H970" s="1">
        <v>1945</v>
      </c>
      <c r="K970" s="1" t="s">
        <v>89</v>
      </c>
      <c r="L970" s="1" t="s">
        <v>245</v>
      </c>
      <c r="M970" s="1" t="s">
        <v>246</v>
      </c>
      <c r="N970" s="1" t="s">
        <v>253</v>
      </c>
      <c r="O970" s="1">
        <v>56</v>
      </c>
      <c r="P970" s="1" t="s">
        <v>175</v>
      </c>
    </row>
    <row r="971" spans="1:16">
      <c r="A971" s="7">
        <v>40164</v>
      </c>
      <c r="B971" s="1">
        <v>1550</v>
      </c>
      <c r="C971" s="1" t="s">
        <v>234</v>
      </c>
      <c r="D971" s="1">
        <v>8</v>
      </c>
      <c r="E971" s="1">
        <v>34</v>
      </c>
      <c r="F971" s="1">
        <v>23</v>
      </c>
      <c r="G971" s="1" t="s">
        <v>44</v>
      </c>
      <c r="H971" s="1">
        <v>0</v>
      </c>
      <c r="K971" s="1" t="s">
        <v>127</v>
      </c>
      <c r="L971" s="1" t="s">
        <v>245</v>
      </c>
      <c r="M971" s="1" t="s">
        <v>246</v>
      </c>
      <c r="N971" s="1" t="s">
        <v>253</v>
      </c>
      <c r="O971" s="1">
        <v>1045.47</v>
      </c>
      <c r="P971" s="1" t="s">
        <v>175</v>
      </c>
    </row>
    <row r="972" spans="1:16">
      <c r="A972" s="7">
        <v>39862</v>
      </c>
      <c r="B972" s="1">
        <v>362</v>
      </c>
      <c r="C972" s="1" t="s">
        <v>235</v>
      </c>
      <c r="D972" s="1">
        <v>4</v>
      </c>
      <c r="E972" s="1">
        <v>0.6</v>
      </c>
      <c r="F972" s="1">
        <v>23</v>
      </c>
      <c r="G972" s="1" t="s">
        <v>16</v>
      </c>
      <c r="H972" s="1">
        <v>1349</v>
      </c>
      <c r="K972" s="1" t="s">
        <v>88</v>
      </c>
      <c r="L972" s="1" t="s">
        <v>248</v>
      </c>
      <c r="M972" s="1" t="s">
        <v>249</v>
      </c>
      <c r="N972" s="1" t="s">
        <v>253</v>
      </c>
      <c r="O972" s="1">
        <v>33.5</v>
      </c>
      <c r="P972" s="1" t="s">
        <v>175</v>
      </c>
    </row>
    <row r="973" spans="1:16">
      <c r="A973" s="7">
        <v>39862</v>
      </c>
      <c r="B973" s="1">
        <v>376</v>
      </c>
      <c r="C973" s="1" t="s">
        <v>234</v>
      </c>
      <c r="D973" s="1">
        <v>4</v>
      </c>
      <c r="E973" s="1">
        <v>330</v>
      </c>
      <c r="F973" s="1">
        <v>23</v>
      </c>
      <c r="G973" s="1" t="s">
        <v>13</v>
      </c>
      <c r="H973" s="1">
        <v>1506</v>
      </c>
      <c r="K973" s="1" t="s">
        <v>98</v>
      </c>
      <c r="L973" s="1" t="s">
        <v>245</v>
      </c>
      <c r="M973" s="1" t="s">
        <v>246</v>
      </c>
      <c r="N973" s="1" t="s">
        <v>253</v>
      </c>
      <c r="O973" s="1">
        <v>10.4</v>
      </c>
      <c r="P973" s="1" t="s">
        <v>175</v>
      </c>
    </row>
    <row r="974" spans="1:16">
      <c r="A974" s="7">
        <v>39862</v>
      </c>
      <c r="B974" s="1">
        <v>361</v>
      </c>
      <c r="C974" s="1" t="s">
        <v>235</v>
      </c>
      <c r="D974" s="1">
        <v>4</v>
      </c>
      <c r="E974" s="1">
        <v>125.4</v>
      </c>
      <c r="F974" s="1">
        <v>23</v>
      </c>
      <c r="G974" s="1" t="s">
        <v>3</v>
      </c>
      <c r="H974" s="1">
        <v>1344</v>
      </c>
      <c r="K974" s="1" t="s">
        <v>110</v>
      </c>
      <c r="L974" s="1" t="s">
        <v>245</v>
      </c>
      <c r="M974" s="1" t="s">
        <v>246</v>
      </c>
      <c r="N974" s="1" t="s">
        <v>253</v>
      </c>
      <c r="O974" s="1">
        <v>229.5</v>
      </c>
      <c r="P974" s="1" t="s">
        <v>175</v>
      </c>
    </row>
    <row r="975" spans="1:16">
      <c r="A975" s="7">
        <v>39862</v>
      </c>
      <c r="B975" s="1">
        <v>363</v>
      </c>
      <c r="C975" s="1" t="s">
        <v>234</v>
      </c>
      <c r="D975" s="1">
        <v>4</v>
      </c>
      <c r="E975" s="1">
        <v>470.25</v>
      </c>
      <c r="F975" s="1">
        <v>23</v>
      </c>
      <c r="G975" s="1" t="s">
        <v>3</v>
      </c>
      <c r="H975" s="1">
        <v>1346</v>
      </c>
      <c r="K975" s="1" t="s">
        <v>100</v>
      </c>
      <c r="L975" s="1" t="s">
        <v>264</v>
      </c>
      <c r="M975" s="1" t="s">
        <v>265</v>
      </c>
      <c r="N975" s="1" t="s">
        <v>253</v>
      </c>
      <c r="O975" s="1">
        <v>520</v>
      </c>
      <c r="P975" s="1" t="s">
        <v>175</v>
      </c>
    </row>
    <row r="976" spans="1:16">
      <c r="A976" s="7">
        <v>39862</v>
      </c>
      <c r="B976" s="1">
        <v>370</v>
      </c>
      <c r="C976" s="1" t="s">
        <v>235</v>
      </c>
      <c r="D976" s="1">
        <v>4</v>
      </c>
      <c r="E976" s="1">
        <v>1097.25</v>
      </c>
      <c r="F976" s="1">
        <v>23</v>
      </c>
      <c r="G976" s="1" t="s">
        <v>3</v>
      </c>
      <c r="H976" s="1">
        <v>1804</v>
      </c>
      <c r="K976" s="1" t="s">
        <v>176</v>
      </c>
      <c r="L976" s="1" t="s">
        <v>264</v>
      </c>
      <c r="M976" s="1" t="s">
        <v>265</v>
      </c>
      <c r="N976" s="1" t="s">
        <v>253</v>
      </c>
      <c r="O976" s="1">
        <v>446.16</v>
      </c>
      <c r="P976" s="1" t="s">
        <v>175</v>
      </c>
    </row>
    <row r="977" spans="1:16">
      <c r="A977" s="7">
        <v>39862</v>
      </c>
      <c r="B977" s="1">
        <v>358</v>
      </c>
      <c r="C977" s="1" t="s">
        <v>235</v>
      </c>
      <c r="D977" s="1">
        <v>1</v>
      </c>
      <c r="E977" s="1">
        <v>216.91</v>
      </c>
      <c r="F977" s="1">
        <v>23</v>
      </c>
      <c r="G977" s="1" t="s">
        <v>29</v>
      </c>
      <c r="H977" s="1">
        <v>1147</v>
      </c>
      <c r="K977" s="1" t="s">
        <v>72</v>
      </c>
      <c r="L977" s="1" t="s">
        <v>245</v>
      </c>
      <c r="M977" s="1" t="s">
        <v>246</v>
      </c>
      <c r="N977" s="1" t="s">
        <v>253</v>
      </c>
      <c r="O977" s="1">
        <v>216.03</v>
      </c>
      <c r="P977" s="1" t="s">
        <v>175</v>
      </c>
    </row>
    <row r="978" spans="1:16">
      <c r="A978" s="7">
        <v>39862</v>
      </c>
      <c r="B978" s="1">
        <v>359</v>
      </c>
      <c r="C978" s="1" t="s">
        <v>234</v>
      </c>
      <c r="D978" s="1">
        <v>4</v>
      </c>
      <c r="E978" s="1">
        <v>348.61</v>
      </c>
      <c r="F978" s="1">
        <v>23</v>
      </c>
      <c r="G978" s="1" t="s">
        <v>29</v>
      </c>
      <c r="H978" s="1">
        <v>724</v>
      </c>
      <c r="K978" s="1" t="s">
        <v>72</v>
      </c>
      <c r="L978" s="1" t="s">
        <v>245</v>
      </c>
      <c r="M978" s="1" t="s">
        <v>246</v>
      </c>
      <c r="N978" s="1" t="s">
        <v>253</v>
      </c>
      <c r="O978" s="1">
        <v>340.7</v>
      </c>
      <c r="P978" s="1" t="s">
        <v>175</v>
      </c>
    </row>
    <row r="979" spans="1:16">
      <c r="A979" s="7">
        <v>39862</v>
      </c>
      <c r="B979" s="1">
        <v>360</v>
      </c>
      <c r="C979" s="1" t="s">
        <v>235</v>
      </c>
      <c r="D979" s="1">
        <v>1</v>
      </c>
      <c r="E979" s="1">
        <v>253.49</v>
      </c>
      <c r="F979" s="1">
        <v>23</v>
      </c>
      <c r="G979" s="1" t="s">
        <v>29</v>
      </c>
      <c r="H979" s="1">
        <v>1631</v>
      </c>
      <c r="K979" s="1" t="s">
        <v>85</v>
      </c>
      <c r="L979" s="1" t="s">
        <v>245</v>
      </c>
      <c r="M979" s="1" t="s">
        <v>246</v>
      </c>
      <c r="N979" s="1" t="s">
        <v>253</v>
      </c>
      <c r="O979" s="1">
        <v>3416.04</v>
      </c>
      <c r="P979" s="1" t="s">
        <v>175</v>
      </c>
    </row>
    <row r="980" spans="1:16">
      <c r="A980" s="7">
        <v>39862</v>
      </c>
      <c r="B980" s="1">
        <v>364</v>
      </c>
      <c r="C980" s="1" t="s">
        <v>234</v>
      </c>
      <c r="D980" s="1">
        <v>1</v>
      </c>
      <c r="E980" s="1">
        <v>257.27</v>
      </c>
      <c r="F980" s="1">
        <v>23</v>
      </c>
      <c r="G980" s="1" t="s">
        <v>29</v>
      </c>
      <c r="H980" s="1">
        <v>625</v>
      </c>
      <c r="K980" s="1" t="s">
        <v>88</v>
      </c>
      <c r="L980" s="1" t="s">
        <v>245</v>
      </c>
      <c r="M980" s="1" t="s">
        <v>246</v>
      </c>
      <c r="N980" s="1" t="s">
        <v>253</v>
      </c>
      <c r="O980" s="1">
        <v>19.55</v>
      </c>
      <c r="P980" s="1" t="s">
        <v>175</v>
      </c>
    </row>
    <row r="981" spans="1:16">
      <c r="A981" s="7">
        <v>39862</v>
      </c>
      <c r="B981" s="1">
        <v>365</v>
      </c>
      <c r="C981" s="1" t="s">
        <v>234</v>
      </c>
      <c r="D981" s="1">
        <v>1</v>
      </c>
      <c r="E981" s="1">
        <v>256.42</v>
      </c>
      <c r="F981" s="1">
        <v>23</v>
      </c>
      <c r="G981" s="1" t="s">
        <v>29</v>
      </c>
      <c r="H981" s="1">
        <v>751</v>
      </c>
      <c r="K981" s="1" t="s">
        <v>100</v>
      </c>
      <c r="L981" s="1" t="s">
        <v>245</v>
      </c>
      <c r="M981" s="1" t="s">
        <v>246</v>
      </c>
      <c r="N981" s="1" t="s">
        <v>253</v>
      </c>
      <c r="O981" s="1">
        <v>140</v>
      </c>
      <c r="P981" s="1" t="s">
        <v>175</v>
      </c>
    </row>
    <row r="982" spans="1:16">
      <c r="A982" s="7">
        <v>39862</v>
      </c>
      <c r="B982" s="1">
        <v>366</v>
      </c>
      <c r="C982" s="1" t="s">
        <v>234</v>
      </c>
      <c r="D982" s="1">
        <v>4</v>
      </c>
      <c r="E982" s="1">
        <v>546.49</v>
      </c>
      <c r="F982" s="1">
        <v>23</v>
      </c>
      <c r="G982" s="1" t="s">
        <v>29</v>
      </c>
      <c r="H982" s="1">
        <v>1754</v>
      </c>
      <c r="K982" s="1" t="s">
        <v>80</v>
      </c>
      <c r="L982" s="1" t="s">
        <v>245</v>
      </c>
      <c r="M982" s="1" t="s">
        <v>246</v>
      </c>
      <c r="N982" s="1" t="s">
        <v>253</v>
      </c>
      <c r="O982" s="1">
        <v>2000</v>
      </c>
      <c r="P982" s="1" t="s">
        <v>175</v>
      </c>
    </row>
    <row r="983" spans="1:16">
      <c r="A983" s="7">
        <v>39862</v>
      </c>
      <c r="B983" s="1">
        <v>367</v>
      </c>
      <c r="C983" s="1" t="s">
        <v>234</v>
      </c>
      <c r="D983" s="1">
        <v>4</v>
      </c>
      <c r="E983" s="1">
        <v>202.78</v>
      </c>
      <c r="F983" s="1">
        <v>23</v>
      </c>
      <c r="G983" s="1" t="s">
        <v>29</v>
      </c>
      <c r="H983" s="1">
        <v>1626</v>
      </c>
      <c r="K983" s="1" t="s">
        <v>98</v>
      </c>
      <c r="L983" s="1" t="s">
        <v>245</v>
      </c>
      <c r="M983" s="1" t="s">
        <v>246</v>
      </c>
      <c r="N983" s="1" t="s">
        <v>253</v>
      </c>
      <c r="O983" s="1">
        <v>1701.51</v>
      </c>
      <c r="P983" s="1" t="s">
        <v>175</v>
      </c>
    </row>
    <row r="984" spans="1:16">
      <c r="A984" s="7">
        <v>39862</v>
      </c>
      <c r="B984" s="1">
        <v>368</v>
      </c>
      <c r="C984" s="1" t="s">
        <v>234</v>
      </c>
      <c r="D984" s="1">
        <v>4</v>
      </c>
      <c r="E984" s="1">
        <v>314.68</v>
      </c>
      <c r="F984" s="1">
        <v>23</v>
      </c>
      <c r="G984" s="1" t="s">
        <v>29</v>
      </c>
      <c r="H984" s="1">
        <v>349</v>
      </c>
      <c r="K984" s="1" t="s">
        <v>116</v>
      </c>
      <c r="L984" s="1" t="s">
        <v>245</v>
      </c>
      <c r="M984" s="1" t="s">
        <v>246</v>
      </c>
      <c r="N984" s="1" t="s">
        <v>255</v>
      </c>
      <c r="O984" s="1">
        <v>78.900000000000006</v>
      </c>
      <c r="P984" s="1" t="s">
        <v>177</v>
      </c>
    </row>
    <row r="985" spans="1:16">
      <c r="A985" s="7">
        <v>40043</v>
      </c>
      <c r="B985" s="1">
        <v>880</v>
      </c>
      <c r="C985" s="1" t="s">
        <v>234</v>
      </c>
      <c r="D985" s="1">
        <v>1</v>
      </c>
      <c r="E985" s="1">
        <v>258.73</v>
      </c>
      <c r="F985" s="1">
        <v>23</v>
      </c>
      <c r="G985" s="1" t="s">
        <v>6</v>
      </c>
      <c r="H985" s="1">
        <v>1766</v>
      </c>
      <c r="K985" s="1" t="s">
        <v>86</v>
      </c>
      <c r="L985" s="1" t="s">
        <v>245</v>
      </c>
      <c r="M985" s="1" t="s">
        <v>246</v>
      </c>
      <c r="N985" s="1" t="s">
        <v>254</v>
      </c>
      <c r="O985" s="1">
        <v>27.34</v>
      </c>
      <c r="P985" s="1" t="s">
        <v>178</v>
      </c>
    </row>
    <row r="986" spans="1:16">
      <c r="A986" s="7">
        <v>40074</v>
      </c>
      <c r="B986" s="1">
        <v>1123</v>
      </c>
      <c r="C986" s="1" t="s">
        <v>234</v>
      </c>
      <c r="D986" s="1">
        <v>4</v>
      </c>
      <c r="E986" s="1">
        <v>901.5</v>
      </c>
      <c r="F986" s="1">
        <v>23</v>
      </c>
      <c r="G986" s="1" t="s">
        <v>7</v>
      </c>
      <c r="H986" s="1">
        <v>2112</v>
      </c>
      <c r="K986" s="1" t="s">
        <v>109</v>
      </c>
      <c r="L986" s="1" t="s">
        <v>245</v>
      </c>
      <c r="M986" s="1" t="s">
        <v>246</v>
      </c>
      <c r="N986" s="1" t="s">
        <v>254</v>
      </c>
      <c r="O986" s="1">
        <v>4.2</v>
      </c>
      <c r="P986" s="1" t="s">
        <v>178</v>
      </c>
    </row>
    <row r="987" spans="1:16">
      <c r="A987" s="7">
        <v>40074</v>
      </c>
      <c r="B987" s="1">
        <v>1127</v>
      </c>
      <c r="C987" s="1" t="s">
        <v>234</v>
      </c>
      <c r="D987" s="1">
        <v>8</v>
      </c>
      <c r="E987" s="1">
        <v>109.72</v>
      </c>
      <c r="F987" s="1">
        <v>23</v>
      </c>
      <c r="G987" s="1" t="s">
        <v>8</v>
      </c>
      <c r="H987" s="1">
        <v>1456</v>
      </c>
      <c r="K987" s="1" t="s">
        <v>79</v>
      </c>
      <c r="L987" s="1" t="s">
        <v>245</v>
      </c>
      <c r="M987" s="1" t="s">
        <v>246</v>
      </c>
      <c r="N987" s="1" t="s">
        <v>251</v>
      </c>
      <c r="O987" s="1">
        <v>3</v>
      </c>
      <c r="P987" s="1" t="s">
        <v>178</v>
      </c>
    </row>
    <row r="988" spans="1:16">
      <c r="A988" s="7">
        <v>40074</v>
      </c>
      <c r="B988" s="1">
        <v>1176</v>
      </c>
      <c r="C988" s="1" t="s">
        <v>234</v>
      </c>
      <c r="D988" s="1">
        <v>8</v>
      </c>
      <c r="E988" s="1">
        <v>0.01</v>
      </c>
      <c r="F988" s="1">
        <v>23</v>
      </c>
      <c r="G988" s="1" t="s">
        <v>8</v>
      </c>
      <c r="H988" s="1">
        <v>1456</v>
      </c>
      <c r="K988" s="1" t="s">
        <v>83</v>
      </c>
      <c r="L988" s="1" t="s">
        <v>245</v>
      </c>
      <c r="M988" s="1" t="s">
        <v>246</v>
      </c>
      <c r="N988" s="1" t="s">
        <v>252</v>
      </c>
      <c r="O988" s="1">
        <v>95.41</v>
      </c>
      <c r="P988" s="1" t="s">
        <v>178</v>
      </c>
    </row>
    <row r="989" spans="1:16">
      <c r="A989" s="7">
        <v>40074</v>
      </c>
      <c r="B989" s="1">
        <v>1129</v>
      </c>
      <c r="C989" s="1" t="s">
        <v>234</v>
      </c>
      <c r="D989" s="1">
        <v>4</v>
      </c>
      <c r="E989" s="1">
        <v>164.59</v>
      </c>
      <c r="F989" s="1">
        <v>23</v>
      </c>
      <c r="G989" s="1" t="s">
        <v>9</v>
      </c>
      <c r="H989" s="1">
        <v>1133</v>
      </c>
      <c r="K989" s="1" t="s">
        <v>83</v>
      </c>
      <c r="L989" s="1" t="s">
        <v>245</v>
      </c>
      <c r="M989" s="1" t="s">
        <v>246</v>
      </c>
      <c r="N989" s="1" t="s">
        <v>252</v>
      </c>
      <c r="O989" s="1">
        <v>31.1</v>
      </c>
      <c r="P989" s="1" t="s">
        <v>178</v>
      </c>
    </row>
    <row r="990" spans="1:16">
      <c r="A990" s="7">
        <v>40074</v>
      </c>
      <c r="B990" s="1">
        <v>1123</v>
      </c>
      <c r="C990" s="1" t="s">
        <v>234</v>
      </c>
      <c r="D990" s="1">
        <v>4</v>
      </c>
      <c r="E990" s="1">
        <v>78</v>
      </c>
      <c r="F990" s="1">
        <v>23</v>
      </c>
      <c r="G990" s="1" t="s">
        <v>11</v>
      </c>
      <c r="H990" s="1">
        <v>2112</v>
      </c>
      <c r="K990" s="1" t="s">
        <v>88</v>
      </c>
      <c r="L990" s="1" t="s">
        <v>245</v>
      </c>
      <c r="M990" s="1" t="s">
        <v>246</v>
      </c>
      <c r="N990" s="1" t="s">
        <v>252</v>
      </c>
      <c r="O990" s="1">
        <v>5.9</v>
      </c>
      <c r="P990" s="1" t="s">
        <v>178</v>
      </c>
    </row>
    <row r="991" spans="1:16">
      <c r="A991" s="7">
        <v>40074</v>
      </c>
      <c r="B991" s="1">
        <v>1158</v>
      </c>
      <c r="C991" s="1" t="s">
        <v>235</v>
      </c>
      <c r="D991" s="1">
        <v>1</v>
      </c>
      <c r="E991" s="1">
        <v>700.85</v>
      </c>
      <c r="F991" s="1">
        <v>23</v>
      </c>
      <c r="G991" s="1" t="s">
        <v>5</v>
      </c>
      <c r="H991" s="1">
        <v>2118</v>
      </c>
      <c r="K991" s="1" t="s">
        <v>88</v>
      </c>
      <c r="L991" s="1" t="s">
        <v>245</v>
      </c>
      <c r="M991" s="1" t="s">
        <v>246</v>
      </c>
      <c r="N991" s="1" t="s">
        <v>252</v>
      </c>
      <c r="O991" s="1">
        <v>6.2</v>
      </c>
      <c r="P991" s="1" t="s">
        <v>178</v>
      </c>
    </row>
    <row r="992" spans="1:16">
      <c r="A992" s="7">
        <v>40074</v>
      </c>
      <c r="B992" s="1">
        <v>1159</v>
      </c>
      <c r="C992" s="1" t="s">
        <v>234</v>
      </c>
      <c r="D992" s="1">
        <v>4</v>
      </c>
      <c r="E992" s="1">
        <v>437.44</v>
      </c>
      <c r="F992" s="1">
        <v>23</v>
      </c>
      <c r="G992" s="1" t="s">
        <v>5</v>
      </c>
      <c r="H992" s="1">
        <v>424</v>
      </c>
      <c r="K992" s="1" t="s">
        <v>90</v>
      </c>
      <c r="L992" s="1" t="s">
        <v>245</v>
      </c>
      <c r="M992" s="1" t="s">
        <v>246</v>
      </c>
      <c r="N992" s="1" t="s">
        <v>255</v>
      </c>
      <c r="O992" s="1">
        <v>442.1</v>
      </c>
      <c r="P992" s="1" t="s">
        <v>179</v>
      </c>
    </row>
    <row r="993" spans="1:16">
      <c r="A993" s="7">
        <v>40074</v>
      </c>
      <c r="B993" s="1">
        <v>1173</v>
      </c>
      <c r="C993" s="1" t="s">
        <v>234</v>
      </c>
      <c r="D993" s="1">
        <v>4</v>
      </c>
      <c r="E993" s="1">
        <v>80</v>
      </c>
      <c r="F993" s="1">
        <v>23</v>
      </c>
      <c r="G993" s="1" t="s">
        <v>18</v>
      </c>
      <c r="H993" s="1">
        <v>1521</v>
      </c>
      <c r="K993" s="1" t="s">
        <v>92</v>
      </c>
      <c r="L993" s="1" t="s">
        <v>245</v>
      </c>
      <c r="M993" s="1" t="s">
        <v>246</v>
      </c>
      <c r="N993" s="1" t="s">
        <v>255</v>
      </c>
      <c r="O993" s="1">
        <v>3466.19</v>
      </c>
      <c r="P993" s="1" t="s">
        <v>179</v>
      </c>
    </row>
    <row r="994" spans="1:16">
      <c r="A994" s="7">
        <v>40074</v>
      </c>
      <c r="B994" s="1">
        <v>1174</v>
      </c>
      <c r="C994" s="1" t="s">
        <v>234</v>
      </c>
      <c r="D994" s="1">
        <v>4</v>
      </c>
      <c r="E994" s="1">
        <v>15</v>
      </c>
      <c r="F994" s="1">
        <v>23</v>
      </c>
      <c r="G994" s="1" t="s">
        <v>18</v>
      </c>
      <c r="H994" s="1">
        <v>1133</v>
      </c>
      <c r="K994" s="1" t="s">
        <v>63</v>
      </c>
      <c r="L994" s="1" t="s">
        <v>242</v>
      </c>
      <c r="M994" s="1" t="s">
        <v>243</v>
      </c>
      <c r="N994" s="1" t="s">
        <v>244</v>
      </c>
      <c r="O994" s="1">
        <v>23092.82</v>
      </c>
      <c r="P994" s="1" t="s">
        <v>180</v>
      </c>
    </row>
    <row r="995" spans="1:16">
      <c r="A995" s="7">
        <v>40074</v>
      </c>
      <c r="B995" s="1">
        <v>1175</v>
      </c>
      <c r="C995" s="1" t="s">
        <v>235</v>
      </c>
      <c r="D995" s="1">
        <v>1</v>
      </c>
      <c r="E995" s="1">
        <v>111.9</v>
      </c>
      <c r="F995" s="1">
        <v>23</v>
      </c>
      <c r="G995" s="1" t="s">
        <v>30</v>
      </c>
      <c r="H995" s="1">
        <v>1828</v>
      </c>
      <c r="K995" s="1" t="s">
        <v>63</v>
      </c>
      <c r="L995" s="1" t="s">
        <v>242</v>
      </c>
      <c r="M995" s="1" t="s">
        <v>243</v>
      </c>
      <c r="N995" s="1" t="s">
        <v>244</v>
      </c>
      <c r="O995" s="1">
        <v>13709.89</v>
      </c>
      <c r="P995" s="1" t="s">
        <v>180</v>
      </c>
    </row>
    <row r="996" spans="1:16">
      <c r="A996" s="7">
        <v>40135</v>
      </c>
      <c r="B996" s="1">
        <v>1525</v>
      </c>
      <c r="C996" s="1" t="s">
        <v>234</v>
      </c>
      <c r="D996" s="1">
        <v>4</v>
      </c>
      <c r="E996" s="1">
        <v>34</v>
      </c>
      <c r="F996" s="1">
        <v>23</v>
      </c>
      <c r="G996" s="1" t="s">
        <v>32</v>
      </c>
      <c r="H996" s="1">
        <v>79</v>
      </c>
      <c r="K996" s="1" t="s">
        <v>63</v>
      </c>
      <c r="L996" s="1" t="s">
        <v>242</v>
      </c>
      <c r="M996" s="1" t="s">
        <v>243</v>
      </c>
      <c r="N996" s="1" t="s">
        <v>244</v>
      </c>
      <c r="O996" s="1">
        <v>-2407.9899999999998</v>
      </c>
      <c r="P996" s="1" t="s">
        <v>180</v>
      </c>
    </row>
    <row r="997" spans="1:16">
      <c r="A997" s="7">
        <v>40135</v>
      </c>
      <c r="B997" s="1">
        <v>1512</v>
      </c>
      <c r="C997" s="1" t="s">
        <v>234</v>
      </c>
      <c r="D997" s="1">
        <v>3</v>
      </c>
      <c r="E997" s="1">
        <v>1000</v>
      </c>
      <c r="F997" s="1">
        <v>23</v>
      </c>
      <c r="G997" s="1" t="s">
        <v>43</v>
      </c>
      <c r="H997" s="1">
        <v>0</v>
      </c>
      <c r="K997" s="1" t="s">
        <v>63</v>
      </c>
      <c r="L997" s="1" t="s">
        <v>242</v>
      </c>
      <c r="M997" s="1" t="s">
        <v>243</v>
      </c>
      <c r="N997" s="1" t="s">
        <v>244</v>
      </c>
      <c r="O997" s="1">
        <v>33229.5</v>
      </c>
      <c r="P997" s="1" t="s">
        <v>180</v>
      </c>
    </row>
    <row r="998" spans="1:16">
      <c r="A998" s="7">
        <v>40165</v>
      </c>
      <c r="B998" s="1">
        <v>1553</v>
      </c>
      <c r="C998" s="1" t="s">
        <v>234</v>
      </c>
      <c r="D998" s="1">
        <v>4</v>
      </c>
      <c r="E998" s="1">
        <v>61.82</v>
      </c>
      <c r="F998" s="1">
        <v>23</v>
      </c>
      <c r="G998" s="1" t="s">
        <v>48</v>
      </c>
      <c r="H998" s="1">
        <v>156</v>
      </c>
      <c r="K998" s="1" t="s">
        <v>63</v>
      </c>
      <c r="L998" s="1" t="s">
        <v>242</v>
      </c>
      <c r="M998" s="1" t="s">
        <v>243</v>
      </c>
      <c r="N998" s="1" t="s">
        <v>244</v>
      </c>
      <c r="O998" s="1">
        <v>12670.6</v>
      </c>
      <c r="P998" s="1" t="s">
        <v>180</v>
      </c>
    </row>
    <row r="999" spans="1:16">
      <c r="A999" s="7">
        <v>39832</v>
      </c>
      <c r="B999" s="1">
        <v>27</v>
      </c>
      <c r="C999" s="1" t="s">
        <v>234</v>
      </c>
      <c r="D999" s="1">
        <v>4</v>
      </c>
      <c r="E999" s="1">
        <v>150</v>
      </c>
      <c r="F999" s="1">
        <v>23</v>
      </c>
      <c r="G999" s="1" t="s">
        <v>41</v>
      </c>
      <c r="H999" s="1">
        <v>1995</v>
      </c>
      <c r="K999" s="1" t="s">
        <v>65</v>
      </c>
      <c r="L999" s="1" t="s">
        <v>242</v>
      </c>
      <c r="M999" s="1" t="s">
        <v>243</v>
      </c>
      <c r="N999" s="1" t="s">
        <v>244</v>
      </c>
      <c r="O999" s="1">
        <v>9221.1200000000008</v>
      </c>
      <c r="P999" s="1" t="s">
        <v>180</v>
      </c>
    </row>
    <row r="1000" spans="1:16">
      <c r="A1000" s="7">
        <v>39832</v>
      </c>
      <c r="B1000" s="1">
        <v>28</v>
      </c>
      <c r="C1000" s="1" t="s">
        <v>234</v>
      </c>
      <c r="D1000" s="1">
        <v>3</v>
      </c>
      <c r="E1000" s="1">
        <v>150</v>
      </c>
      <c r="F1000" s="1">
        <v>23</v>
      </c>
      <c r="G1000" s="1" t="s">
        <v>41</v>
      </c>
      <c r="H1000" s="1">
        <v>454</v>
      </c>
      <c r="K1000" s="1" t="s">
        <v>66</v>
      </c>
      <c r="L1000" s="1" t="s">
        <v>242</v>
      </c>
      <c r="M1000" s="1" t="s">
        <v>243</v>
      </c>
      <c r="N1000" s="1" t="s">
        <v>244</v>
      </c>
      <c r="O1000" s="1">
        <v>1307.22</v>
      </c>
      <c r="P1000" s="1" t="s">
        <v>180</v>
      </c>
    </row>
    <row r="1001" spans="1:16">
      <c r="A1001" s="7">
        <v>39832</v>
      </c>
      <c r="B1001" s="1">
        <v>29</v>
      </c>
      <c r="C1001" s="1" t="s">
        <v>234</v>
      </c>
      <c r="D1001" s="1">
        <v>3</v>
      </c>
      <c r="E1001" s="1">
        <v>150</v>
      </c>
      <c r="F1001" s="1">
        <v>23</v>
      </c>
      <c r="G1001" s="1" t="s">
        <v>41</v>
      </c>
      <c r="H1001" s="1">
        <v>1996</v>
      </c>
      <c r="K1001" s="1" t="s">
        <v>66</v>
      </c>
      <c r="L1001" s="1" t="s">
        <v>242</v>
      </c>
      <c r="M1001" s="1" t="s">
        <v>243</v>
      </c>
      <c r="N1001" s="1" t="s">
        <v>244</v>
      </c>
      <c r="O1001" s="1">
        <v>1840.75</v>
      </c>
      <c r="P1001" s="1" t="s">
        <v>180</v>
      </c>
    </row>
    <row r="1002" spans="1:16">
      <c r="A1002" s="7">
        <v>39832</v>
      </c>
      <c r="B1002" s="1">
        <v>30</v>
      </c>
      <c r="C1002" s="1" t="s">
        <v>234</v>
      </c>
      <c r="D1002" s="1">
        <v>3</v>
      </c>
      <c r="E1002" s="1">
        <v>150</v>
      </c>
      <c r="F1002" s="1">
        <v>23</v>
      </c>
      <c r="G1002" s="1" t="s">
        <v>41</v>
      </c>
      <c r="H1002" s="1">
        <v>1997</v>
      </c>
      <c r="K1002" s="1" t="s">
        <v>66</v>
      </c>
      <c r="L1002" s="1" t="s">
        <v>242</v>
      </c>
      <c r="M1002" s="1" t="s">
        <v>243</v>
      </c>
      <c r="N1002" s="1" t="s">
        <v>244</v>
      </c>
      <c r="O1002" s="1">
        <v>3627.32</v>
      </c>
      <c r="P1002" s="1" t="s">
        <v>180</v>
      </c>
    </row>
    <row r="1003" spans="1:16">
      <c r="A1003" s="7">
        <v>39832</v>
      </c>
      <c r="B1003" s="1">
        <v>37</v>
      </c>
      <c r="C1003" s="1" t="s">
        <v>234</v>
      </c>
      <c r="D1003" s="1">
        <v>3</v>
      </c>
      <c r="E1003" s="1">
        <v>150</v>
      </c>
      <c r="F1003" s="1">
        <v>23</v>
      </c>
      <c r="G1003" s="1" t="s">
        <v>41</v>
      </c>
      <c r="H1003" s="1">
        <v>0</v>
      </c>
      <c r="K1003" s="1" t="s">
        <v>67</v>
      </c>
      <c r="L1003" s="1" t="s">
        <v>242</v>
      </c>
      <c r="M1003" s="1" t="s">
        <v>243</v>
      </c>
      <c r="N1003" s="1" t="s">
        <v>244</v>
      </c>
      <c r="O1003" s="1">
        <v>1885.47</v>
      </c>
      <c r="P1003" s="1" t="s">
        <v>180</v>
      </c>
    </row>
    <row r="1004" spans="1:16">
      <c r="A1004" s="7">
        <v>39832</v>
      </c>
      <c r="B1004" s="1">
        <v>47</v>
      </c>
      <c r="C1004" s="1" t="s">
        <v>234</v>
      </c>
      <c r="D1004" s="1">
        <v>3</v>
      </c>
      <c r="E1004" s="1">
        <v>150</v>
      </c>
      <c r="F1004" s="1">
        <v>23</v>
      </c>
      <c r="G1004" s="1" t="s">
        <v>41</v>
      </c>
      <c r="H1004" s="1">
        <v>437</v>
      </c>
      <c r="K1004" s="1" t="s">
        <v>67</v>
      </c>
      <c r="L1004" s="1" t="s">
        <v>242</v>
      </c>
      <c r="M1004" s="1" t="s">
        <v>243</v>
      </c>
      <c r="N1004" s="1" t="s">
        <v>244</v>
      </c>
      <c r="O1004" s="1">
        <v>948.89</v>
      </c>
      <c r="P1004" s="1" t="s">
        <v>180</v>
      </c>
    </row>
    <row r="1005" spans="1:16">
      <c r="A1005" s="7">
        <v>39863</v>
      </c>
      <c r="B1005" s="1">
        <v>377</v>
      </c>
      <c r="C1005" s="1" t="s">
        <v>234</v>
      </c>
      <c r="D1005" s="1">
        <v>1</v>
      </c>
      <c r="E1005" s="1">
        <v>408.2</v>
      </c>
      <c r="F1005" s="1">
        <v>23</v>
      </c>
      <c r="G1005" s="1" t="s">
        <v>13</v>
      </c>
      <c r="H1005" s="1">
        <v>1834</v>
      </c>
      <c r="K1005" s="1" t="s">
        <v>67</v>
      </c>
      <c r="L1005" s="1" t="s">
        <v>242</v>
      </c>
      <c r="M1005" s="1" t="s">
        <v>243</v>
      </c>
      <c r="N1005" s="1" t="s">
        <v>244</v>
      </c>
      <c r="O1005" s="1">
        <v>4137.8500000000004</v>
      </c>
      <c r="P1005" s="1" t="s">
        <v>180</v>
      </c>
    </row>
    <row r="1006" spans="1:16">
      <c r="A1006" s="7">
        <v>39863</v>
      </c>
      <c r="B1006" s="1">
        <v>374</v>
      </c>
      <c r="C1006" s="1" t="s">
        <v>234</v>
      </c>
      <c r="D1006" s="1">
        <v>4</v>
      </c>
      <c r="E1006" s="1">
        <v>816.31</v>
      </c>
      <c r="F1006" s="1">
        <v>23</v>
      </c>
      <c r="G1006" s="1" t="s">
        <v>29</v>
      </c>
      <c r="H1006" s="1">
        <v>106</v>
      </c>
      <c r="K1006" s="1" t="s">
        <v>67</v>
      </c>
      <c r="L1006" s="1" t="s">
        <v>242</v>
      </c>
      <c r="M1006" s="1" t="s">
        <v>243</v>
      </c>
      <c r="N1006" s="1" t="s">
        <v>244</v>
      </c>
      <c r="O1006" s="1">
        <v>466.9</v>
      </c>
      <c r="P1006" s="1" t="s">
        <v>180</v>
      </c>
    </row>
    <row r="1007" spans="1:16">
      <c r="A1007" s="7">
        <v>39863</v>
      </c>
      <c r="B1007" s="1">
        <v>375</v>
      </c>
      <c r="C1007" s="1" t="s">
        <v>234</v>
      </c>
      <c r="D1007" s="1">
        <v>4</v>
      </c>
      <c r="E1007" s="1">
        <v>540.97</v>
      </c>
      <c r="F1007" s="1">
        <v>23</v>
      </c>
      <c r="G1007" s="1" t="s">
        <v>29</v>
      </c>
      <c r="H1007" s="1">
        <v>630</v>
      </c>
      <c r="K1007" s="1" t="s">
        <v>68</v>
      </c>
      <c r="L1007" s="1" t="s">
        <v>242</v>
      </c>
      <c r="M1007" s="1" t="s">
        <v>243</v>
      </c>
      <c r="N1007" s="1" t="s">
        <v>244</v>
      </c>
      <c r="O1007" s="1">
        <v>3247.28</v>
      </c>
      <c r="P1007" s="1" t="s">
        <v>180</v>
      </c>
    </row>
    <row r="1008" spans="1:16">
      <c r="A1008" s="7">
        <v>39863</v>
      </c>
      <c r="B1008" s="1">
        <v>378</v>
      </c>
      <c r="C1008" s="1" t="s">
        <v>234</v>
      </c>
      <c r="D1008" s="1">
        <v>3</v>
      </c>
      <c r="E1008" s="1">
        <v>335.44</v>
      </c>
      <c r="F1008" s="1">
        <v>23</v>
      </c>
      <c r="G1008" s="1" t="s">
        <v>29</v>
      </c>
      <c r="H1008" s="1">
        <v>57</v>
      </c>
      <c r="K1008" s="1" t="s">
        <v>68</v>
      </c>
      <c r="L1008" s="1" t="s">
        <v>242</v>
      </c>
      <c r="M1008" s="1" t="s">
        <v>243</v>
      </c>
      <c r="N1008" s="1" t="s">
        <v>244</v>
      </c>
      <c r="O1008" s="1">
        <v>1592.64</v>
      </c>
      <c r="P1008" s="1" t="s">
        <v>180</v>
      </c>
    </row>
    <row r="1009" spans="1:16">
      <c r="A1009" s="7">
        <v>39863</v>
      </c>
      <c r="B1009" s="1">
        <v>379</v>
      </c>
      <c r="C1009" s="1" t="s">
        <v>234</v>
      </c>
      <c r="D1009" s="1">
        <v>3</v>
      </c>
      <c r="E1009" s="1">
        <v>605.38</v>
      </c>
      <c r="F1009" s="1">
        <v>23</v>
      </c>
      <c r="G1009" s="1" t="s">
        <v>29</v>
      </c>
      <c r="H1009" s="1">
        <v>79</v>
      </c>
      <c r="K1009" s="1" t="s">
        <v>68</v>
      </c>
      <c r="L1009" s="1" t="s">
        <v>242</v>
      </c>
      <c r="M1009" s="1" t="s">
        <v>243</v>
      </c>
      <c r="N1009" s="1" t="s">
        <v>244</v>
      </c>
      <c r="O1009" s="1">
        <v>4857.87</v>
      </c>
      <c r="P1009" s="1" t="s">
        <v>180</v>
      </c>
    </row>
    <row r="1010" spans="1:16">
      <c r="A1010" s="7">
        <v>39863</v>
      </c>
      <c r="B1010" s="1">
        <v>380</v>
      </c>
      <c r="C1010" s="1" t="s">
        <v>234</v>
      </c>
      <c r="D1010" s="1">
        <v>4</v>
      </c>
      <c r="E1010" s="1">
        <v>370.63</v>
      </c>
      <c r="F1010" s="1">
        <v>23</v>
      </c>
      <c r="G1010" s="1" t="s">
        <v>29</v>
      </c>
      <c r="H1010" s="1">
        <v>1247</v>
      </c>
      <c r="K1010" s="1" t="s">
        <v>68</v>
      </c>
      <c r="L1010" s="1" t="s">
        <v>242</v>
      </c>
      <c r="M1010" s="1" t="s">
        <v>243</v>
      </c>
      <c r="N1010" s="1" t="s">
        <v>244</v>
      </c>
      <c r="O1010" s="1">
        <v>1707.91</v>
      </c>
      <c r="P1010" s="1" t="s">
        <v>180</v>
      </c>
    </row>
    <row r="1011" spans="1:16">
      <c r="A1011" s="7">
        <v>39863</v>
      </c>
      <c r="B1011" s="1">
        <v>381</v>
      </c>
      <c r="C1011" s="1" t="s">
        <v>235</v>
      </c>
      <c r="D1011" s="1">
        <v>1</v>
      </c>
      <c r="E1011" s="1">
        <v>414.46</v>
      </c>
      <c r="F1011" s="1">
        <v>23</v>
      </c>
      <c r="G1011" s="1" t="s">
        <v>29</v>
      </c>
      <c r="H1011" s="1">
        <v>475</v>
      </c>
      <c r="K1011" s="1" t="s">
        <v>69</v>
      </c>
      <c r="L1011" s="1" t="s">
        <v>242</v>
      </c>
      <c r="M1011" s="1" t="s">
        <v>243</v>
      </c>
      <c r="N1011" s="1" t="s">
        <v>244</v>
      </c>
      <c r="O1011" s="1">
        <v>1198.76</v>
      </c>
      <c r="P1011" s="1" t="s">
        <v>180</v>
      </c>
    </row>
    <row r="1012" spans="1:16">
      <c r="A1012" s="7">
        <v>39863</v>
      </c>
      <c r="B1012" s="1">
        <v>382</v>
      </c>
      <c r="C1012" s="1" t="s">
        <v>235</v>
      </c>
      <c r="D1012" s="1">
        <v>1</v>
      </c>
      <c r="E1012" s="1">
        <v>202.78</v>
      </c>
      <c r="F1012" s="1">
        <v>23</v>
      </c>
      <c r="G1012" s="1" t="s">
        <v>29</v>
      </c>
      <c r="H1012" s="1">
        <v>109</v>
      </c>
      <c r="K1012" s="1" t="s">
        <v>70</v>
      </c>
      <c r="L1012" s="1" t="s">
        <v>242</v>
      </c>
      <c r="M1012" s="1" t="s">
        <v>243</v>
      </c>
      <c r="N1012" s="1" t="s">
        <v>244</v>
      </c>
      <c r="O1012" s="1">
        <v>169.95</v>
      </c>
      <c r="P1012" s="1" t="s">
        <v>180</v>
      </c>
    </row>
    <row r="1013" spans="1:16">
      <c r="A1013" s="7">
        <v>39863</v>
      </c>
      <c r="B1013" s="1">
        <v>383</v>
      </c>
      <c r="C1013" s="1" t="s">
        <v>234</v>
      </c>
      <c r="D1013" s="1">
        <v>4</v>
      </c>
      <c r="E1013" s="1">
        <v>230.75</v>
      </c>
      <c r="F1013" s="1">
        <v>23</v>
      </c>
      <c r="G1013" s="1" t="s">
        <v>29</v>
      </c>
      <c r="H1013" s="1">
        <v>1267</v>
      </c>
      <c r="K1013" s="1" t="s">
        <v>70</v>
      </c>
      <c r="L1013" s="1" t="s">
        <v>242</v>
      </c>
      <c r="M1013" s="1" t="s">
        <v>243</v>
      </c>
      <c r="N1013" s="1" t="s">
        <v>244</v>
      </c>
      <c r="O1013" s="1">
        <v>239.31</v>
      </c>
      <c r="P1013" s="1" t="s">
        <v>180</v>
      </c>
    </row>
    <row r="1014" spans="1:16">
      <c r="A1014" s="7">
        <v>39863</v>
      </c>
      <c r="B1014" s="1">
        <v>384</v>
      </c>
      <c r="C1014" s="1" t="s">
        <v>234</v>
      </c>
      <c r="D1014" s="1">
        <v>3</v>
      </c>
      <c r="E1014" s="1">
        <v>572.5</v>
      </c>
      <c r="F1014" s="1">
        <v>23</v>
      </c>
      <c r="G1014" s="1" t="s">
        <v>29</v>
      </c>
      <c r="H1014" s="1">
        <v>743</v>
      </c>
      <c r="K1014" s="1" t="s">
        <v>70</v>
      </c>
      <c r="L1014" s="1" t="s">
        <v>242</v>
      </c>
      <c r="M1014" s="1" t="s">
        <v>243</v>
      </c>
      <c r="N1014" s="1" t="s">
        <v>244</v>
      </c>
      <c r="O1014" s="1">
        <v>471.57</v>
      </c>
      <c r="P1014" s="1" t="s">
        <v>180</v>
      </c>
    </row>
    <row r="1015" spans="1:16">
      <c r="A1015" s="7">
        <v>39863</v>
      </c>
      <c r="B1015" s="1">
        <v>386</v>
      </c>
      <c r="C1015" s="1" t="s">
        <v>234</v>
      </c>
      <c r="D1015" s="1">
        <v>3</v>
      </c>
      <c r="E1015" s="1">
        <v>275.26</v>
      </c>
      <c r="F1015" s="1">
        <v>23</v>
      </c>
      <c r="G1015" s="1" t="s">
        <v>29</v>
      </c>
      <c r="H1015" s="1">
        <v>645</v>
      </c>
      <c r="K1015" s="1" t="s">
        <v>71</v>
      </c>
      <c r="L1015" s="1" t="s">
        <v>242</v>
      </c>
      <c r="M1015" s="1" t="s">
        <v>243</v>
      </c>
      <c r="N1015" s="1" t="s">
        <v>244</v>
      </c>
      <c r="O1015" s="1">
        <v>341.94</v>
      </c>
      <c r="P1015" s="1" t="s">
        <v>180</v>
      </c>
    </row>
    <row r="1016" spans="1:16">
      <c r="A1016" s="7">
        <v>39863</v>
      </c>
      <c r="B1016" s="1">
        <v>371</v>
      </c>
      <c r="C1016" s="1" t="s">
        <v>234</v>
      </c>
      <c r="D1016" s="1">
        <v>2</v>
      </c>
      <c r="E1016" s="1">
        <v>75</v>
      </c>
      <c r="F1016" s="1">
        <v>23</v>
      </c>
      <c r="G1016" s="1" t="s">
        <v>21</v>
      </c>
      <c r="H1016" s="1">
        <v>2022</v>
      </c>
      <c r="K1016" s="1" t="s">
        <v>71</v>
      </c>
      <c r="L1016" s="1" t="s">
        <v>242</v>
      </c>
      <c r="M1016" s="1" t="s">
        <v>243</v>
      </c>
      <c r="N1016" s="1" t="s">
        <v>244</v>
      </c>
      <c r="O1016" s="1">
        <v>122.49</v>
      </c>
      <c r="P1016" s="1" t="s">
        <v>180</v>
      </c>
    </row>
    <row r="1017" spans="1:16">
      <c r="A1017" s="7">
        <v>39863</v>
      </c>
      <c r="B1017" s="1">
        <v>372</v>
      </c>
      <c r="C1017" s="1" t="s">
        <v>234</v>
      </c>
      <c r="D1017" s="1">
        <v>2</v>
      </c>
      <c r="E1017" s="1">
        <v>75</v>
      </c>
      <c r="F1017" s="1">
        <v>23</v>
      </c>
      <c r="G1017" s="1" t="s">
        <v>21</v>
      </c>
      <c r="H1017" s="1">
        <v>2023</v>
      </c>
      <c r="K1017" s="1" t="s">
        <v>71</v>
      </c>
      <c r="L1017" s="1" t="s">
        <v>242</v>
      </c>
      <c r="M1017" s="1" t="s">
        <v>243</v>
      </c>
      <c r="N1017" s="1" t="s">
        <v>244</v>
      </c>
      <c r="O1017" s="1">
        <v>373.62</v>
      </c>
      <c r="P1017" s="1" t="s">
        <v>180</v>
      </c>
    </row>
    <row r="1018" spans="1:16">
      <c r="A1018" s="7">
        <v>39863</v>
      </c>
      <c r="B1018" s="1">
        <v>373</v>
      </c>
      <c r="C1018" s="1" t="s">
        <v>234</v>
      </c>
      <c r="D1018" s="1">
        <v>2</v>
      </c>
      <c r="E1018" s="1">
        <v>75</v>
      </c>
      <c r="F1018" s="1">
        <v>23</v>
      </c>
      <c r="G1018" s="1" t="s">
        <v>21</v>
      </c>
      <c r="H1018" s="1">
        <v>2024</v>
      </c>
      <c r="K1018" s="1" t="s">
        <v>71</v>
      </c>
      <c r="L1018" s="1" t="s">
        <v>242</v>
      </c>
      <c r="M1018" s="1" t="s">
        <v>243</v>
      </c>
      <c r="N1018" s="1" t="s">
        <v>244</v>
      </c>
      <c r="O1018" s="1">
        <v>131.35</v>
      </c>
      <c r="P1018" s="1" t="s">
        <v>180</v>
      </c>
    </row>
    <row r="1019" spans="1:16">
      <c r="A1019" s="7">
        <v>39891</v>
      </c>
      <c r="B1019" s="1">
        <v>469</v>
      </c>
      <c r="C1019" s="1" t="s">
        <v>234</v>
      </c>
      <c r="D1019" s="1">
        <v>4</v>
      </c>
      <c r="E1019" s="1">
        <v>-0.1</v>
      </c>
      <c r="F1019" s="1">
        <v>23</v>
      </c>
      <c r="G1019" s="1" t="s">
        <v>3</v>
      </c>
      <c r="H1019" s="1">
        <v>1485</v>
      </c>
      <c r="K1019" s="1" t="s">
        <v>94</v>
      </c>
      <c r="L1019" s="1" t="s">
        <v>245</v>
      </c>
      <c r="M1019" s="1" t="s">
        <v>246</v>
      </c>
      <c r="N1019" s="1" t="s">
        <v>255</v>
      </c>
      <c r="O1019" s="1">
        <v>1025.75</v>
      </c>
      <c r="P1019" s="1" t="s">
        <v>181</v>
      </c>
    </row>
    <row r="1020" spans="1:16">
      <c r="A1020" s="7">
        <v>39891</v>
      </c>
      <c r="B1020" s="1">
        <v>469</v>
      </c>
      <c r="C1020" s="1" t="s">
        <v>234</v>
      </c>
      <c r="D1020" s="1">
        <v>4</v>
      </c>
      <c r="E1020" s="1">
        <v>517.32000000000005</v>
      </c>
      <c r="F1020" s="1">
        <v>23</v>
      </c>
      <c r="G1020" s="1" t="s">
        <v>3</v>
      </c>
      <c r="H1020" s="1">
        <v>1485</v>
      </c>
      <c r="K1020" s="1" t="s">
        <v>90</v>
      </c>
      <c r="L1020" s="1" t="s">
        <v>245</v>
      </c>
      <c r="M1020" s="1" t="s">
        <v>246</v>
      </c>
      <c r="N1020" s="1" t="s">
        <v>255</v>
      </c>
      <c r="O1020" s="1">
        <v>312.13</v>
      </c>
      <c r="P1020" s="1" t="s">
        <v>182</v>
      </c>
    </row>
    <row r="1021" spans="1:16">
      <c r="A1021" s="7">
        <v>39891</v>
      </c>
      <c r="B1021" s="1">
        <v>508</v>
      </c>
      <c r="C1021" s="1" t="s">
        <v>239</v>
      </c>
      <c r="D1021" s="1">
        <v>99</v>
      </c>
      <c r="E1021" s="1">
        <v>0.1</v>
      </c>
      <c r="F1021" s="1">
        <v>23</v>
      </c>
      <c r="G1021" s="1" t="s">
        <v>3</v>
      </c>
      <c r="H1021" s="1">
        <v>1485</v>
      </c>
      <c r="K1021" s="1" t="s">
        <v>79</v>
      </c>
      <c r="L1021" s="1" t="s">
        <v>245</v>
      </c>
      <c r="M1021" s="1" t="s">
        <v>246</v>
      </c>
      <c r="N1021" s="1" t="s">
        <v>251</v>
      </c>
      <c r="O1021" s="1">
        <v>3</v>
      </c>
      <c r="P1021" s="1" t="s">
        <v>183</v>
      </c>
    </row>
    <row r="1022" spans="1:16">
      <c r="A1022" s="7">
        <v>39891</v>
      </c>
      <c r="B1022" s="1">
        <v>507</v>
      </c>
      <c r="C1022" s="1" t="s">
        <v>234</v>
      </c>
      <c r="D1022" s="1">
        <v>2</v>
      </c>
      <c r="E1022" s="1">
        <v>75</v>
      </c>
      <c r="F1022" s="1">
        <v>23</v>
      </c>
      <c r="G1022" s="1" t="s">
        <v>21</v>
      </c>
      <c r="H1022" s="1">
        <v>2034</v>
      </c>
      <c r="K1022" s="1" t="s">
        <v>116</v>
      </c>
      <c r="L1022" s="1" t="s">
        <v>245</v>
      </c>
      <c r="M1022" s="1" t="s">
        <v>246</v>
      </c>
      <c r="N1022" s="1" t="s">
        <v>255</v>
      </c>
      <c r="O1022" s="1">
        <v>7890</v>
      </c>
      <c r="P1022" s="1" t="s">
        <v>184</v>
      </c>
    </row>
    <row r="1023" spans="1:16">
      <c r="A1023" s="7">
        <v>39983</v>
      </c>
      <c r="B1023" s="1">
        <v>603</v>
      </c>
      <c r="C1023" s="1" t="s">
        <v>234</v>
      </c>
      <c r="D1023" s="1">
        <v>3</v>
      </c>
      <c r="E1023" s="1">
        <v>7984.5</v>
      </c>
      <c r="F1023" s="1">
        <v>23</v>
      </c>
      <c r="G1023" s="1" t="s">
        <v>43</v>
      </c>
      <c r="H1023" s="1">
        <v>0</v>
      </c>
      <c r="K1023" s="1" t="s">
        <v>116</v>
      </c>
      <c r="L1023" s="1" t="s">
        <v>245</v>
      </c>
      <c r="M1023" s="1" t="s">
        <v>246</v>
      </c>
      <c r="N1023" s="1" t="s">
        <v>255</v>
      </c>
      <c r="O1023" s="1">
        <v>-7890</v>
      </c>
      <c r="P1023" s="1" t="s">
        <v>185</v>
      </c>
    </row>
    <row r="1024" spans="1:16">
      <c r="A1024" s="7">
        <v>40044</v>
      </c>
      <c r="B1024" s="1">
        <v>865</v>
      </c>
      <c r="C1024" s="1" t="s">
        <v>239</v>
      </c>
      <c r="D1024" s="1">
        <v>99</v>
      </c>
      <c r="E1024" s="1">
        <v>9</v>
      </c>
      <c r="F1024" s="1">
        <v>23</v>
      </c>
      <c r="G1024" s="1" t="s">
        <v>16</v>
      </c>
      <c r="H1024" s="1">
        <v>0</v>
      </c>
      <c r="K1024" s="1" t="s">
        <v>132</v>
      </c>
      <c r="L1024" s="1" t="s">
        <v>245</v>
      </c>
      <c r="M1024" s="1" t="s">
        <v>246</v>
      </c>
      <c r="N1024" s="1" t="s">
        <v>255</v>
      </c>
      <c r="O1024" s="1">
        <v>78.900000000000006</v>
      </c>
      <c r="P1024" s="1" t="s">
        <v>184</v>
      </c>
    </row>
    <row r="1025" spans="1:16">
      <c r="A1025" s="7">
        <v>40105</v>
      </c>
      <c r="B1025" s="1">
        <v>1262</v>
      </c>
      <c r="C1025" s="1" t="s">
        <v>234</v>
      </c>
      <c r="D1025" s="1">
        <v>2</v>
      </c>
      <c r="E1025" s="1">
        <v>450.75</v>
      </c>
      <c r="F1025" s="1">
        <v>23</v>
      </c>
      <c r="G1025" s="1" t="s">
        <v>7</v>
      </c>
      <c r="H1025" s="1">
        <v>2142</v>
      </c>
      <c r="K1025" s="1" t="s">
        <v>132</v>
      </c>
      <c r="L1025" s="1" t="s">
        <v>245</v>
      </c>
      <c r="M1025" s="1" t="s">
        <v>246</v>
      </c>
      <c r="N1025" s="1" t="s">
        <v>255</v>
      </c>
      <c r="O1025" s="1">
        <v>-78.900000000000006</v>
      </c>
      <c r="P1025" s="1" t="s">
        <v>185</v>
      </c>
    </row>
    <row r="1026" spans="1:16">
      <c r="A1026" s="7">
        <v>40105</v>
      </c>
      <c r="B1026" s="1">
        <v>1468</v>
      </c>
      <c r="C1026" s="1" t="s">
        <v>234</v>
      </c>
      <c r="D1026" s="1">
        <v>2</v>
      </c>
      <c r="E1026" s="1">
        <v>39</v>
      </c>
      <c r="F1026" s="1">
        <v>23</v>
      </c>
      <c r="G1026" s="1" t="s">
        <v>11</v>
      </c>
      <c r="H1026" s="1">
        <v>2142</v>
      </c>
      <c r="K1026" s="1" t="s">
        <v>116</v>
      </c>
      <c r="L1026" s="1" t="s">
        <v>245</v>
      </c>
      <c r="M1026" s="1" t="s">
        <v>246</v>
      </c>
      <c r="N1026" s="1" t="s">
        <v>255</v>
      </c>
      <c r="O1026" s="1">
        <v>78.900000000000006</v>
      </c>
      <c r="P1026" s="1" t="s">
        <v>186</v>
      </c>
    </row>
    <row r="1027" spans="1:16">
      <c r="A1027" s="7">
        <v>40105</v>
      </c>
      <c r="B1027" s="1">
        <v>655</v>
      </c>
      <c r="C1027" s="1" t="s">
        <v>236</v>
      </c>
      <c r="D1027" s="1">
        <v>4</v>
      </c>
      <c r="E1027" s="1">
        <v>-62.7</v>
      </c>
      <c r="F1027" s="1">
        <v>23</v>
      </c>
      <c r="G1027" s="1" t="s">
        <v>3</v>
      </c>
      <c r="H1027" s="1">
        <v>1814</v>
      </c>
      <c r="K1027" s="1" t="s">
        <v>121</v>
      </c>
      <c r="L1027" s="1" t="s">
        <v>262</v>
      </c>
      <c r="M1027" s="1" t="s">
        <v>263</v>
      </c>
      <c r="N1027" s="1" t="s">
        <v>247</v>
      </c>
      <c r="O1027" s="1">
        <v>62.5</v>
      </c>
      <c r="P1027" s="1" t="s">
        <v>187</v>
      </c>
    </row>
    <row r="1028" spans="1:16">
      <c r="A1028" s="7">
        <v>40105</v>
      </c>
      <c r="B1028" s="1">
        <v>679</v>
      </c>
      <c r="C1028" s="1" t="s">
        <v>236</v>
      </c>
      <c r="D1028" s="1">
        <v>4</v>
      </c>
      <c r="E1028" s="1">
        <v>-31.35</v>
      </c>
      <c r="F1028" s="1">
        <v>23</v>
      </c>
      <c r="G1028" s="1" t="s">
        <v>3</v>
      </c>
      <c r="H1028" s="1">
        <v>1847</v>
      </c>
      <c r="K1028" s="1" t="s">
        <v>105</v>
      </c>
      <c r="L1028" s="1" t="s">
        <v>262</v>
      </c>
      <c r="M1028" s="1" t="s">
        <v>263</v>
      </c>
      <c r="N1028" s="1" t="s">
        <v>247</v>
      </c>
      <c r="O1028" s="1">
        <v>651.33000000000004</v>
      </c>
      <c r="P1028" s="1" t="s">
        <v>187</v>
      </c>
    </row>
    <row r="1029" spans="1:16">
      <c r="A1029" s="7">
        <v>40105</v>
      </c>
      <c r="B1029" s="1">
        <v>860</v>
      </c>
      <c r="C1029" s="1" t="s">
        <v>236</v>
      </c>
      <c r="D1029" s="1">
        <v>4</v>
      </c>
      <c r="E1029" s="1">
        <v>-62.7</v>
      </c>
      <c r="F1029" s="1">
        <v>23</v>
      </c>
      <c r="G1029" s="1" t="s">
        <v>3</v>
      </c>
      <c r="H1029" s="1">
        <v>1800</v>
      </c>
      <c r="K1029" s="1" t="s">
        <v>76</v>
      </c>
      <c r="L1029" s="1" t="s">
        <v>248</v>
      </c>
      <c r="M1029" s="1" t="s">
        <v>249</v>
      </c>
      <c r="N1029" s="1" t="s">
        <v>250</v>
      </c>
      <c r="O1029" s="1">
        <v>935.49</v>
      </c>
      <c r="P1029" s="1" t="s">
        <v>187</v>
      </c>
    </row>
    <row r="1030" spans="1:16">
      <c r="A1030" s="7">
        <v>40105</v>
      </c>
      <c r="B1030" s="1">
        <v>900</v>
      </c>
      <c r="C1030" s="1" t="s">
        <v>236</v>
      </c>
      <c r="D1030" s="1">
        <v>4</v>
      </c>
      <c r="E1030" s="1">
        <v>-188.1</v>
      </c>
      <c r="F1030" s="1">
        <v>23</v>
      </c>
      <c r="G1030" s="1" t="s">
        <v>3</v>
      </c>
      <c r="H1030" s="1">
        <v>1343</v>
      </c>
      <c r="K1030" s="1" t="s">
        <v>74</v>
      </c>
      <c r="L1030" s="1" t="s">
        <v>245</v>
      </c>
      <c r="M1030" s="1" t="s">
        <v>246</v>
      </c>
      <c r="N1030" s="1" t="s">
        <v>250</v>
      </c>
      <c r="O1030" s="1">
        <v>958.23</v>
      </c>
      <c r="P1030" s="1" t="s">
        <v>187</v>
      </c>
    </row>
    <row r="1031" spans="1:16">
      <c r="A1031" s="7">
        <v>40105</v>
      </c>
      <c r="B1031" s="1">
        <v>909</v>
      </c>
      <c r="C1031" s="1" t="s">
        <v>236</v>
      </c>
      <c r="D1031" s="1">
        <v>4</v>
      </c>
      <c r="E1031" s="1">
        <v>-62.7</v>
      </c>
      <c r="F1031" s="1">
        <v>23</v>
      </c>
      <c r="G1031" s="1" t="s">
        <v>3</v>
      </c>
      <c r="H1031" s="1">
        <v>1816</v>
      </c>
      <c r="K1031" s="1" t="s">
        <v>79</v>
      </c>
      <c r="L1031" s="1" t="s">
        <v>248</v>
      </c>
      <c r="M1031" s="1" t="s">
        <v>249</v>
      </c>
      <c r="N1031" s="1" t="s">
        <v>251</v>
      </c>
      <c r="O1031" s="1">
        <v>4.2699999999999996</v>
      </c>
      <c r="P1031" s="1" t="s">
        <v>187</v>
      </c>
    </row>
    <row r="1032" spans="1:16">
      <c r="A1032" s="7">
        <v>40105</v>
      </c>
      <c r="B1032" s="1">
        <v>910</v>
      </c>
      <c r="C1032" s="1" t="s">
        <v>236</v>
      </c>
      <c r="D1032" s="1">
        <v>4</v>
      </c>
      <c r="E1032" s="1">
        <v>-62.7</v>
      </c>
      <c r="F1032" s="1">
        <v>23</v>
      </c>
      <c r="G1032" s="1" t="s">
        <v>3</v>
      </c>
      <c r="H1032" s="1">
        <v>1821</v>
      </c>
      <c r="K1032" s="1" t="s">
        <v>79</v>
      </c>
      <c r="L1032" s="1" t="s">
        <v>262</v>
      </c>
      <c r="M1032" s="1" t="s">
        <v>263</v>
      </c>
      <c r="N1032" s="1" t="s">
        <v>251</v>
      </c>
      <c r="O1032" s="1">
        <v>4</v>
      </c>
      <c r="P1032" s="1" t="s">
        <v>187</v>
      </c>
    </row>
    <row r="1033" spans="1:16">
      <c r="A1033" s="7">
        <v>40105</v>
      </c>
      <c r="B1033" s="1">
        <v>921</v>
      </c>
      <c r="C1033" s="1" t="s">
        <v>236</v>
      </c>
      <c r="D1033" s="1">
        <v>4</v>
      </c>
      <c r="E1033" s="1">
        <v>-62.7</v>
      </c>
      <c r="F1033" s="1">
        <v>23</v>
      </c>
      <c r="G1033" s="1" t="s">
        <v>3</v>
      </c>
      <c r="H1033" s="1">
        <v>1337</v>
      </c>
      <c r="K1033" s="1" t="s">
        <v>83</v>
      </c>
      <c r="L1033" s="1" t="s">
        <v>245</v>
      </c>
      <c r="M1033" s="1" t="s">
        <v>246</v>
      </c>
      <c r="N1033" s="1" t="s">
        <v>253</v>
      </c>
      <c r="O1033" s="1">
        <v>12.47</v>
      </c>
      <c r="P1033" s="1" t="s">
        <v>187</v>
      </c>
    </row>
    <row r="1034" spans="1:16">
      <c r="A1034" s="7">
        <v>40105</v>
      </c>
      <c r="B1034" s="1">
        <v>933</v>
      </c>
      <c r="C1034" s="1" t="s">
        <v>236</v>
      </c>
      <c r="D1034" s="1">
        <v>4</v>
      </c>
      <c r="E1034" s="1">
        <v>-62.7</v>
      </c>
      <c r="F1034" s="1">
        <v>23</v>
      </c>
      <c r="G1034" s="1" t="s">
        <v>3</v>
      </c>
      <c r="H1034" s="1">
        <v>1812</v>
      </c>
      <c r="K1034" s="1" t="s">
        <v>101</v>
      </c>
      <c r="L1034" s="1" t="s">
        <v>256</v>
      </c>
      <c r="M1034" s="1" t="s">
        <v>257</v>
      </c>
      <c r="N1034" s="1" t="s">
        <v>253</v>
      </c>
      <c r="O1034" s="1">
        <v>3115.98</v>
      </c>
      <c r="P1034" s="1" t="s">
        <v>187</v>
      </c>
    </row>
    <row r="1035" spans="1:16">
      <c r="A1035" s="7">
        <v>40105</v>
      </c>
      <c r="B1035" s="1">
        <v>962</v>
      </c>
      <c r="C1035" s="1" t="s">
        <v>236</v>
      </c>
      <c r="D1035" s="1">
        <v>4</v>
      </c>
      <c r="E1035" s="1">
        <v>-62.7</v>
      </c>
      <c r="F1035" s="1">
        <v>23</v>
      </c>
      <c r="G1035" s="1" t="s">
        <v>3</v>
      </c>
      <c r="H1035" s="1">
        <v>1338</v>
      </c>
      <c r="K1035" s="1" t="s">
        <v>101</v>
      </c>
      <c r="L1035" s="1" t="s">
        <v>256</v>
      </c>
      <c r="M1035" s="1" t="s">
        <v>257</v>
      </c>
      <c r="N1035" s="1" t="s">
        <v>253</v>
      </c>
      <c r="O1035" s="1">
        <v>1400.68</v>
      </c>
      <c r="P1035" s="1" t="s">
        <v>187</v>
      </c>
    </row>
    <row r="1036" spans="1:16">
      <c r="A1036" s="7">
        <v>40105</v>
      </c>
      <c r="B1036" s="1">
        <v>1006</v>
      </c>
      <c r="C1036" s="1" t="s">
        <v>236</v>
      </c>
      <c r="D1036" s="1">
        <v>4</v>
      </c>
      <c r="E1036" s="1">
        <v>-62.7</v>
      </c>
      <c r="F1036" s="1">
        <v>23</v>
      </c>
      <c r="G1036" s="1" t="s">
        <v>3</v>
      </c>
      <c r="H1036" s="1">
        <v>1368</v>
      </c>
      <c r="K1036" s="1" t="s">
        <v>82</v>
      </c>
      <c r="L1036" s="1" t="s">
        <v>245</v>
      </c>
      <c r="M1036" s="1" t="s">
        <v>246</v>
      </c>
      <c r="N1036" s="1" t="s">
        <v>253</v>
      </c>
      <c r="O1036" s="1">
        <v>62.96</v>
      </c>
      <c r="P1036" s="1" t="s">
        <v>187</v>
      </c>
    </row>
    <row r="1037" spans="1:16">
      <c r="A1037" s="7">
        <v>40105</v>
      </c>
      <c r="B1037" s="1">
        <v>1011</v>
      </c>
      <c r="C1037" s="1" t="s">
        <v>236</v>
      </c>
      <c r="D1037" s="1">
        <v>4</v>
      </c>
      <c r="E1037" s="1">
        <v>-12</v>
      </c>
      <c r="F1037" s="1">
        <v>23</v>
      </c>
      <c r="G1037" s="1" t="s">
        <v>3</v>
      </c>
      <c r="H1037" s="1">
        <v>1507</v>
      </c>
      <c r="K1037" s="1" t="s">
        <v>78</v>
      </c>
      <c r="L1037" s="1" t="s">
        <v>264</v>
      </c>
      <c r="M1037" s="1" t="s">
        <v>265</v>
      </c>
      <c r="N1037" s="1" t="s">
        <v>253</v>
      </c>
      <c r="O1037" s="1">
        <v>2260</v>
      </c>
      <c r="P1037" s="1" t="s">
        <v>187</v>
      </c>
    </row>
    <row r="1038" spans="1:16">
      <c r="A1038" s="7">
        <v>40105</v>
      </c>
      <c r="B1038" s="1">
        <v>1135</v>
      </c>
      <c r="C1038" s="1" t="s">
        <v>236</v>
      </c>
      <c r="D1038" s="1">
        <v>4</v>
      </c>
      <c r="E1038" s="1">
        <v>-62.7</v>
      </c>
      <c r="F1038" s="1">
        <v>23</v>
      </c>
      <c r="G1038" s="1" t="s">
        <v>3</v>
      </c>
      <c r="H1038" s="1">
        <v>1351</v>
      </c>
      <c r="K1038" s="1" t="s">
        <v>100</v>
      </c>
      <c r="L1038" s="1" t="s">
        <v>245</v>
      </c>
      <c r="M1038" s="1" t="s">
        <v>246</v>
      </c>
      <c r="N1038" s="1" t="s">
        <v>253</v>
      </c>
      <c r="O1038" s="1">
        <v>500</v>
      </c>
      <c r="P1038" s="1" t="s">
        <v>187</v>
      </c>
    </row>
    <row r="1039" spans="1:16">
      <c r="A1039" s="7">
        <v>40105</v>
      </c>
      <c r="B1039" s="1">
        <v>1103</v>
      </c>
      <c r="C1039" s="1" t="s">
        <v>236</v>
      </c>
      <c r="D1039" s="1">
        <v>4</v>
      </c>
      <c r="E1039" s="1">
        <v>-34</v>
      </c>
      <c r="F1039" s="1">
        <v>23</v>
      </c>
      <c r="G1039" s="1" t="s">
        <v>44</v>
      </c>
      <c r="H1039" s="1">
        <v>1349</v>
      </c>
      <c r="K1039" s="1" t="s">
        <v>86</v>
      </c>
      <c r="L1039" s="1" t="s">
        <v>248</v>
      </c>
      <c r="M1039" s="1" t="s">
        <v>249</v>
      </c>
      <c r="N1039" s="1" t="s">
        <v>253</v>
      </c>
      <c r="O1039" s="1">
        <v>146.31</v>
      </c>
      <c r="P1039" s="1" t="s">
        <v>187</v>
      </c>
    </row>
    <row r="1040" spans="1:16">
      <c r="A1040" s="7">
        <v>40105</v>
      </c>
      <c r="B1040" s="1">
        <v>745</v>
      </c>
      <c r="C1040" s="1" t="s">
        <v>236</v>
      </c>
      <c r="D1040" s="1">
        <v>4</v>
      </c>
      <c r="E1040" s="1">
        <v>-136.9</v>
      </c>
      <c r="F1040" s="1">
        <v>23</v>
      </c>
      <c r="G1040" s="1" t="s">
        <v>6</v>
      </c>
      <c r="H1040" s="1">
        <v>1970</v>
      </c>
      <c r="K1040" s="1" t="s">
        <v>75</v>
      </c>
      <c r="L1040" s="1" t="s">
        <v>245</v>
      </c>
      <c r="M1040" s="1" t="s">
        <v>246</v>
      </c>
      <c r="N1040" s="1" t="s">
        <v>253</v>
      </c>
      <c r="O1040" s="1">
        <v>368.4</v>
      </c>
      <c r="P1040" s="1" t="s">
        <v>187</v>
      </c>
    </row>
    <row r="1041" spans="1:16">
      <c r="A1041" s="7">
        <v>40105</v>
      </c>
      <c r="B1041" s="1">
        <v>1471</v>
      </c>
      <c r="C1041" s="1" t="s">
        <v>234</v>
      </c>
      <c r="D1041" s="1">
        <v>4</v>
      </c>
      <c r="E1041" s="1">
        <v>80</v>
      </c>
      <c r="F1041" s="1">
        <v>23</v>
      </c>
      <c r="G1041" s="1" t="s">
        <v>18</v>
      </c>
      <c r="H1041" s="1">
        <v>1241</v>
      </c>
      <c r="K1041" s="1" t="s">
        <v>102</v>
      </c>
      <c r="L1041" s="1" t="s">
        <v>245</v>
      </c>
      <c r="M1041" s="1" t="s">
        <v>246</v>
      </c>
      <c r="N1041" s="1" t="s">
        <v>253</v>
      </c>
      <c r="O1041" s="1">
        <v>296.16000000000003</v>
      </c>
      <c r="P1041" s="1" t="s">
        <v>187</v>
      </c>
    </row>
    <row r="1042" spans="1:16">
      <c r="A1042" s="7">
        <v>40105</v>
      </c>
      <c r="B1042" s="1">
        <v>1473</v>
      </c>
      <c r="C1042" s="1" t="s">
        <v>234</v>
      </c>
      <c r="D1042" s="1">
        <v>4</v>
      </c>
      <c r="E1042" s="1">
        <v>80</v>
      </c>
      <c r="F1042" s="1">
        <v>23</v>
      </c>
      <c r="G1042" s="1" t="s">
        <v>18</v>
      </c>
      <c r="H1042" s="1">
        <v>522</v>
      </c>
      <c r="K1042" s="1" t="s">
        <v>103</v>
      </c>
      <c r="L1042" s="1" t="s">
        <v>245</v>
      </c>
      <c r="M1042" s="1" t="s">
        <v>246</v>
      </c>
      <c r="N1042" s="1" t="s">
        <v>253</v>
      </c>
      <c r="O1042" s="1">
        <v>341.07</v>
      </c>
      <c r="P1042" s="1" t="s">
        <v>187</v>
      </c>
    </row>
    <row r="1043" spans="1:16">
      <c r="A1043" s="7">
        <v>40105</v>
      </c>
      <c r="B1043" s="1">
        <v>1476</v>
      </c>
      <c r="C1043" s="1" t="s">
        <v>234</v>
      </c>
      <c r="D1043" s="1">
        <v>3</v>
      </c>
      <c r="E1043" s="1">
        <v>235.57</v>
      </c>
      <c r="F1043" s="1">
        <v>23</v>
      </c>
      <c r="G1043" s="1" t="s">
        <v>51</v>
      </c>
      <c r="H1043" s="1">
        <v>1353</v>
      </c>
      <c r="K1043" s="1" t="s">
        <v>103</v>
      </c>
      <c r="L1043" s="1" t="s">
        <v>245</v>
      </c>
      <c r="M1043" s="1" t="s">
        <v>246</v>
      </c>
      <c r="N1043" s="1" t="s">
        <v>253</v>
      </c>
      <c r="O1043" s="1">
        <v>39.24</v>
      </c>
      <c r="P1043" s="1" t="s">
        <v>187</v>
      </c>
    </row>
    <row r="1044" spans="1:16">
      <c r="A1044" s="7">
        <v>40105</v>
      </c>
      <c r="B1044" s="1">
        <v>1469</v>
      </c>
      <c r="C1044" s="1" t="s">
        <v>234</v>
      </c>
      <c r="D1044" s="1">
        <v>2</v>
      </c>
      <c r="E1044" s="1">
        <v>300</v>
      </c>
      <c r="F1044" s="1">
        <v>23</v>
      </c>
      <c r="G1044" s="1" t="s">
        <v>20</v>
      </c>
      <c r="H1044" s="1">
        <v>685</v>
      </c>
      <c r="K1044" s="1" t="s">
        <v>77</v>
      </c>
      <c r="L1044" s="1" t="s">
        <v>245</v>
      </c>
      <c r="M1044" s="1" t="s">
        <v>246</v>
      </c>
      <c r="N1044" s="1" t="s">
        <v>253</v>
      </c>
      <c r="O1044" s="1">
        <v>338.22</v>
      </c>
      <c r="P1044" s="1" t="s">
        <v>187</v>
      </c>
    </row>
    <row r="1045" spans="1:16">
      <c r="A1045" s="7">
        <v>40105</v>
      </c>
      <c r="B1045" s="1">
        <v>1250</v>
      </c>
      <c r="C1045" s="1" t="s">
        <v>236</v>
      </c>
      <c r="D1045" s="1">
        <v>4</v>
      </c>
      <c r="E1045" s="1">
        <v>-34</v>
      </c>
      <c r="F1045" s="1">
        <v>23</v>
      </c>
      <c r="G1045" s="1" t="s">
        <v>32</v>
      </c>
      <c r="H1045" s="1">
        <v>44</v>
      </c>
      <c r="K1045" s="1" t="s">
        <v>106</v>
      </c>
      <c r="L1045" s="1" t="s">
        <v>248</v>
      </c>
      <c r="M1045" s="1" t="s">
        <v>249</v>
      </c>
      <c r="N1045" s="1" t="s">
        <v>253</v>
      </c>
      <c r="O1045" s="1">
        <v>90</v>
      </c>
      <c r="P1045" s="1" t="s">
        <v>187</v>
      </c>
    </row>
    <row r="1046" spans="1:16">
      <c r="A1046" s="7">
        <v>40136</v>
      </c>
      <c r="B1046" s="1">
        <v>664</v>
      </c>
      <c r="C1046" s="1" t="s">
        <v>234</v>
      </c>
      <c r="D1046" s="1">
        <v>2</v>
      </c>
      <c r="E1046" s="1">
        <v>18</v>
      </c>
      <c r="F1046" s="1">
        <v>23</v>
      </c>
      <c r="G1046" s="1" t="s">
        <v>6</v>
      </c>
      <c r="H1046" s="1">
        <v>730</v>
      </c>
      <c r="K1046" s="1" t="s">
        <v>77</v>
      </c>
      <c r="L1046" s="1" t="s">
        <v>248</v>
      </c>
      <c r="M1046" s="1" t="s">
        <v>249</v>
      </c>
      <c r="N1046" s="1" t="s">
        <v>253</v>
      </c>
      <c r="O1046" s="1">
        <v>275.91000000000003</v>
      </c>
      <c r="P1046" s="1" t="s">
        <v>187</v>
      </c>
    </row>
    <row r="1047" spans="1:16">
      <c r="A1047" s="7">
        <v>39833</v>
      </c>
      <c r="B1047" s="1">
        <v>33</v>
      </c>
      <c r="C1047" s="1" t="s">
        <v>234</v>
      </c>
      <c r="D1047" s="1">
        <v>2</v>
      </c>
      <c r="E1047" s="1">
        <v>75</v>
      </c>
      <c r="F1047" s="1">
        <v>23</v>
      </c>
      <c r="G1047" s="1" t="s">
        <v>21</v>
      </c>
      <c r="H1047" s="1">
        <v>454</v>
      </c>
      <c r="K1047" s="1" t="s">
        <v>104</v>
      </c>
      <c r="L1047" s="1" t="s">
        <v>256</v>
      </c>
      <c r="M1047" s="1" t="s">
        <v>257</v>
      </c>
      <c r="N1047" s="1" t="s">
        <v>253</v>
      </c>
      <c r="O1047" s="1">
        <v>30.32</v>
      </c>
      <c r="P1047" s="1" t="s">
        <v>187</v>
      </c>
    </row>
    <row r="1048" spans="1:16">
      <c r="A1048" s="7">
        <v>39833</v>
      </c>
      <c r="B1048" s="1">
        <v>32</v>
      </c>
      <c r="C1048" s="1" t="s">
        <v>234</v>
      </c>
      <c r="D1048" s="1">
        <v>2</v>
      </c>
      <c r="E1048" s="1">
        <v>360</v>
      </c>
      <c r="F1048" s="1">
        <v>23</v>
      </c>
      <c r="G1048" s="1" t="s">
        <v>22</v>
      </c>
      <c r="H1048" s="1">
        <v>1075</v>
      </c>
      <c r="K1048" s="1" t="s">
        <v>88</v>
      </c>
      <c r="L1048" s="1" t="s">
        <v>245</v>
      </c>
      <c r="M1048" s="1" t="s">
        <v>246</v>
      </c>
      <c r="N1048" s="1" t="s">
        <v>253</v>
      </c>
      <c r="O1048" s="1">
        <v>536</v>
      </c>
      <c r="P1048" s="1" t="s">
        <v>187</v>
      </c>
    </row>
    <row r="1049" spans="1:16">
      <c r="A1049" s="7">
        <v>39833</v>
      </c>
      <c r="B1049" s="1">
        <v>31</v>
      </c>
      <c r="C1049" s="1" t="s">
        <v>234</v>
      </c>
      <c r="D1049" s="1">
        <v>1</v>
      </c>
      <c r="E1049" s="1">
        <v>150</v>
      </c>
      <c r="F1049" s="1">
        <v>23</v>
      </c>
      <c r="G1049" s="1" t="s">
        <v>41</v>
      </c>
      <c r="H1049" s="1">
        <v>1998</v>
      </c>
      <c r="K1049" s="1" t="s">
        <v>104</v>
      </c>
      <c r="L1049" s="1" t="s">
        <v>248</v>
      </c>
      <c r="M1049" s="1" t="s">
        <v>249</v>
      </c>
      <c r="N1049" s="1" t="s">
        <v>253</v>
      </c>
      <c r="O1049" s="1">
        <v>11.31</v>
      </c>
      <c r="P1049" s="1" t="s">
        <v>187</v>
      </c>
    </row>
    <row r="1050" spans="1:16">
      <c r="A1050" s="7">
        <v>39864</v>
      </c>
      <c r="B1050" s="1">
        <v>387</v>
      </c>
      <c r="C1050" s="1" t="s">
        <v>234</v>
      </c>
      <c r="D1050" s="1">
        <v>3</v>
      </c>
      <c r="E1050" s="1">
        <v>202.78</v>
      </c>
      <c r="F1050" s="1">
        <v>23</v>
      </c>
      <c r="G1050" s="1" t="s">
        <v>29</v>
      </c>
      <c r="H1050" s="1">
        <v>145</v>
      </c>
      <c r="K1050" s="1" t="s">
        <v>104</v>
      </c>
      <c r="L1050" s="1" t="s">
        <v>248</v>
      </c>
      <c r="M1050" s="1" t="s">
        <v>249</v>
      </c>
      <c r="N1050" s="1" t="s">
        <v>253</v>
      </c>
      <c r="O1050" s="1">
        <v>33.86</v>
      </c>
      <c r="P1050" s="1" t="s">
        <v>187</v>
      </c>
    </row>
    <row r="1051" spans="1:16">
      <c r="A1051" s="7">
        <v>39864</v>
      </c>
      <c r="B1051" s="1">
        <v>388</v>
      </c>
      <c r="C1051" s="1" t="s">
        <v>235</v>
      </c>
      <c r="D1051" s="1">
        <v>1</v>
      </c>
      <c r="E1051" s="1">
        <v>531.84</v>
      </c>
      <c r="F1051" s="1">
        <v>23</v>
      </c>
      <c r="G1051" s="1" t="s">
        <v>29</v>
      </c>
      <c r="H1051" s="1">
        <v>63</v>
      </c>
      <c r="K1051" s="1" t="s">
        <v>106</v>
      </c>
      <c r="L1051" s="1" t="s">
        <v>245</v>
      </c>
      <c r="M1051" s="1" t="s">
        <v>246</v>
      </c>
      <c r="N1051" s="1" t="s">
        <v>253</v>
      </c>
      <c r="O1051" s="1">
        <v>447.02</v>
      </c>
      <c r="P1051" s="1" t="s">
        <v>187</v>
      </c>
    </row>
    <row r="1052" spans="1:16">
      <c r="A1052" s="7">
        <v>39864</v>
      </c>
      <c r="B1052" s="1">
        <v>396</v>
      </c>
      <c r="C1052" s="1" t="s">
        <v>234</v>
      </c>
      <c r="D1052" s="1">
        <v>3</v>
      </c>
      <c r="E1052" s="1">
        <v>348.61</v>
      </c>
      <c r="F1052" s="1">
        <v>23</v>
      </c>
      <c r="G1052" s="1" t="s">
        <v>29</v>
      </c>
      <c r="H1052" s="1">
        <v>394</v>
      </c>
      <c r="K1052" s="1" t="s">
        <v>98</v>
      </c>
      <c r="L1052" s="1" t="s">
        <v>245</v>
      </c>
      <c r="M1052" s="1" t="s">
        <v>246</v>
      </c>
      <c r="N1052" s="1" t="s">
        <v>253</v>
      </c>
      <c r="O1052" s="1">
        <v>26</v>
      </c>
      <c r="P1052" s="1" t="s">
        <v>187</v>
      </c>
    </row>
    <row r="1053" spans="1:16">
      <c r="A1053" s="7">
        <v>39864</v>
      </c>
      <c r="B1053" s="1">
        <v>397</v>
      </c>
      <c r="C1053" s="1" t="s">
        <v>234</v>
      </c>
      <c r="D1053" s="1">
        <v>4</v>
      </c>
      <c r="E1053" s="1">
        <v>216.91</v>
      </c>
      <c r="F1053" s="1">
        <v>23</v>
      </c>
      <c r="G1053" s="1" t="s">
        <v>29</v>
      </c>
      <c r="H1053" s="1">
        <v>1822</v>
      </c>
      <c r="K1053" s="1" t="s">
        <v>103</v>
      </c>
      <c r="L1053" s="1" t="s">
        <v>264</v>
      </c>
      <c r="M1053" s="1" t="s">
        <v>265</v>
      </c>
      <c r="N1053" s="1" t="s">
        <v>253</v>
      </c>
      <c r="O1053" s="1">
        <v>63.2</v>
      </c>
      <c r="P1053" s="1" t="s">
        <v>187</v>
      </c>
    </row>
    <row r="1054" spans="1:16">
      <c r="A1054" s="7">
        <v>39864</v>
      </c>
      <c r="B1054" s="1">
        <v>398</v>
      </c>
      <c r="C1054" s="1" t="s">
        <v>235</v>
      </c>
      <c r="D1054" s="1">
        <v>1</v>
      </c>
      <c r="E1054" s="1">
        <v>843.89</v>
      </c>
      <c r="F1054" s="1">
        <v>23</v>
      </c>
      <c r="G1054" s="1" t="s">
        <v>29</v>
      </c>
      <c r="H1054" s="1">
        <v>1000</v>
      </c>
      <c r="K1054" s="1" t="s">
        <v>89</v>
      </c>
      <c r="L1054" s="1" t="s">
        <v>256</v>
      </c>
      <c r="M1054" s="1" t="s">
        <v>257</v>
      </c>
      <c r="N1054" s="1" t="s">
        <v>253</v>
      </c>
      <c r="O1054" s="1">
        <v>32.83</v>
      </c>
      <c r="P1054" s="1" t="s">
        <v>187</v>
      </c>
    </row>
    <row r="1055" spans="1:16">
      <c r="A1055" s="7">
        <v>39864</v>
      </c>
      <c r="B1055" s="1">
        <v>399</v>
      </c>
      <c r="C1055" s="1" t="s">
        <v>234</v>
      </c>
      <c r="D1055" s="1">
        <v>4</v>
      </c>
      <c r="E1055" s="1">
        <v>216.91</v>
      </c>
      <c r="F1055" s="1">
        <v>23</v>
      </c>
      <c r="G1055" s="1" t="s">
        <v>29</v>
      </c>
      <c r="H1055" s="1">
        <v>469</v>
      </c>
      <c r="K1055" s="1" t="s">
        <v>108</v>
      </c>
      <c r="L1055" s="1" t="s">
        <v>256</v>
      </c>
      <c r="M1055" s="1" t="s">
        <v>257</v>
      </c>
      <c r="N1055" s="1" t="s">
        <v>253</v>
      </c>
      <c r="O1055" s="1">
        <v>82.86</v>
      </c>
      <c r="P1055" s="1" t="s">
        <v>187</v>
      </c>
    </row>
    <row r="1056" spans="1:16">
      <c r="A1056" s="7">
        <v>39864</v>
      </c>
      <c r="B1056" s="1">
        <v>400</v>
      </c>
      <c r="C1056" s="1" t="s">
        <v>234</v>
      </c>
      <c r="D1056" s="1">
        <v>1</v>
      </c>
      <c r="E1056" s="1">
        <v>532.99</v>
      </c>
      <c r="F1056" s="1">
        <v>23</v>
      </c>
      <c r="G1056" s="1" t="s">
        <v>29</v>
      </c>
      <c r="H1056" s="1">
        <v>723</v>
      </c>
      <c r="K1056" s="1" t="s">
        <v>104</v>
      </c>
      <c r="L1056" s="1" t="s">
        <v>248</v>
      </c>
      <c r="M1056" s="1" t="s">
        <v>249</v>
      </c>
      <c r="N1056" s="1" t="s">
        <v>253</v>
      </c>
      <c r="O1056" s="1">
        <v>25.17</v>
      </c>
      <c r="P1056" s="1" t="s">
        <v>187</v>
      </c>
    </row>
    <row r="1057" spans="1:16">
      <c r="A1057" s="7">
        <v>39864</v>
      </c>
      <c r="B1057" s="1">
        <v>401</v>
      </c>
      <c r="C1057" s="1" t="s">
        <v>234</v>
      </c>
      <c r="D1057" s="1">
        <v>4</v>
      </c>
      <c r="E1057" s="1">
        <v>532.99</v>
      </c>
      <c r="F1057" s="1">
        <v>23</v>
      </c>
      <c r="G1057" s="1" t="s">
        <v>29</v>
      </c>
      <c r="H1057" s="1">
        <v>1279</v>
      </c>
      <c r="K1057" s="1" t="s">
        <v>98</v>
      </c>
      <c r="L1057" s="1" t="s">
        <v>264</v>
      </c>
      <c r="M1057" s="1" t="s">
        <v>265</v>
      </c>
      <c r="N1057" s="1" t="s">
        <v>253</v>
      </c>
      <c r="O1057" s="1">
        <v>322.61</v>
      </c>
      <c r="P1057" s="1" t="s">
        <v>187</v>
      </c>
    </row>
    <row r="1058" spans="1:16">
      <c r="A1058" s="7">
        <v>39864</v>
      </c>
      <c r="B1058" s="1">
        <v>402</v>
      </c>
      <c r="C1058" s="1" t="s">
        <v>235</v>
      </c>
      <c r="D1058" s="1">
        <v>1</v>
      </c>
      <c r="E1058" s="1">
        <v>493.48</v>
      </c>
      <c r="F1058" s="1">
        <v>23</v>
      </c>
      <c r="G1058" s="1" t="s">
        <v>29</v>
      </c>
      <c r="H1058" s="1">
        <v>966</v>
      </c>
      <c r="K1058" s="1" t="s">
        <v>157</v>
      </c>
      <c r="L1058" s="1" t="s">
        <v>248</v>
      </c>
      <c r="M1058" s="1" t="s">
        <v>249</v>
      </c>
      <c r="N1058" s="1" t="s">
        <v>253</v>
      </c>
      <c r="O1058" s="1">
        <v>625</v>
      </c>
      <c r="P1058" s="1" t="s">
        <v>187</v>
      </c>
    </row>
    <row r="1059" spans="1:16">
      <c r="A1059" s="7">
        <v>39864</v>
      </c>
      <c r="B1059" s="1">
        <v>403</v>
      </c>
      <c r="C1059" s="1" t="s">
        <v>234</v>
      </c>
      <c r="D1059" s="1">
        <v>4</v>
      </c>
      <c r="E1059" s="1">
        <v>835.9</v>
      </c>
      <c r="F1059" s="1">
        <v>23</v>
      </c>
      <c r="G1059" s="1" t="s">
        <v>29</v>
      </c>
      <c r="H1059" s="1">
        <v>1432</v>
      </c>
      <c r="K1059" s="1" t="s">
        <v>106</v>
      </c>
      <c r="L1059" s="1" t="s">
        <v>245</v>
      </c>
      <c r="M1059" s="1" t="s">
        <v>246</v>
      </c>
      <c r="N1059" s="1" t="s">
        <v>253</v>
      </c>
      <c r="O1059" s="1">
        <v>33.81</v>
      </c>
      <c r="P1059" s="1" t="s">
        <v>187</v>
      </c>
    </row>
    <row r="1060" spans="1:16">
      <c r="A1060" s="7">
        <v>39864</v>
      </c>
      <c r="B1060" s="1">
        <v>406</v>
      </c>
      <c r="C1060" s="1" t="s">
        <v>234</v>
      </c>
      <c r="D1060" s="1">
        <v>3</v>
      </c>
      <c r="E1060" s="1">
        <v>577.4</v>
      </c>
      <c r="F1060" s="1">
        <v>23</v>
      </c>
      <c r="G1060" s="1" t="s">
        <v>29</v>
      </c>
      <c r="H1060" s="1">
        <v>158</v>
      </c>
      <c r="K1060" s="1" t="s">
        <v>98</v>
      </c>
      <c r="L1060" s="1" t="s">
        <v>256</v>
      </c>
      <c r="M1060" s="1" t="s">
        <v>257</v>
      </c>
      <c r="N1060" s="1" t="s">
        <v>253</v>
      </c>
      <c r="O1060" s="1">
        <v>405.6</v>
      </c>
      <c r="P1060" s="1" t="s">
        <v>187</v>
      </c>
    </row>
    <row r="1061" spans="1:16">
      <c r="A1061" s="7">
        <v>39864</v>
      </c>
      <c r="B1061" s="1">
        <v>407</v>
      </c>
      <c r="C1061" s="1" t="s">
        <v>234</v>
      </c>
      <c r="D1061" s="1">
        <v>3</v>
      </c>
      <c r="E1061" s="1">
        <v>374.95</v>
      </c>
      <c r="F1061" s="1">
        <v>23</v>
      </c>
      <c r="G1061" s="1" t="s">
        <v>29</v>
      </c>
      <c r="H1061" s="1">
        <v>1799</v>
      </c>
      <c r="K1061" s="1" t="s">
        <v>104</v>
      </c>
      <c r="L1061" s="1" t="s">
        <v>256</v>
      </c>
      <c r="M1061" s="1" t="s">
        <v>257</v>
      </c>
      <c r="N1061" s="1" t="s">
        <v>253</v>
      </c>
      <c r="O1061" s="1">
        <v>100.59</v>
      </c>
      <c r="P1061" s="1" t="s">
        <v>187</v>
      </c>
    </row>
    <row r="1062" spans="1:16">
      <c r="A1062" s="7">
        <v>39864</v>
      </c>
      <c r="B1062" s="1">
        <v>408</v>
      </c>
      <c r="C1062" s="1" t="s">
        <v>234</v>
      </c>
      <c r="D1062" s="1">
        <v>3</v>
      </c>
      <c r="E1062" s="1">
        <v>202.78</v>
      </c>
      <c r="F1062" s="1">
        <v>23</v>
      </c>
      <c r="G1062" s="1" t="s">
        <v>29</v>
      </c>
      <c r="H1062" s="1">
        <v>178</v>
      </c>
      <c r="K1062" s="1" t="s">
        <v>77</v>
      </c>
      <c r="L1062" s="1" t="s">
        <v>245</v>
      </c>
      <c r="M1062" s="1" t="s">
        <v>246</v>
      </c>
      <c r="N1062" s="1" t="s">
        <v>253</v>
      </c>
      <c r="O1062" s="1">
        <v>779.27</v>
      </c>
      <c r="P1062" s="1" t="s">
        <v>187</v>
      </c>
    </row>
    <row r="1063" spans="1:16">
      <c r="A1063" s="7">
        <v>39864</v>
      </c>
      <c r="B1063" s="1">
        <v>409</v>
      </c>
      <c r="C1063" s="1" t="s">
        <v>235</v>
      </c>
      <c r="D1063" s="1">
        <v>1</v>
      </c>
      <c r="E1063" s="1">
        <v>269.94</v>
      </c>
      <c r="F1063" s="1">
        <v>23</v>
      </c>
      <c r="G1063" s="1" t="s">
        <v>29</v>
      </c>
      <c r="H1063" s="1">
        <v>1844</v>
      </c>
      <c r="K1063" s="1" t="s">
        <v>77</v>
      </c>
      <c r="L1063" s="1" t="s">
        <v>245</v>
      </c>
      <c r="M1063" s="1" t="s">
        <v>246</v>
      </c>
      <c r="N1063" s="1" t="s">
        <v>253</v>
      </c>
      <c r="O1063" s="1">
        <v>523.42999999999995</v>
      </c>
      <c r="P1063" s="1" t="s">
        <v>187</v>
      </c>
    </row>
    <row r="1064" spans="1:16">
      <c r="A1064" s="7">
        <v>39864</v>
      </c>
      <c r="B1064" s="1">
        <v>410</v>
      </c>
      <c r="C1064" s="1" t="s">
        <v>234</v>
      </c>
      <c r="D1064" s="1">
        <v>2</v>
      </c>
      <c r="E1064" s="1">
        <v>75</v>
      </c>
      <c r="F1064" s="1">
        <v>23</v>
      </c>
      <c r="G1064" s="1" t="s">
        <v>21</v>
      </c>
      <c r="H1064" s="1">
        <v>1368</v>
      </c>
      <c r="K1064" s="1" t="s">
        <v>77</v>
      </c>
      <c r="L1064" s="1" t="s">
        <v>245</v>
      </c>
      <c r="M1064" s="1" t="s">
        <v>246</v>
      </c>
      <c r="N1064" s="1" t="s">
        <v>253</v>
      </c>
      <c r="O1064" s="1">
        <v>247.61</v>
      </c>
      <c r="P1064" s="1" t="s">
        <v>187</v>
      </c>
    </row>
    <row r="1065" spans="1:16">
      <c r="A1065" s="7">
        <v>39864</v>
      </c>
      <c r="B1065" s="1">
        <v>411</v>
      </c>
      <c r="C1065" s="1" t="s">
        <v>234</v>
      </c>
      <c r="D1065" s="1">
        <v>2</v>
      </c>
      <c r="E1065" s="1">
        <v>75</v>
      </c>
      <c r="F1065" s="1">
        <v>23</v>
      </c>
      <c r="G1065" s="1" t="s">
        <v>21</v>
      </c>
      <c r="H1065" s="1">
        <v>1685</v>
      </c>
      <c r="K1065" s="1" t="s">
        <v>77</v>
      </c>
      <c r="L1065" s="1" t="s">
        <v>245</v>
      </c>
      <c r="M1065" s="1" t="s">
        <v>246</v>
      </c>
      <c r="N1065" s="1" t="s">
        <v>253</v>
      </c>
      <c r="O1065" s="1">
        <v>2592.38</v>
      </c>
      <c r="P1065" s="1" t="s">
        <v>187</v>
      </c>
    </row>
    <row r="1066" spans="1:16">
      <c r="A1066" s="7">
        <v>39864</v>
      </c>
      <c r="B1066" s="1">
        <v>412</v>
      </c>
      <c r="C1066" s="1" t="s">
        <v>234</v>
      </c>
      <c r="D1066" s="1">
        <v>2</v>
      </c>
      <c r="E1066" s="1">
        <v>75</v>
      </c>
      <c r="F1066" s="1">
        <v>23</v>
      </c>
      <c r="G1066" s="1" t="s">
        <v>21</v>
      </c>
      <c r="H1066" s="1">
        <v>2025</v>
      </c>
      <c r="K1066" s="1" t="s">
        <v>98</v>
      </c>
      <c r="L1066" s="1" t="s">
        <v>245</v>
      </c>
      <c r="M1066" s="1" t="s">
        <v>246</v>
      </c>
      <c r="N1066" s="1" t="s">
        <v>253</v>
      </c>
      <c r="O1066" s="1">
        <v>669.24</v>
      </c>
      <c r="P1066" s="1" t="s">
        <v>187</v>
      </c>
    </row>
    <row r="1067" spans="1:16">
      <c r="A1067" s="7">
        <v>39864</v>
      </c>
      <c r="B1067" s="1">
        <v>413</v>
      </c>
      <c r="C1067" s="1" t="s">
        <v>234</v>
      </c>
      <c r="D1067" s="1">
        <v>2</v>
      </c>
      <c r="E1067" s="1">
        <v>75</v>
      </c>
      <c r="F1067" s="1">
        <v>23</v>
      </c>
      <c r="G1067" s="1" t="s">
        <v>21</v>
      </c>
      <c r="H1067" s="1">
        <v>2026</v>
      </c>
      <c r="K1067" s="1" t="s">
        <v>127</v>
      </c>
      <c r="L1067" s="1" t="s">
        <v>245</v>
      </c>
      <c r="M1067" s="1" t="s">
        <v>246</v>
      </c>
      <c r="N1067" s="1" t="s">
        <v>253</v>
      </c>
      <c r="O1067" s="1">
        <v>3215.41</v>
      </c>
      <c r="P1067" s="1" t="s">
        <v>187</v>
      </c>
    </row>
    <row r="1068" spans="1:16">
      <c r="A1068" s="7">
        <v>39892</v>
      </c>
      <c r="B1068" s="1">
        <v>509</v>
      </c>
      <c r="C1068" s="1" t="s">
        <v>235</v>
      </c>
      <c r="D1068" s="1">
        <v>1</v>
      </c>
      <c r="E1068" s="1">
        <v>7.5</v>
      </c>
      <c r="F1068" s="1">
        <v>23</v>
      </c>
      <c r="G1068" s="1" t="s">
        <v>29</v>
      </c>
      <c r="H1068" s="1">
        <v>630</v>
      </c>
      <c r="K1068" s="1" t="s">
        <v>98</v>
      </c>
      <c r="L1068" s="1" t="s">
        <v>256</v>
      </c>
      <c r="M1068" s="1" t="s">
        <v>257</v>
      </c>
      <c r="N1068" s="1" t="s">
        <v>253</v>
      </c>
      <c r="O1068" s="1">
        <v>312.52</v>
      </c>
      <c r="P1068" s="1" t="s">
        <v>187</v>
      </c>
    </row>
    <row r="1069" spans="1:16">
      <c r="A1069" s="7">
        <v>39923</v>
      </c>
      <c r="B1069" s="1">
        <v>540</v>
      </c>
      <c r="C1069" s="1" t="s">
        <v>234</v>
      </c>
      <c r="D1069" s="1">
        <v>1</v>
      </c>
      <c r="E1069" s="1">
        <v>80</v>
      </c>
      <c r="F1069" s="1">
        <v>23</v>
      </c>
      <c r="G1069" s="1" t="s">
        <v>33</v>
      </c>
      <c r="H1069" s="1">
        <v>2035</v>
      </c>
      <c r="K1069" s="1" t="s">
        <v>155</v>
      </c>
      <c r="L1069" s="1" t="s">
        <v>245</v>
      </c>
      <c r="M1069" s="1" t="s">
        <v>246</v>
      </c>
      <c r="N1069" s="1" t="s">
        <v>253</v>
      </c>
      <c r="O1069" s="1">
        <v>675</v>
      </c>
      <c r="P1069" s="1" t="s">
        <v>187</v>
      </c>
    </row>
    <row r="1070" spans="1:16">
      <c r="A1070" s="7">
        <v>39923</v>
      </c>
      <c r="B1070" s="1">
        <v>472</v>
      </c>
      <c r="C1070" s="1" t="s">
        <v>234</v>
      </c>
      <c r="D1070" s="1">
        <v>3</v>
      </c>
      <c r="E1070" s="1">
        <v>423.22</v>
      </c>
      <c r="F1070" s="1">
        <v>23</v>
      </c>
      <c r="G1070" s="1" t="s">
        <v>3</v>
      </c>
      <c r="H1070" s="1">
        <v>1836</v>
      </c>
      <c r="K1070" s="1" t="s">
        <v>77</v>
      </c>
      <c r="L1070" s="1" t="s">
        <v>248</v>
      </c>
      <c r="M1070" s="1" t="s">
        <v>249</v>
      </c>
      <c r="N1070" s="1" t="s">
        <v>253</v>
      </c>
      <c r="O1070" s="1">
        <v>2470.0500000000002</v>
      </c>
      <c r="P1070" s="1" t="s">
        <v>187</v>
      </c>
    </row>
    <row r="1071" spans="1:16">
      <c r="A1071" s="7">
        <v>40014</v>
      </c>
      <c r="B1071" s="1">
        <v>591</v>
      </c>
      <c r="C1071" s="1" t="s">
        <v>235</v>
      </c>
      <c r="D1071" s="1">
        <v>1</v>
      </c>
      <c r="E1071" s="1">
        <v>116</v>
      </c>
      <c r="F1071" s="1">
        <v>23</v>
      </c>
      <c r="G1071" s="1" t="s">
        <v>16</v>
      </c>
      <c r="H1071" s="1">
        <v>1396</v>
      </c>
      <c r="K1071" s="1" t="s">
        <v>98</v>
      </c>
      <c r="L1071" s="1" t="s">
        <v>245</v>
      </c>
      <c r="M1071" s="1" t="s">
        <v>246</v>
      </c>
      <c r="N1071" s="1" t="s">
        <v>253</v>
      </c>
      <c r="O1071" s="1">
        <v>494</v>
      </c>
      <c r="P1071" s="1" t="s">
        <v>187</v>
      </c>
    </row>
    <row r="1072" spans="1:16">
      <c r="A1072" s="7">
        <v>40014</v>
      </c>
      <c r="B1072" s="1">
        <v>757</v>
      </c>
      <c r="C1072" s="1" t="s">
        <v>234</v>
      </c>
      <c r="D1072" s="1">
        <v>1</v>
      </c>
      <c r="E1072" s="1">
        <v>102</v>
      </c>
      <c r="F1072" s="1">
        <v>23</v>
      </c>
      <c r="G1072" s="1" t="s">
        <v>11</v>
      </c>
      <c r="H1072" s="1">
        <v>2040</v>
      </c>
      <c r="K1072" s="1" t="s">
        <v>98</v>
      </c>
      <c r="L1072" s="1" t="s">
        <v>245</v>
      </c>
      <c r="M1072" s="1" t="s">
        <v>246</v>
      </c>
      <c r="N1072" s="1" t="s">
        <v>253</v>
      </c>
      <c r="O1072" s="1">
        <v>1701.51</v>
      </c>
      <c r="P1072" s="1" t="s">
        <v>187</v>
      </c>
    </row>
    <row r="1073" spans="1:16">
      <c r="A1073" s="7">
        <v>40014</v>
      </c>
      <c r="B1073" s="1">
        <v>744</v>
      </c>
      <c r="C1073" s="1" t="s">
        <v>235</v>
      </c>
      <c r="D1073" s="1">
        <v>1</v>
      </c>
      <c r="E1073" s="1">
        <v>33</v>
      </c>
      <c r="F1073" s="1">
        <v>23</v>
      </c>
      <c r="G1073" s="1" t="s">
        <v>6</v>
      </c>
      <c r="H1073" s="1">
        <v>382</v>
      </c>
      <c r="K1073" s="1" t="s">
        <v>92</v>
      </c>
      <c r="L1073" s="1" t="s">
        <v>245</v>
      </c>
      <c r="M1073" s="1" t="s">
        <v>246</v>
      </c>
      <c r="N1073" s="1" t="s">
        <v>255</v>
      </c>
      <c r="O1073" s="1">
        <v>3306.61</v>
      </c>
      <c r="P1073" s="1" t="s">
        <v>188</v>
      </c>
    </row>
    <row r="1074" spans="1:16">
      <c r="A1074" s="7">
        <v>40014</v>
      </c>
      <c r="B1074" s="1">
        <v>745</v>
      </c>
      <c r="C1074" s="1" t="s">
        <v>235</v>
      </c>
      <c r="D1074" s="1">
        <v>1</v>
      </c>
      <c r="E1074" s="1">
        <v>1025.48</v>
      </c>
      <c r="F1074" s="1">
        <v>23</v>
      </c>
      <c r="G1074" s="1" t="s">
        <v>6</v>
      </c>
      <c r="H1074" s="1">
        <v>1970</v>
      </c>
      <c r="K1074" s="1" t="s">
        <v>90</v>
      </c>
      <c r="L1074" s="1" t="s">
        <v>245</v>
      </c>
      <c r="M1074" s="1" t="s">
        <v>246</v>
      </c>
      <c r="N1074" s="1" t="s">
        <v>255</v>
      </c>
      <c r="O1074" s="1">
        <v>442.1</v>
      </c>
      <c r="P1074" s="1" t="s">
        <v>188</v>
      </c>
    </row>
    <row r="1075" spans="1:16">
      <c r="A1075" s="7">
        <v>40014</v>
      </c>
      <c r="B1075" s="1">
        <v>758</v>
      </c>
      <c r="C1075" s="1" t="s">
        <v>234</v>
      </c>
      <c r="D1075" s="1">
        <v>1</v>
      </c>
      <c r="E1075" s="1">
        <v>1125.6400000000001</v>
      </c>
      <c r="F1075" s="1">
        <v>23</v>
      </c>
      <c r="G1075" s="1" t="s">
        <v>6</v>
      </c>
      <c r="H1075" s="1">
        <v>1010</v>
      </c>
      <c r="K1075" s="1" t="s">
        <v>94</v>
      </c>
      <c r="L1075" s="1" t="s">
        <v>245</v>
      </c>
      <c r="M1075" s="1" t="s">
        <v>246</v>
      </c>
      <c r="N1075" s="1" t="s">
        <v>255</v>
      </c>
      <c r="O1075" s="1">
        <v>539.84</v>
      </c>
      <c r="P1075" s="1" t="s">
        <v>189</v>
      </c>
    </row>
    <row r="1076" spans="1:16">
      <c r="A1076" s="7">
        <v>40014</v>
      </c>
      <c r="B1076" s="1">
        <v>759</v>
      </c>
      <c r="C1076" s="1" t="s">
        <v>234</v>
      </c>
      <c r="D1076" s="1">
        <v>8</v>
      </c>
      <c r="E1076" s="1">
        <v>530.39</v>
      </c>
      <c r="F1076" s="1">
        <v>23</v>
      </c>
      <c r="G1076" s="1" t="s">
        <v>6</v>
      </c>
      <c r="H1076" s="1">
        <v>125</v>
      </c>
      <c r="K1076" s="1" t="s">
        <v>63</v>
      </c>
      <c r="L1076" s="1" t="s">
        <v>242</v>
      </c>
      <c r="M1076" s="1" t="s">
        <v>243</v>
      </c>
      <c r="N1076" s="1" t="s">
        <v>244</v>
      </c>
      <c r="O1076" s="1">
        <v>23092.82</v>
      </c>
      <c r="P1076" s="1" t="s">
        <v>186</v>
      </c>
    </row>
    <row r="1077" spans="1:16">
      <c r="A1077" s="7">
        <v>40014</v>
      </c>
      <c r="B1077" s="1">
        <v>761</v>
      </c>
      <c r="C1077" s="1" t="s">
        <v>235</v>
      </c>
      <c r="D1077" s="1">
        <v>1</v>
      </c>
      <c r="E1077" s="1">
        <v>625.17999999999995</v>
      </c>
      <c r="F1077" s="1">
        <v>23</v>
      </c>
      <c r="G1077" s="1" t="s">
        <v>6</v>
      </c>
      <c r="H1077" s="1">
        <v>902</v>
      </c>
      <c r="K1077" s="1" t="s">
        <v>63</v>
      </c>
      <c r="L1077" s="1" t="s">
        <v>242</v>
      </c>
      <c r="M1077" s="1" t="s">
        <v>243</v>
      </c>
      <c r="N1077" s="1" t="s">
        <v>244</v>
      </c>
      <c r="O1077" s="1">
        <v>12680.35</v>
      </c>
      <c r="P1077" s="1" t="s">
        <v>186</v>
      </c>
    </row>
    <row r="1078" spans="1:16">
      <c r="A1078" s="7">
        <v>40014</v>
      </c>
      <c r="B1078" s="1">
        <v>762</v>
      </c>
      <c r="C1078" s="1" t="s">
        <v>235</v>
      </c>
      <c r="D1078" s="1">
        <v>1</v>
      </c>
      <c r="E1078" s="1">
        <v>374.95</v>
      </c>
      <c r="F1078" s="1">
        <v>23</v>
      </c>
      <c r="G1078" s="1" t="s">
        <v>6</v>
      </c>
      <c r="H1078" s="1">
        <v>173</v>
      </c>
      <c r="K1078" s="1" t="s">
        <v>63</v>
      </c>
      <c r="L1078" s="1" t="s">
        <v>242</v>
      </c>
      <c r="M1078" s="1" t="s">
        <v>243</v>
      </c>
      <c r="N1078" s="1" t="s">
        <v>244</v>
      </c>
      <c r="O1078" s="1">
        <v>-2407.9899999999998</v>
      </c>
      <c r="P1078" s="1" t="s">
        <v>186</v>
      </c>
    </row>
    <row r="1079" spans="1:16">
      <c r="A1079" s="7">
        <v>40014</v>
      </c>
      <c r="B1079" s="1">
        <v>763</v>
      </c>
      <c r="C1079" s="1" t="s">
        <v>235</v>
      </c>
      <c r="D1079" s="1">
        <v>1</v>
      </c>
      <c r="E1079" s="1">
        <v>625.84</v>
      </c>
      <c r="F1079" s="1">
        <v>23</v>
      </c>
      <c r="G1079" s="1" t="s">
        <v>6</v>
      </c>
      <c r="H1079" s="1">
        <v>668</v>
      </c>
      <c r="K1079" s="1" t="s">
        <v>63</v>
      </c>
      <c r="L1079" s="1" t="s">
        <v>242</v>
      </c>
      <c r="M1079" s="1" t="s">
        <v>243</v>
      </c>
      <c r="N1079" s="1" t="s">
        <v>244</v>
      </c>
      <c r="O1079" s="1">
        <v>31586.1</v>
      </c>
      <c r="P1079" s="1" t="s">
        <v>186</v>
      </c>
    </row>
    <row r="1080" spans="1:16">
      <c r="A1080" s="7">
        <v>40014</v>
      </c>
      <c r="B1080" s="1">
        <v>764</v>
      </c>
      <c r="C1080" s="1" t="s">
        <v>234</v>
      </c>
      <c r="D1080" s="1">
        <v>1</v>
      </c>
      <c r="E1080" s="1">
        <v>731.6</v>
      </c>
      <c r="F1080" s="1">
        <v>23</v>
      </c>
      <c r="G1080" s="1" t="s">
        <v>6</v>
      </c>
      <c r="H1080" s="1">
        <v>616</v>
      </c>
      <c r="K1080" s="1" t="s">
        <v>63</v>
      </c>
      <c r="L1080" s="1" t="s">
        <v>242</v>
      </c>
      <c r="M1080" s="1" t="s">
        <v>243</v>
      </c>
      <c r="N1080" s="1" t="s">
        <v>244</v>
      </c>
      <c r="O1080" s="1">
        <v>10308.07</v>
      </c>
      <c r="P1080" s="1" t="s">
        <v>186</v>
      </c>
    </row>
    <row r="1081" spans="1:16">
      <c r="A1081" s="7">
        <v>40014</v>
      </c>
      <c r="B1081" s="1">
        <v>765</v>
      </c>
      <c r="C1081" s="1" t="s">
        <v>234</v>
      </c>
      <c r="D1081" s="1">
        <v>1</v>
      </c>
      <c r="E1081" s="1">
        <v>453.97</v>
      </c>
      <c r="F1081" s="1">
        <v>23</v>
      </c>
      <c r="G1081" s="1" t="s">
        <v>6</v>
      </c>
      <c r="H1081" s="1">
        <v>1738</v>
      </c>
      <c r="K1081" s="1" t="s">
        <v>65</v>
      </c>
      <c r="L1081" s="1" t="s">
        <v>242</v>
      </c>
      <c r="M1081" s="1" t="s">
        <v>243</v>
      </c>
      <c r="N1081" s="1" t="s">
        <v>244</v>
      </c>
      <c r="O1081" s="1">
        <v>9221.1200000000008</v>
      </c>
      <c r="P1081" s="1" t="s">
        <v>186</v>
      </c>
    </row>
    <row r="1082" spans="1:16">
      <c r="A1082" s="7">
        <v>40014</v>
      </c>
      <c r="B1082" s="1">
        <v>766</v>
      </c>
      <c r="C1082" s="1" t="s">
        <v>234</v>
      </c>
      <c r="D1082" s="1">
        <v>1</v>
      </c>
      <c r="E1082" s="1">
        <v>230.08</v>
      </c>
      <c r="F1082" s="1">
        <v>23</v>
      </c>
      <c r="G1082" s="1" t="s">
        <v>6</v>
      </c>
      <c r="H1082" s="1">
        <v>2007</v>
      </c>
      <c r="K1082" s="1" t="s">
        <v>66</v>
      </c>
      <c r="L1082" s="1" t="s">
        <v>242</v>
      </c>
      <c r="M1082" s="1" t="s">
        <v>243</v>
      </c>
      <c r="N1082" s="1" t="s">
        <v>244</v>
      </c>
      <c r="O1082" s="1">
        <v>1307.22</v>
      </c>
      <c r="P1082" s="1" t="s">
        <v>186</v>
      </c>
    </row>
    <row r="1083" spans="1:16">
      <c r="A1083" s="7">
        <v>40014</v>
      </c>
      <c r="B1083" s="1">
        <v>767</v>
      </c>
      <c r="C1083" s="1" t="s">
        <v>234</v>
      </c>
      <c r="D1083" s="1">
        <v>4</v>
      </c>
      <c r="E1083" s="1">
        <v>335.44</v>
      </c>
      <c r="F1083" s="1">
        <v>23</v>
      </c>
      <c r="G1083" s="1" t="s">
        <v>6</v>
      </c>
      <c r="H1083" s="1">
        <v>1270</v>
      </c>
      <c r="K1083" s="1" t="s">
        <v>66</v>
      </c>
      <c r="L1083" s="1" t="s">
        <v>242</v>
      </c>
      <c r="M1083" s="1" t="s">
        <v>243</v>
      </c>
      <c r="N1083" s="1" t="s">
        <v>244</v>
      </c>
      <c r="O1083" s="1">
        <v>244.75</v>
      </c>
      <c r="P1083" s="1" t="s">
        <v>186</v>
      </c>
    </row>
    <row r="1084" spans="1:16">
      <c r="A1084" s="7">
        <v>40045</v>
      </c>
      <c r="B1084" s="1">
        <v>881</v>
      </c>
      <c r="C1084" s="1" t="s">
        <v>234</v>
      </c>
      <c r="D1084" s="1">
        <v>1</v>
      </c>
      <c r="E1084" s="1">
        <v>901.5</v>
      </c>
      <c r="F1084" s="1">
        <v>23</v>
      </c>
      <c r="G1084" s="1" t="s">
        <v>7</v>
      </c>
      <c r="H1084" s="1">
        <v>0</v>
      </c>
      <c r="K1084" s="1" t="s">
        <v>66</v>
      </c>
      <c r="L1084" s="1" t="s">
        <v>242</v>
      </c>
      <c r="M1084" s="1" t="s">
        <v>243</v>
      </c>
      <c r="N1084" s="1" t="s">
        <v>244</v>
      </c>
      <c r="O1084" s="1">
        <v>375.68</v>
      </c>
      <c r="P1084" s="1" t="s">
        <v>186</v>
      </c>
    </row>
    <row r="1085" spans="1:16">
      <c r="A1085" s="7">
        <v>40045</v>
      </c>
      <c r="B1085" s="1">
        <v>881</v>
      </c>
      <c r="C1085" s="1" t="s">
        <v>234</v>
      </c>
      <c r="D1085" s="1">
        <v>1</v>
      </c>
      <c r="E1085" s="1">
        <v>78</v>
      </c>
      <c r="F1085" s="1">
        <v>23</v>
      </c>
      <c r="G1085" s="1" t="s">
        <v>11</v>
      </c>
      <c r="H1085" s="1">
        <v>0</v>
      </c>
      <c r="K1085" s="1" t="s">
        <v>67</v>
      </c>
      <c r="L1085" s="1" t="s">
        <v>242</v>
      </c>
      <c r="M1085" s="1" t="s">
        <v>243</v>
      </c>
      <c r="N1085" s="1" t="s">
        <v>244</v>
      </c>
      <c r="O1085" s="1">
        <v>1885.47</v>
      </c>
      <c r="P1085" s="1" t="s">
        <v>186</v>
      </c>
    </row>
    <row r="1086" spans="1:16">
      <c r="A1086" s="7">
        <v>40106</v>
      </c>
      <c r="B1086" s="1">
        <v>1474</v>
      </c>
      <c r="C1086" s="1" t="s">
        <v>235</v>
      </c>
      <c r="D1086" s="1">
        <v>4</v>
      </c>
      <c r="E1086" s="1">
        <v>4.5</v>
      </c>
      <c r="F1086" s="1">
        <v>23</v>
      </c>
      <c r="G1086" s="1" t="s">
        <v>14</v>
      </c>
      <c r="H1086" s="1">
        <v>1417</v>
      </c>
      <c r="K1086" s="1" t="s">
        <v>67</v>
      </c>
      <c r="L1086" s="1" t="s">
        <v>242</v>
      </c>
      <c r="M1086" s="1" t="s">
        <v>243</v>
      </c>
      <c r="N1086" s="1" t="s">
        <v>244</v>
      </c>
      <c r="O1086" s="1">
        <v>948.89</v>
      </c>
      <c r="P1086" s="1" t="s">
        <v>186</v>
      </c>
    </row>
    <row r="1087" spans="1:16">
      <c r="A1087" s="7">
        <v>40167</v>
      </c>
      <c r="B1087" s="1">
        <v>1555</v>
      </c>
      <c r="C1087" s="1" t="s">
        <v>237</v>
      </c>
      <c r="D1087" s="1">
        <v>4</v>
      </c>
      <c r="E1087" s="1">
        <v>148</v>
      </c>
      <c r="F1087" s="1">
        <v>23</v>
      </c>
      <c r="G1087" s="1" t="s">
        <v>56</v>
      </c>
      <c r="H1087" s="1">
        <v>263</v>
      </c>
      <c r="K1087" s="1" t="s">
        <v>67</v>
      </c>
      <c r="L1087" s="1" t="s">
        <v>242</v>
      </c>
      <c r="M1087" s="1" t="s">
        <v>243</v>
      </c>
      <c r="N1087" s="1" t="s">
        <v>244</v>
      </c>
      <c r="O1087" s="1">
        <v>4137.8500000000004</v>
      </c>
      <c r="P1087" s="1" t="s">
        <v>186</v>
      </c>
    </row>
    <row r="1088" spans="1:16">
      <c r="A1088" s="7">
        <v>40167</v>
      </c>
      <c r="B1088" s="1">
        <v>1556</v>
      </c>
      <c r="C1088" s="1" t="s">
        <v>237</v>
      </c>
      <c r="D1088" s="1">
        <v>4</v>
      </c>
      <c r="E1088" s="1">
        <v>249.75</v>
      </c>
      <c r="F1088" s="1">
        <v>23</v>
      </c>
      <c r="G1088" s="1" t="s">
        <v>52</v>
      </c>
      <c r="H1088" s="1">
        <v>260</v>
      </c>
      <c r="K1088" s="1" t="s">
        <v>67</v>
      </c>
      <c r="L1088" s="1" t="s">
        <v>242</v>
      </c>
      <c r="M1088" s="1" t="s">
        <v>243</v>
      </c>
      <c r="N1088" s="1" t="s">
        <v>244</v>
      </c>
      <c r="O1088" s="1">
        <v>466.9</v>
      </c>
      <c r="P1088" s="1" t="s">
        <v>186</v>
      </c>
    </row>
    <row r="1089" spans="1:16">
      <c r="A1089" s="7">
        <v>40167</v>
      </c>
      <c r="B1089" s="1">
        <v>1557</v>
      </c>
      <c r="C1089" s="1" t="s">
        <v>237</v>
      </c>
      <c r="D1089" s="1">
        <v>4</v>
      </c>
      <c r="E1089" s="1">
        <v>132</v>
      </c>
      <c r="F1089" s="1">
        <v>23</v>
      </c>
      <c r="G1089" s="1" t="s">
        <v>4</v>
      </c>
      <c r="H1089" s="1">
        <v>261</v>
      </c>
      <c r="K1089" s="1" t="s">
        <v>68</v>
      </c>
      <c r="L1089" s="1" t="s">
        <v>242</v>
      </c>
      <c r="M1089" s="1" t="s">
        <v>243</v>
      </c>
      <c r="N1089" s="1" t="s">
        <v>244</v>
      </c>
      <c r="O1089" s="1">
        <v>3247.28</v>
      </c>
      <c r="P1089" s="1" t="s">
        <v>186</v>
      </c>
    </row>
    <row r="1090" spans="1:16">
      <c r="A1090" s="7">
        <v>40167</v>
      </c>
      <c r="B1090" s="1">
        <v>1558</v>
      </c>
      <c r="C1090" s="1" t="s">
        <v>237</v>
      </c>
      <c r="D1090" s="1">
        <v>4</v>
      </c>
      <c r="E1090" s="1">
        <v>36</v>
      </c>
      <c r="F1090" s="1">
        <v>23</v>
      </c>
      <c r="G1090" s="1" t="s">
        <v>57</v>
      </c>
      <c r="H1090" s="1">
        <v>262</v>
      </c>
      <c r="K1090" s="1" t="s">
        <v>68</v>
      </c>
      <c r="L1090" s="1" t="s">
        <v>242</v>
      </c>
      <c r="M1090" s="1" t="s">
        <v>243</v>
      </c>
      <c r="N1090" s="1" t="s">
        <v>244</v>
      </c>
      <c r="O1090" s="1">
        <v>1458.79</v>
      </c>
      <c r="P1090" s="1" t="s">
        <v>186</v>
      </c>
    </row>
    <row r="1091" spans="1:16">
      <c r="A1091" s="7">
        <v>39834</v>
      </c>
      <c r="B1091" s="1">
        <v>34</v>
      </c>
      <c r="C1091" s="1" t="s">
        <v>234</v>
      </c>
      <c r="D1091" s="1">
        <v>4</v>
      </c>
      <c r="E1091" s="1">
        <v>150</v>
      </c>
      <c r="F1091" s="1">
        <v>23</v>
      </c>
      <c r="G1091" s="1" t="s">
        <v>41</v>
      </c>
      <c r="H1091" s="1">
        <v>364</v>
      </c>
      <c r="K1091" s="1" t="s">
        <v>68</v>
      </c>
      <c r="L1091" s="1" t="s">
        <v>242</v>
      </c>
      <c r="M1091" s="1" t="s">
        <v>243</v>
      </c>
      <c r="N1091" s="1" t="s">
        <v>244</v>
      </c>
      <c r="O1091" s="1">
        <v>4644.2299999999996</v>
      </c>
      <c r="P1091" s="1" t="s">
        <v>186</v>
      </c>
    </row>
    <row r="1092" spans="1:16">
      <c r="A1092" s="7">
        <v>39834</v>
      </c>
      <c r="B1092" s="1">
        <v>35</v>
      </c>
      <c r="C1092" s="1" t="s">
        <v>234</v>
      </c>
      <c r="D1092" s="1">
        <v>1</v>
      </c>
      <c r="E1092" s="1">
        <v>150</v>
      </c>
      <c r="F1092" s="1">
        <v>23</v>
      </c>
      <c r="G1092" s="1" t="s">
        <v>41</v>
      </c>
      <c r="H1092" s="1">
        <v>1999</v>
      </c>
      <c r="K1092" s="1" t="s">
        <v>68</v>
      </c>
      <c r="L1092" s="1" t="s">
        <v>242</v>
      </c>
      <c r="M1092" s="1" t="s">
        <v>243</v>
      </c>
      <c r="N1092" s="1" t="s">
        <v>244</v>
      </c>
      <c r="O1092" s="1">
        <v>1400.79</v>
      </c>
      <c r="P1092" s="1" t="s">
        <v>186</v>
      </c>
    </row>
    <row r="1093" spans="1:16">
      <c r="A1093" s="7">
        <v>40199</v>
      </c>
      <c r="B1093" s="1">
        <v>1580</v>
      </c>
      <c r="C1093" s="1" t="s">
        <v>239</v>
      </c>
      <c r="D1093" s="1">
        <v>99</v>
      </c>
      <c r="E1093" s="1">
        <v>5</v>
      </c>
      <c r="F1093" s="1">
        <v>23</v>
      </c>
      <c r="G1093" s="1" t="s">
        <v>50</v>
      </c>
      <c r="H1093" s="1">
        <v>778</v>
      </c>
      <c r="K1093" s="1" t="s">
        <v>69</v>
      </c>
      <c r="L1093" s="1" t="s">
        <v>242</v>
      </c>
      <c r="M1093" s="1" t="s">
        <v>243</v>
      </c>
      <c r="N1093" s="1" t="s">
        <v>244</v>
      </c>
      <c r="O1093" s="1">
        <v>1198.76</v>
      </c>
      <c r="P1093" s="1" t="s">
        <v>186</v>
      </c>
    </row>
    <row r="1094" spans="1:16">
      <c r="A1094" s="7">
        <v>39865</v>
      </c>
      <c r="B1094" s="1">
        <v>404</v>
      </c>
      <c r="C1094" s="1" t="s">
        <v>234</v>
      </c>
      <c r="D1094" s="1">
        <v>4</v>
      </c>
      <c r="E1094" s="1">
        <v>256.42</v>
      </c>
      <c r="F1094" s="1">
        <v>23</v>
      </c>
      <c r="G1094" s="1" t="s">
        <v>29</v>
      </c>
      <c r="H1094" s="1">
        <v>779</v>
      </c>
      <c r="K1094" s="1" t="s">
        <v>70</v>
      </c>
      <c r="L1094" s="1" t="s">
        <v>242</v>
      </c>
      <c r="M1094" s="1" t="s">
        <v>243</v>
      </c>
      <c r="N1094" s="1" t="s">
        <v>244</v>
      </c>
      <c r="O1094" s="1">
        <v>169.95</v>
      </c>
      <c r="P1094" s="1" t="s">
        <v>186</v>
      </c>
    </row>
    <row r="1095" spans="1:16">
      <c r="A1095" s="7">
        <v>39865</v>
      </c>
      <c r="B1095" s="1">
        <v>405</v>
      </c>
      <c r="C1095" s="1" t="s">
        <v>234</v>
      </c>
      <c r="D1095" s="1">
        <v>4</v>
      </c>
      <c r="E1095" s="1">
        <v>620.84</v>
      </c>
      <c r="F1095" s="1">
        <v>23</v>
      </c>
      <c r="G1095" s="1" t="s">
        <v>29</v>
      </c>
      <c r="H1095" s="1">
        <v>1782</v>
      </c>
      <c r="K1095" s="1" t="s">
        <v>70</v>
      </c>
      <c r="L1095" s="1" t="s">
        <v>242</v>
      </c>
      <c r="M1095" s="1" t="s">
        <v>243</v>
      </c>
      <c r="N1095" s="1" t="s">
        <v>244</v>
      </c>
      <c r="O1095" s="1">
        <v>31.83</v>
      </c>
      <c r="P1095" s="1" t="s">
        <v>186</v>
      </c>
    </row>
    <row r="1096" spans="1:16">
      <c r="A1096" s="7">
        <v>40015</v>
      </c>
      <c r="B1096" s="1">
        <v>928</v>
      </c>
      <c r="C1096" s="1" t="s">
        <v>234</v>
      </c>
      <c r="D1096" s="1">
        <v>4</v>
      </c>
      <c r="E1096" s="1">
        <v>7969.23</v>
      </c>
      <c r="F1096" s="1">
        <v>23</v>
      </c>
      <c r="G1096" s="1" t="s">
        <v>46</v>
      </c>
      <c r="H1096" s="1">
        <v>0</v>
      </c>
      <c r="K1096" s="1" t="s">
        <v>70</v>
      </c>
      <c r="L1096" s="1" t="s">
        <v>242</v>
      </c>
      <c r="M1096" s="1" t="s">
        <v>243</v>
      </c>
      <c r="N1096" s="1" t="s">
        <v>244</v>
      </c>
      <c r="O1096" s="1">
        <v>48.84</v>
      </c>
      <c r="P1096" s="1" t="s">
        <v>186</v>
      </c>
    </row>
    <row r="1097" spans="1:16">
      <c r="A1097" s="7">
        <v>40015</v>
      </c>
      <c r="B1097" s="1">
        <v>768</v>
      </c>
      <c r="C1097" s="1" t="s">
        <v>235</v>
      </c>
      <c r="D1097" s="1">
        <v>1</v>
      </c>
      <c r="E1097" s="1">
        <v>605.38</v>
      </c>
      <c r="F1097" s="1">
        <v>23</v>
      </c>
      <c r="G1097" s="1" t="s">
        <v>6</v>
      </c>
      <c r="H1097" s="1">
        <v>1390</v>
      </c>
      <c r="K1097" s="1" t="s">
        <v>71</v>
      </c>
      <c r="L1097" s="1" t="s">
        <v>242</v>
      </c>
      <c r="M1097" s="1" t="s">
        <v>243</v>
      </c>
      <c r="N1097" s="1" t="s">
        <v>244</v>
      </c>
      <c r="O1097" s="1">
        <v>341.94</v>
      </c>
      <c r="P1097" s="1" t="s">
        <v>186</v>
      </c>
    </row>
    <row r="1098" spans="1:16">
      <c r="A1098" s="7">
        <v>40015</v>
      </c>
      <c r="B1098" s="1">
        <v>769</v>
      </c>
      <c r="C1098" s="1" t="s">
        <v>235</v>
      </c>
      <c r="D1098" s="1">
        <v>1</v>
      </c>
      <c r="E1098" s="1">
        <v>207.72</v>
      </c>
      <c r="F1098" s="1">
        <v>23</v>
      </c>
      <c r="G1098" s="1" t="s">
        <v>6</v>
      </c>
      <c r="H1098" s="1">
        <v>308</v>
      </c>
      <c r="K1098" s="1" t="s">
        <v>71</v>
      </c>
      <c r="L1098" s="1" t="s">
        <v>242</v>
      </c>
      <c r="M1098" s="1" t="s">
        <v>243</v>
      </c>
      <c r="N1098" s="1" t="s">
        <v>244</v>
      </c>
      <c r="O1098" s="1">
        <v>112.19</v>
      </c>
      <c r="P1098" s="1" t="s">
        <v>186</v>
      </c>
    </row>
    <row r="1099" spans="1:16">
      <c r="A1099" s="7">
        <v>40015</v>
      </c>
      <c r="B1099" s="1">
        <v>770</v>
      </c>
      <c r="C1099" s="1" t="s">
        <v>235</v>
      </c>
      <c r="D1099" s="1">
        <v>1</v>
      </c>
      <c r="E1099" s="1">
        <v>309.10000000000002</v>
      </c>
      <c r="F1099" s="1">
        <v>23</v>
      </c>
      <c r="G1099" s="1" t="s">
        <v>6</v>
      </c>
      <c r="H1099" s="1">
        <v>1779</v>
      </c>
      <c r="K1099" s="1" t="s">
        <v>71</v>
      </c>
      <c r="L1099" s="1" t="s">
        <v>242</v>
      </c>
      <c r="M1099" s="1" t="s">
        <v>243</v>
      </c>
      <c r="N1099" s="1" t="s">
        <v>244</v>
      </c>
      <c r="O1099" s="1">
        <v>357.19</v>
      </c>
      <c r="P1099" s="1" t="s">
        <v>186</v>
      </c>
    </row>
    <row r="1100" spans="1:16">
      <c r="A1100" s="7">
        <v>40015</v>
      </c>
      <c r="B1100" s="1">
        <v>771</v>
      </c>
      <c r="C1100" s="1" t="s">
        <v>235</v>
      </c>
      <c r="D1100" s="1">
        <v>1</v>
      </c>
      <c r="E1100" s="1">
        <v>248.92</v>
      </c>
      <c r="F1100" s="1">
        <v>23</v>
      </c>
      <c r="G1100" s="1" t="s">
        <v>6</v>
      </c>
      <c r="H1100" s="1">
        <v>25</v>
      </c>
      <c r="K1100" s="1" t="s">
        <v>71</v>
      </c>
      <c r="L1100" s="1" t="s">
        <v>242</v>
      </c>
      <c r="M1100" s="1" t="s">
        <v>243</v>
      </c>
      <c r="N1100" s="1" t="s">
        <v>244</v>
      </c>
      <c r="O1100" s="1">
        <v>107.72</v>
      </c>
      <c r="P1100" s="1" t="s">
        <v>186</v>
      </c>
    </row>
    <row r="1101" spans="1:16">
      <c r="A1101" s="7">
        <v>40015</v>
      </c>
      <c r="B1101" s="1">
        <v>772</v>
      </c>
      <c r="C1101" s="1" t="s">
        <v>235</v>
      </c>
      <c r="D1101" s="1">
        <v>1</v>
      </c>
      <c r="E1101" s="1">
        <v>528.09</v>
      </c>
      <c r="F1101" s="1">
        <v>23</v>
      </c>
      <c r="G1101" s="1" t="s">
        <v>6</v>
      </c>
      <c r="H1101" s="1">
        <v>1173</v>
      </c>
      <c r="K1101" s="1" t="s">
        <v>90</v>
      </c>
      <c r="L1101" s="1" t="s">
        <v>245</v>
      </c>
      <c r="M1101" s="1" t="s">
        <v>246</v>
      </c>
      <c r="N1101" s="1" t="s">
        <v>255</v>
      </c>
      <c r="O1101" s="1">
        <v>312.13</v>
      </c>
      <c r="P1101" s="1" t="s">
        <v>190</v>
      </c>
    </row>
    <row r="1102" spans="1:16">
      <c r="A1102" s="7">
        <v>40015</v>
      </c>
      <c r="B1102" s="1">
        <v>773</v>
      </c>
      <c r="C1102" s="1" t="s">
        <v>234</v>
      </c>
      <c r="D1102" s="1">
        <v>2</v>
      </c>
      <c r="E1102" s="1">
        <v>349.67</v>
      </c>
      <c r="F1102" s="1">
        <v>23</v>
      </c>
      <c r="G1102" s="1" t="s">
        <v>6</v>
      </c>
      <c r="H1102" s="1">
        <v>663</v>
      </c>
      <c r="K1102" s="1" t="s">
        <v>116</v>
      </c>
      <c r="L1102" s="1" t="s">
        <v>245</v>
      </c>
      <c r="M1102" s="1" t="s">
        <v>246</v>
      </c>
      <c r="N1102" s="1" t="s">
        <v>255</v>
      </c>
      <c r="O1102" s="1">
        <v>78.900000000000006</v>
      </c>
      <c r="P1102" s="1" t="s">
        <v>191</v>
      </c>
    </row>
    <row r="1103" spans="1:16">
      <c r="A1103" s="7">
        <v>40015</v>
      </c>
      <c r="B1103" s="1">
        <v>774</v>
      </c>
      <c r="C1103" s="1" t="s">
        <v>234</v>
      </c>
      <c r="D1103" s="1">
        <v>4</v>
      </c>
      <c r="E1103" s="1">
        <v>414.46</v>
      </c>
      <c r="F1103" s="1">
        <v>23</v>
      </c>
      <c r="G1103" s="1" t="s">
        <v>6</v>
      </c>
      <c r="H1103" s="1">
        <v>1248</v>
      </c>
      <c r="K1103" s="1" t="s">
        <v>98</v>
      </c>
      <c r="L1103" s="1" t="s">
        <v>262</v>
      </c>
      <c r="M1103" s="1" t="s">
        <v>263</v>
      </c>
      <c r="N1103" s="1" t="s">
        <v>247</v>
      </c>
      <c r="O1103" s="1">
        <v>11484.5</v>
      </c>
      <c r="P1103" s="1" t="s">
        <v>192</v>
      </c>
    </row>
    <row r="1104" spans="1:16">
      <c r="A1104" s="7">
        <v>40015</v>
      </c>
      <c r="B1104" s="1">
        <v>775</v>
      </c>
      <c r="C1104" s="1" t="s">
        <v>234</v>
      </c>
      <c r="D1104" s="1">
        <v>4</v>
      </c>
      <c r="E1104" s="1">
        <v>656.42</v>
      </c>
      <c r="F1104" s="1">
        <v>23</v>
      </c>
      <c r="G1104" s="1" t="s">
        <v>6</v>
      </c>
      <c r="H1104" s="1">
        <v>1754</v>
      </c>
      <c r="K1104" s="1" t="s">
        <v>76</v>
      </c>
      <c r="L1104" s="1" t="s">
        <v>248</v>
      </c>
      <c r="M1104" s="1" t="s">
        <v>249</v>
      </c>
      <c r="N1104" s="1" t="s">
        <v>250</v>
      </c>
      <c r="O1104" s="1">
        <v>500</v>
      </c>
      <c r="P1104" s="1" t="s">
        <v>192</v>
      </c>
    </row>
    <row r="1105" spans="1:16">
      <c r="A1105" s="7">
        <v>40015</v>
      </c>
      <c r="B1105" s="1">
        <v>776</v>
      </c>
      <c r="C1105" s="1" t="s">
        <v>235</v>
      </c>
      <c r="D1105" s="1">
        <v>1</v>
      </c>
      <c r="E1105" s="1">
        <v>398.6</v>
      </c>
      <c r="F1105" s="1">
        <v>23</v>
      </c>
      <c r="G1105" s="1" t="s">
        <v>6</v>
      </c>
      <c r="H1105" s="1">
        <v>1763</v>
      </c>
      <c r="K1105" s="1" t="s">
        <v>76</v>
      </c>
      <c r="L1105" s="1" t="s">
        <v>248</v>
      </c>
      <c r="M1105" s="1" t="s">
        <v>249</v>
      </c>
      <c r="N1105" s="1" t="s">
        <v>250</v>
      </c>
      <c r="O1105" s="1">
        <v>353</v>
      </c>
      <c r="P1105" s="1" t="s">
        <v>192</v>
      </c>
    </row>
    <row r="1106" spans="1:16">
      <c r="A1106" s="7">
        <v>40015</v>
      </c>
      <c r="B1106" s="1">
        <v>777</v>
      </c>
      <c r="C1106" s="1" t="s">
        <v>235</v>
      </c>
      <c r="D1106" s="1">
        <v>1</v>
      </c>
      <c r="E1106" s="1">
        <v>216.91</v>
      </c>
      <c r="F1106" s="1">
        <v>23</v>
      </c>
      <c r="G1106" s="1" t="s">
        <v>6</v>
      </c>
      <c r="H1106" s="1">
        <v>60</v>
      </c>
      <c r="K1106" s="1" t="s">
        <v>98</v>
      </c>
      <c r="L1106" s="1" t="s">
        <v>245</v>
      </c>
      <c r="M1106" s="1" t="s">
        <v>246</v>
      </c>
      <c r="N1106" s="1" t="s">
        <v>250</v>
      </c>
      <c r="O1106" s="1">
        <v>34736.42</v>
      </c>
      <c r="P1106" s="1" t="s">
        <v>192</v>
      </c>
    </row>
    <row r="1107" spans="1:16">
      <c r="A1107" s="7">
        <v>40015</v>
      </c>
      <c r="B1107" s="1">
        <v>778</v>
      </c>
      <c r="C1107" s="1" t="s">
        <v>235</v>
      </c>
      <c r="D1107" s="1">
        <v>1</v>
      </c>
      <c r="E1107" s="1">
        <v>519.82000000000005</v>
      </c>
      <c r="F1107" s="1">
        <v>23</v>
      </c>
      <c r="G1107" s="1" t="s">
        <v>6</v>
      </c>
      <c r="H1107" s="1">
        <v>1045</v>
      </c>
      <c r="K1107" s="1" t="s">
        <v>76</v>
      </c>
      <c r="L1107" s="1" t="s">
        <v>245</v>
      </c>
      <c r="M1107" s="1" t="s">
        <v>246</v>
      </c>
      <c r="N1107" s="1" t="s">
        <v>250</v>
      </c>
      <c r="O1107" s="1">
        <v>3831.98</v>
      </c>
      <c r="P1107" s="1" t="s">
        <v>192</v>
      </c>
    </row>
    <row r="1108" spans="1:16">
      <c r="A1108" s="7">
        <v>40015</v>
      </c>
      <c r="B1108" s="1">
        <v>779</v>
      </c>
      <c r="C1108" s="1" t="s">
        <v>234</v>
      </c>
      <c r="D1108" s="1">
        <v>3</v>
      </c>
      <c r="E1108" s="1">
        <v>335.44</v>
      </c>
      <c r="F1108" s="1">
        <v>23</v>
      </c>
      <c r="G1108" s="1" t="s">
        <v>6</v>
      </c>
      <c r="H1108" s="1">
        <v>635</v>
      </c>
      <c r="K1108" s="1" t="s">
        <v>76</v>
      </c>
      <c r="L1108" s="1" t="s">
        <v>245</v>
      </c>
      <c r="M1108" s="1" t="s">
        <v>246</v>
      </c>
      <c r="N1108" s="1" t="s">
        <v>250</v>
      </c>
      <c r="O1108" s="1">
        <v>7851.6</v>
      </c>
      <c r="P1108" s="1" t="s">
        <v>192</v>
      </c>
    </row>
    <row r="1109" spans="1:16">
      <c r="A1109" s="7">
        <v>40015</v>
      </c>
      <c r="B1109" s="1">
        <v>780</v>
      </c>
      <c r="C1109" s="1" t="s">
        <v>234</v>
      </c>
      <c r="D1109" s="1">
        <v>4</v>
      </c>
      <c r="E1109" s="1">
        <v>493.48</v>
      </c>
      <c r="F1109" s="1">
        <v>23</v>
      </c>
      <c r="G1109" s="1" t="s">
        <v>6</v>
      </c>
      <c r="H1109" s="1">
        <v>1777</v>
      </c>
      <c r="K1109" s="1" t="s">
        <v>76</v>
      </c>
      <c r="L1109" s="1" t="s">
        <v>245</v>
      </c>
      <c r="M1109" s="1" t="s">
        <v>246</v>
      </c>
      <c r="N1109" s="1" t="s">
        <v>250</v>
      </c>
      <c r="O1109" s="1">
        <v>18032.740000000002</v>
      </c>
      <c r="P1109" s="1" t="s">
        <v>192</v>
      </c>
    </row>
    <row r="1110" spans="1:16">
      <c r="A1110" s="7">
        <v>40015</v>
      </c>
      <c r="B1110" s="1">
        <v>781</v>
      </c>
      <c r="C1110" s="1" t="s">
        <v>234</v>
      </c>
      <c r="D1110" s="1">
        <v>4</v>
      </c>
      <c r="E1110" s="1">
        <v>414.46</v>
      </c>
      <c r="F1110" s="1">
        <v>23</v>
      </c>
      <c r="G1110" s="1" t="s">
        <v>6</v>
      </c>
      <c r="H1110" s="1">
        <v>1797</v>
      </c>
      <c r="K1110" s="1" t="s">
        <v>76</v>
      </c>
      <c r="L1110" s="1" t="s">
        <v>245</v>
      </c>
      <c r="M1110" s="1" t="s">
        <v>246</v>
      </c>
      <c r="N1110" s="1" t="s">
        <v>250</v>
      </c>
      <c r="O1110" s="1">
        <v>122649.06</v>
      </c>
      <c r="P1110" s="1" t="s">
        <v>192</v>
      </c>
    </row>
    <row r="1111" spans="1:16">
      <c r="A1111" s="7">
        <v>40077</v>
      </c>
      <c r="B1111" s="1">
        <v>1124</v>
      </c>
      <c r="C1111" s="1" t="s">
        <v>234</v>
      </c>
      <c r="D1111" s="1">
        <v>3</v>
      </c>
      <c r="E1111" s="1">
        <v>901.5</v>
      </c>
      <c r="F1111" s="1">
        <v>23</v>
      </c>
      <c r="G1111" s="1" t="s">
        <v>7</v>
      </c>
      <c r="H1111" s="1">
        <v>2113</v>
      </c>
      <c r="K1111" s="1" t="s">
        <v>75</v>
      </c>
      <c r="L1111" s="1" t="s">
        <v>245</v>
      </c>
      <c r="M1111" s="1" t="s">
        <v>246</v>
      </c>
      <c r="N1111" s="1" t="s">
        <v>250</v>
      </c>
      <c r="O1111" s="1">
        <v>175.38</v>
      </c>
      <c r="P1111" s="1" t="s">
        <v>192</v>
      </c>
    </row>
    <row r="1112" spans="1:16">
      <c r="A1112" s="7">
        <v>40077</v>
      </c>
      <c r="B1112" s="1">
        <v>1124</v>
      </c>
      <c r="C1112" s="1" t="s">
        <v>234</v>
      </c>
      <c r="D1112" s="1">
        <v>3</v>
      </c>
      <c r="E1112" s="1">
        <v>78</v>
      </c>
      <c r="F1112" s="1">
        <v>23</v>
      </c>
      <c r="G1112" s="1" t="s">
        <v>11</v>
      </c>
      <c r="H1112" s="1">
        <v>2113</v>
      </c>
      <c r="K1112" s="1" t="s">
        <v>76</v>
      </c>
      <c r="L1112" s="1" t="s">
        <v>245</v>
      </c>
      <c r="M1112" s="1" t="s">
        <v>246</v>
      </c>
      <c r="N1112" s="1" t="s">
        <v>250</v>
      </c>
      <c r="O1112" s="1">
        <v>2220.15</v>
      </c>
      <c r="P1112" s="1" t="s">
        <v>192</v>
      </c>
    </row>
    <row r="1113" spans="1:16">
      <c r="A1113" s="7">
        <v>40077</v>
      </c>
      <c r="B1113" s="1">
        <v>1163</v>
      </c>
      <c r="C1113" s="1" t="s">
        <v>235</v>
      </c>
      <c r="D1113" s="1">
        <v>4</v>
      </c>
      <c r="E1113" s="1">
        <v>62.7</v>
      </c>
      <c r="F1113" s="1">
        <v>23</v>
      </c>
      <c r="G1113" s="1" t="s">
        <v>13</v>
      </c>
      <c r="H1113" s="1">
        <v>1457</v>
      </c>
      <c r="K1113" s="1" t="s">
        <v>76</v>
      </c>
      <c r="L1113" s="1" t="s">
        <v>245</v>
      </c>
      <c r="M1113" s="1" t="s">
        <v>246</v>
      </c>
      <c r="N1113" s="1" t="s">
        <v>250</v>
      </c>
      <c r="O1113" s="1">
        <v>2580</v>
      </c>
      <c r="P1113" s="1" t="s">
        <v>192</v>
      </c>
    </row>
    <row r="1114" spans="1:16">
      <c r="A1114" s="7">
        <v>40077</v>
      </c>
      <c r="B1114" s="1">
        <v>1164</v>
      </c>
      <c r="C1114" s="1" t="s">
        <v>235</v>
      </c>
      <c r="D1114" s="1">
        <v>4</v>
      </c>
      <c r="E1114" s="1">
        <v>62.7</v>
      </c>
      <c r="F1114" s="1">
        <v>23</v>
      </c>
      <c r="G1114" s="1" t="s">
        <v>13</v>
      </c>
      <c r="H1114" s="1">
        <v>1465</v>
      </c>
      <c r="K1114" s="1" t="s">
        <v>76</v>
      </c>
      <c r="L1114" s="1" t="s">
        <v>245</v>
      </c>
      <c r="M1114" s="1" t="s">
        <v>246</v>
      </c>
      <c r="N1114" s="1" t="s">
        <v>250</v>
      </c>
      <c r="O1114" s="1">
        <v>1168.07</v>
      </c>
      <c r="P1114" s="1" t="s">
        <v>192</v>
      </c>
    </row>
    <row r="1115" spans="1:16">
      <c r="A1115" s="7">
        <v>40077</v>
      </c>
      <c r="B1115" s="1">
        <v>1177</v>
      </c>
      <c r="C1115" s="1" t="s">
        <v>234</v>
      </c>
      <c r="D1115" s="1">
        <v>4</v>
      </c>
      <c r="E1115" s="1">
        <v>438.9</v>
      </c>
      <c r="F1115" s="1">
        <v>23</v>
      </c>
      <c r="G1115" s="1" t="s">
        <v>3</v>
      </c>
      <c r="H1115" s="1">
        <v>0</v>
      </c>
      <c r="K1115" s="1" t="s">
        <v>100</v>
      </c>
      <c r="L1115" s="1" t="s">
        <v>245</v>
      </c>
      <c r="M1115" s="1" t="s">
        <v>246</v>
      </c>
      <c r="N1115" s="1" t="s">
        <v>250</v>
      </c>
      <c r="O1115" s="1">
        <v>30</v>
      </c>
      <c r="P1115" s="1" t="s">
        <v>192</v>
      </c>
    </row>
    <row r="1116" spans="1:16">
      <c r="A1116" s="7">
        <v>40077</v>
      </c>
      <c r="B1116" s="1">
        <v>1179</v>
      </c>
      <c r="C1116" s="1" t="s">
        <v>234</v>
      </c>
      <c r="D1116" s="1">
        <v>4</v>
      </c>
      <c r="E1116" s="1">
        <v>564.29999999999995</v>
      </c>
      <c r="F1116" s="1">
        <v>23</v>
      </c>
      <c r="G1116" s="1" t="s">
        <v>3</v>
      </c>
      <c r="H1116" s="1">
        <v>1352</v>
      </c>
      <c r="K1116" s="1" t="s">
        <v>123</v>
      </c>
      <c r="L1116" s="1" t="s">
        <v>245</v>
      </c>
      <c r="M1116" s="1" t="s">
        <v>246</v>
      </c>
      <c r="N1116" s="1" t="s">
        <v>250</v>
      </c>
      <c r="O1116" s="1">
        <v>31879.72</v>
      </c>
      <c r="P1116" s="1" t="s">
        <v>192</v>
      </c>
    </row>
    <row r="1117" spans="1:16">
      <c r="A1117" s="7">
        <v>40077</v>
      </c>
      <c r="B1117" s="1">
        <v>1181</v>
      </c>
      <c r="C1117" s="1" t="s">
        <v>235</v>
      </c>
      <c r="D1117" s="1">
        <v>1</v>
      </c>
      <c r="E1117" s="1">
        <v>476.96</v>
      </c>
      <c r="F1117" s="1">
        <v>23</v>
      </c>
      <c r="G1117" s="1" t="s">
        <v>5</v>
      </c>
      <c r="H1117" s="1">
        <v>2119</v>
      </c>
      <c r="K1117" s="1" t="s">
        <v>72</v>
      </c>
      <c r="L1117" s="1" t="s">
        <v>245</v>
      </c>
      <c r="M1117" s="1" t="s">
        <v>246</v>
      </c>
      <c r="N1117" s="1" t="s">
        <v>250</v>
      </c>
      <c r="O1117" s="1">
        <v>994.35</v>
      </c>
      <c r="P1117" s="1" t="s">
        <v>192</v>
      </c>
    </row>
    <row r="1118" spans="1:16">
      <c r="A1118" s="7">
        <v>40077</v>
      </c>
      <c r="B1118" s="1">
        <v>1180</v>
      </c>
      <c r="C1118" s="1" t="s">
        <v>235</v>
      </c>
      <c r="D1118" s="1">
        <v>1</v>
      </c>
      <c r="E1118" s="1">
        <v>111.9</v>
      </c>
      <c r="F1118" s="1">
        <v>23</v>
      </c>
      <c r="G1118" s="1" t="s">
        <v>6</v>
      </c>
      <c r="H1118" s="1">
        <v>668</v>
      </c>
      <c r="K1118" s="1" t="s">
        <v>76</v>
      </c>
      <c r="L1118" s="1" t="s">
        <v>245</v>
      </c>
      <c r="M1118" s="1" t="s">
        <v>246</v>
      </c>
      <c r="N1118" s="1" t="s">
        <v>250</v>
      </c>
      <c r="O1118" s="1">
        <v>400</v>
      </c>
      <c r="P1118" s="1" t="s">
        <v>192</v>
      </c>
    </row>
    <row r="1119" spans="1:16">
      <c r="A1119" s="7">
        <v>40077</v>
      </c>
      <c r="B1119" s="1">
        <v>1178</v>
      </c>
      <c r="C1119" s="1" t="s">
        <v>234</v>
      </c>
      <c r="D1119" s="1">
        <v>4</v>
      </c>
      <c r="E1119" s="1">
        <v>80</v>
      </c>
      <c r="F1119" s="1">
        <v>23</v>
      </c>
      <c r="G1119" s="1" t="s">
        <v>18</v>
      </c>
      <c r="H1119" s="1">
        <v>1866</v>
      </c>
      <c r="K1119" s="1" t="s">
        <v>76</v>
      </c>
      <c r="L1119" s="1" t="s">
        <v>245</v>
      </c>
      <c r="M1119" s="1" t="s">
        <v>246</v>
      </c>
      <c r="N1119" s="1" t="s">
        <v>250</v>
      </c>
      <c r="O1119" s="1">
        <v>428.02</v>
      </c>
      <c r="P1119" s="1" t="s">
        <v>192</v>
      </c>
    </row>
    <row r="1120" spans="1:16">
      <c r="A1120" s="7">
        <v>40077</v>
      </c>
      <c r="B1120" s="1">
        <v>1183</v>
      </c>
      <c r="C1120" s="1" t="s">
        <v>234</v>
      </c>
      <c r="D1120" s="1">
        <v>4</v>
      </c>
      <c r="E1120" s="1">
        <v>80</v>
      </c>
      <c r="F1120" s="1">
        <v>23</v>
      </c>
      <c r="G1120" s="1" t="s">
        <v>18</v>
      </c>
      <c r="H1120" s="1">
        <v>1546</v>
      </c>
      <c r="K1120" s="1" t="s">
        <v>79</v>
      </c>
      <c r="L1120" s="1" t="s">
        <v>248</v>
      </c>
      <c r="M1120" s="1" t="s">
        <v>249</v>
      </c>
      <c r="N1120" s="1" t="s">
        <v>251</v>
      </c>
      <c r="O1120" s="1">
        <v>29.04</v>
      </c>
      <c r="P1120" s="1" t="s">
        <v>192</v>
      </c>
    </row>
    <row r="1121" spans="1:16">
      <c r="A1121" s="7">
        <v>40107</v>
      </c>
      <c r="B1121" s="1">
        <v>1310</v>
      </c>
      <c r="C1121" s="1" t="s">
        <v>234</v>
      </c>
      <c r="D1121" s="1">
        <v>2</v>
      </c>
      <c r="E1121" s="1">
        <v>489.75</v>
      </c>
      <c r="F1121" s="1">
        <v>23</v>
      </c>
      <c r="G1121" s="1" t="s">
        <v>8</v>
      </c>
      <c r="H1121" s="1">
        <v>0</v>
      </c>
      <c r="K1121" s="1" t="s">
        <v>79</v>
      </c>
      <c r="L1121" s="1" t="s">
        <v>245</v>
      </c>
      <c r="M1121" s="1" t="s">
        <v>246</v>
      </c>
      <c r="N1121" s="1" t="s">
        <v>251</v>
      </c>
      <c r="O1121" s="1">
        <v>27.43</v>
      </c>
      <c r="P1121" s="1" t="s">
        <v>192</v>
      </c>
    </row>
    <row r="1122" spans="1:16">
      <c r="A1122" s="7">
        <v>39835</v>
      </c>
      <c r="B1122" s="1">
        <v>36</v>
      </c>
      <c r="C1122" s="1" t="s">
        <v>234</v>
      </c>
      <c r="D1122" s="1">
        <v>4</v>
      </c>
      <c r="E1122" s="1">
        <v>150</v>
      </c>
      <c r="F1122" s="1">
        <v>23</v>
      </c>
      <c r="G1122" s="1" t="s">
        <v>41</v>
      </c>
      <c r="H1122" s="1">
        <v>850</v>
      </c>
      <c r="K1122" s="1" t="s">
        <v>79</v>
      </c>
      <c r="L1122" s="1" t="s">
        <v>245</v>
      </c>
      <c r="M1122" s="1" t="s">
        <v>246</v>
      </c>
      <c r="N1122" s="1" t="s">
        <v>251</v>
      </c>
      <c r="O1122" s="1">
        <v>3</v>
      </c>
      <c r="P1122" s="1" t="s">
        <v>192</v>
      </c>
    </row>
    <row r="1123" spans="1:16">
      <c r="A1123" s="7">
        <v>39925</v>
      </c>
      <c r="B1123" s="1">
        <v>542</v>
      </c>
      <c r="C1123" s="1" t="s">
        <v>234</v>
      </c>
      <c r="D1123" s="1">
        <v>4</v>
      </c>
      <c r="E1123" s="1">
        <v>104.96</v>
      </c>
      <c r="F1123" s="1">
        <v>23</v>
      </c>
      <c r="G1123" s="1" t="s">
        <v>16</v>
      </c>
      <c r="H1123" s="1">
        <v>0</v>
      </c>
      <c r="K1123" s="1" t="s">
        <v>79</v>
      </c>
      <c r="L1123" s="1" t="s">
        <v>262</v>
      </c>
      <c r="M1123" s="1" t="s">
        <v>263</v>
      </c>
      <c r="N1123" s="1" t="s">
        <v>251</v>
      </c>
      <c r="O1123" s="1">
        <v>4</v>
      </c>
      <c r="P1123" s="1" t="s">
        <v>192</v>
      </c>
    </row>
    <row r="1124" spans="1:16">
      <c r="A1124" s="7">
        <v>39955</v>
      </c>
      <c r="B1124" s="1">
        <v>502</v>
      </c>
      <c r="C1124" s="1" t="s">
        <v>234</v>
      </c>
      <c r="D1124" s="1">
        <v>4</v>
      </c>
      <c r="E1124" s="1">
        <v>501.35</v>
      </c>
      <c r="F1124" s="1">
        <v>23</v>
      </c>
      <c r="G1124" s="1" t="s">
        <v>12</v>
      </c>
      <c r="H1124" s="1">
        <v>0</v>
      </c>
      <c r="K1124" s="1" t="s">
        <v>90</v>
      </c>
      <c r="L1124" s="1" t="s">
        <v>245</v>
      </c>
      <c r="M1124" s="1" t="s">
        <v>246</v>
      </c>
      <c r="N1124" s="1" t="s">
        <v>255</v>
      </c>
      <c r="O1124" s="1">
        <v>150</v>
      </c>
      <c r="P1124" s="1" t="s">
        <v>192</v>
      </c>
    </row>
    <row r="1125" spans="1:16">
      <c r="A1125" s="7">
        <v>39955</v>
      </c>
      <c r="B1125" s="1">
        <v>502</v>
      </c>
      <c r="C1125" s="1" t="s">
        <v>234</v>
      </c>
      <c r="D1125" s="1">
        <v>4</v>
      </c>
      <c r="E1125" s="1">
        <v>3428.51</v>
      </c>
      <c r="F1125" s="1">
        <v>23</v>
      </c>
      <c r="G1125" s="1" t="s">
        <v>13</v>
      </c>
      <c r="H1125" s="1">
        <v>0</v>
      </c>
      <c r="K1125" s="1" t="s">
        <v>90</v>
      </c>
      <c r="L1125" s="1" t="s">
        <v>245</v>
      </c>
      <c r="M1125" s="1" t="s">
        <v>246</v>
      </c>
      <c r="N1125" s="1" t="s">
        <v>255</v>
      </c>
      <c r="O1125" s="1">
        <v>450</v>
      </c>
      <c r="P1125" s="1" t="s">
        <v>192</v>
      </c>
    </row>
    <row r="1126" spans="1:16">
      <c r="A1126" s="7">
        <v>39955</v>
      </c>
      <c r="B1126" s="1">
        <v>502</v>
      </c>
      <c r="C1126" s="1" t="s">
        <v>234</v>
      </c>
      <c r="D1126" s="1">
        <v>4</v>
      </c>
      <c r="E1126" s="1">
        <v>1379.39</v>
      </c>
      <c r="F1126" s="1">
        <v>23</v>
      </c>
      <c r="G1126" s="1" t="s">
        <v>3</v>
      </c>
      <c r="H1126" s="1">
        <v>0</v>
      </c>
      <c r="K1126" s="1" t="s">
        <v>82</v>
      </c>
      <c r="L1126" s="1" t="s">
        <v>245</v>
      </c>
      <c r="M1126" s="1" t="s">
        <v>246</v>
      </c>
      <c r="N1126" s="1" t="s">
        <v>252</v>
      </c>
      <c r="O1126" s="1">
        <v>27.1</v>
      </c>
      <c r="P1126" s="1" t="s">
        <v>192</v>
      </c>
    </row>
    <row r="1127" spans="1:16">
      <c r="A1127" s="7">
        <v>39955</v>
      </c>
      <c r="B1127" s="1">
        <v>503</v>
      </c>
      <c r="C1127" s="1" t="s">
        <v>234</v>
      </c>
      <c r="D1127" s="1">
        <v>4</v>
      </c>
      <c r="E1127" s="1">
        <v>266.5</v>
      </c>
      <c r="F1127" s="1">
        <v>23</v>
      </c>
      <c r="G1127" s="1" t="s">
        <v>28</v>
      </c>
      <c r="H1127" s="1">
        <v>0</v>
      </c>
      <c r="K1127" s="1" t="s">
        <v>88</v>
      </c>
      <c r="L1127" s="1" t="s">
        <v>245</v>
      </c>
      <c r="M1127" s="1" t="s">
        <v>246</v>
      </c>
      <c r="N1127" s="1" t="s">
        <v>252</v>
      </c>
      <c r="O1127" s="1">
        <v>7.85</v>
      </c>
      <c r="P1127" s="1" t="s">
        <v>192</v>
      </c>
    </row>
    <row r="1128" spans="1:16">
      <c r="A1128" s="7">
        <v>39955</v>
      </c>
      <c r="B1128" s="1">
        <v>503</v>
      </c>
      <c r="C1128" s="1" t="s">
        <v>234</v>
      </c>
      <c r="D1128" s="1">
        <v>4</v>
      </c>
      <c r="E1128" s="1">
        <v>1762.11</v>
      </c>
      <c r="F1128" s="1">
        <v>23</v>
      </c>
      <c r="G1128" s="1" t="s">
        <v>29</v>
      </c>
      <c r="H1128" s="1">
        <v>0</v>
      </c>
      <c r="K1128" s="1" t="s">
        <v>75</v>
      </c>
      <c r="L1128" s="1" t="s">
        <v>245</v>
      </c>
      <c r="M1128" s="1" t="s">
        <v>246</v>
      </c>
      <c r="N1128" s="1" t="s">
        <v>252</v>
      </c>
      <c r="O1128" s="1">
        <v>17.21</v>
      </c>
      <c r="P1128" s="1" t="s">
        <v>192</v>
      </c>
    </row>
    <row r="1129" spans="1:16">
      <c r="A1129" s="7">
        <v>39955</v>
      </c>
      <c r="B1129" s="1">
        <v>541</v>
      </c>
      <c r="C1129" s="1" t="s">
        <v>234</v>
      </c>
      <c r="D1129" s="1">
        <v>4</v>
      </c>
      <c r="E1129" s="1">
        <v>200</v>
      </c>
      <c r="F1129" s="1">
        <v>23</v>
      </c>
      <c r="G1129" s="1" t="s">
        <v>35</v>
      </c>
      <c r="H1129" s="1">
        <v>0</v>
      </c>
      <c r="K1129" s="1" t="s">
        <v>75</v>
      </c>
      <c r="L1129" s="1" t="s">
        <v>245</v>
      </c>
      <c r="M1129" s="1" t="s">
        <v>246</v>
      </c>
      <c r="N1129" s="1" t="s">
        <v>252</v>
      </c>
      <c r="O1129" s="1">
        <v>3.6</v>
      </c>
      <c r="P1129" s="1" t="s">
        <v>192</v>
      </c>
    </row>
    <row r="1130" spans="1:16">
      <c r="A1130" s="7">
        <v>39955</v>
      </c>
      <c r="B1130" s="1">
        <v>544</v>
      </c>
      <c r="C1130" s="1" t="s">
        <v>234</v>
      </c>
      <c r="D1130" s="1">
        <v>4</v>
      </c>
      <c r="E1130" s="1">
        <v>800</v>
      </c>
      <c r="F1130" s="1">
        <v>23</v>
      </c>
      <c r="G1130" s="1" t="s">
        <v>35</v>
      </c>
      <c r="H1130" s="1">
        <v>0</v>
      </c>
      <c r="K1130" s="1" t="s">
        <v>75</v>
      </c>
      <c r="L1130" s="1" t="s">
        <v>245</v>
      </c>
      <c r="M1130" s="1" t="s">
        <v>246</v>
      </c>
      <c r="N1130" s="1" t="s">
        <v>252</v>
      </c>
      <c r="O1130" s="1">
        <v>5.63</v>
      </c>
      <c r="P1130" s="1" t="s">
        <v>192</v>
      </c>
    </row>
    <row r="1131" spans="1:16">
      <c r="A1131" s="7">
        <v>40016</v>
      </c>
      <c r="B1131" s="1">
        <v>820</v>
      </c>
      <c r="C1131" s="1" t="s">
        <v>239</v>
      </c>
      <c r="D1131" s="1">
        <v>99</v>
      </c>
      <c r="E1131" s="1">
        <v>38.4</v>
      </c>
      <c r="F1131" s="1">
        <v>23</v>
      </c>
      <c r="G1131" s="1" t="s">
        <v>16</v>
      </c>
      <c r="H1131" s="1">
        <v>0</v>
      </c>
      <c r="K1131" s="1" t="s">
        <v>75</v>
      </c>
      <c r="L1131" s="1" t="s">
        <v>245</v>
      </c>
      <c r="M1131" s="1" t="s">
        <v>246</v>
      </c>
      <c r="N1131" s="1" t="s">
        <v>252</v>
      </c>
      <c r="O1131" s="1">
        <v>20.27</v>
      </c>
      <c r="P1131" s="1" t="s">
        <v>192</v>
      </c>
    </row>
    <row r="1132" spans="1:16">
      <c r="A1132" s="7">
        <v>40016</v>
      </c>
      <c r="B1132" s="1">
        <v>793</v>
      </c>
      <c r="C1132" s="1" t="s">
        <v>235</v>
      </c>
      <c r="D1132" s="1">
        <v>1</v>
      </c>
      <c r="E1132" s="1">
        <v>374.94</v>
      </c>
      <c r="F1132" s="1">
        <v>23</v>
      </c>
      <c r="G1132" s="1" t="s">
        <v>5</v>
      </c>
      <c r="H1132" s="1">
        <v>44</v>
      </c>
      <c r="K1132" s="1" t="s">
        <v>75</v>
      </c>
      <c r="L1132" s="1" t="s">
        <v>245</v>
      </c>
      <c r="M1132" s="1" t="s">
        <v>246</v>
      </c>
      <c r="N1132" s="1" t="s">
        <v>252</v>
      </c>
      <c r="O1132" s="1">
        <v>42.97</v>
      </c>
      <c r="P1132" s="1" t="s">
        <v>192</v>
      </c>
    </row>
    <row r="1133" spans="1:16">
      <c r="A1133" s="7">
        <v>40016</v>
      </c>
      <c r="B1133" s="1">
        <v>782</v>
      </c>
      <c r="C1133" s="1" t="s">
        <v>235</v>
      </c>
      <c r="D1133" s="1">
        <v>1</v>
      </c>
      <c r="E1133" s="1">
        <v>355.81</v>
      </c>
      <c r="F1133" s="1">
        <v>23</v>
      </c>
      <c r="G1133" s="1" t="s">
        <v>6</v>
      </c>
      <c r="H1133" s="1">
        <v>139</v>
      </c>
      <c r="K1133" s="1" t="s">
        <v>101</v>
      </c>
      <c r="L1133" s="1" t="s">
        <v>256</v>
      </c>
      <c r="M1133" s="1" t="s">
        <v>257</v>
      </c>
      <c r="N1133" s="1" t="s">
        <v>253</v>
      </c>
      <c r="O1133" s="1">
        <v>3115.98</v>
      </c>
      <c r="P1133" s="1" t="s">
        <v>192</v>
      </c>
    </row>
    <row r="1134" spans="1:16">
      <c r="A1134" s="7">
        <v>40016</v>
      </c>
      <c r="B1134" s="1">
        <v>783</v>
      </c>
      <c r="C1134" s="1" t="s">
        <v>235</v>
      </c>
      <c r="D1134" s="1">
        <v>1</v>
      </c>
      <c r="E1134" s="1">
        <v>519.82000000000005</v>
      </c>
      <c r="F1134" s="1">
        <v>23</v>
      </c>
      <c r="G1134" s="1" t="s">
        <v>6</v>
      </c>
      <c r="H1134" s="1">
        <v>1140</v>
      </c>
      <c r="K1134" s="1" t="s">
        <v>101</v>
      </c>
      <c r="L1134" s="1" t="s">
        <v>256</v>
      </c>
      <c r="M1134" s="1" t="s">
        <v>257</v>
      </c>
      <c r="N1134" s="1" t="s">
        <v>253</v>
      </c>
      <c r="O1134" s="1">
        <v>173.76</v>
      </c>
      <c r="P1134" s="1" t="s">
        <v>192</v>
      </c>
    </row>
    <row r="1135" spans="1:16">
      <c r="A1135" s="7">
        <v>40016</v>
      </c>
      <c r="B1135" s="1">
        <v>784</v>
      </c>
      <c r="C1135" s="1" t="s">
        <v>235</v>
      </c>
      <c r="D1135" s="1">
        <v>1</v>
      </c>
      <c r="E1135" s="1">
        <v>440.71</v>
      </c>
      <c r="F1135" s="1">
        <v>23</v>
      </c>
      <c r="G1135" s="1" t="s">
        <v>6</v>
      </c>
      <c r="H1135" s="1">
        <v>1476</v>
      </c>
      <c r="K1135" s="1" t="s">
        <v>103</v>
      </c>
      <c r="L1135" s="1" t="s">
        <v>245</v>
      </c>
      <c r="M1135" s="1" t="s">
        <v>246</v>
      </c>
      <c r="N1135" s="1" t="s">
        <v>253</v>
      </c>
      <c r="O1135" s="1">
        <v>341.07</v>
      </c>
      <c r="P1135" s="1" t="s">
        <v>192</v>
      </c>
    </row>
    <row r="1136" spans="1:16">
      <c r="A1136" s="7">
        <v>40016</v>
      </c>
      <c r="B1136" s="1">
        <v>785</v>
      </c>
      <c r="C1136" s="1" t="s">
        <v>234</v>
      </c>
      <c r="D1136" s="1">
        <v>3</v>
      </c>
      <c r="E1136" s="1">
        <v>300.83</v>
      </c>
      <c r="F1136" s="1">
        <v>23</v>
      </c>
      <c r="G1136" s="1" t="s">
        <v>6</v>
      </c>
      <c r="H1136" s="1">
        <v>1039</v>
      </c>
      <c r="K1136" s="1" t="s">
        <v>103</v>
      </c>
      <c r="L1136" s="1" t="s">
        <v>245</v>
      </c>
      <c r="M1136" s="1" t="s">
        <v>246</v>
      </c>
      <c r="N1136" s="1" t="s">
        <v>253</v>
      </c>
      <c r="O1136" s="1">
        <v>39.24</v>
      </c>
      <c r="P1136" s="1" t="s">
        <v>192</v>
      </c>
    </row>
    <row r="1137" spans="1:16">
      <c r="A1137" s="7">
        <v>40016</v>
      </c>
      <c r="B1137" s="1">
        <v>786</v>
      </c>
      <c r="C1137" s="1" t="s">
        <v>234</v>
      </c>
      <c r="D1137" s="1">
        <v>4</v>
      </c>
      <c r="E1137" s="1">
        <v>216.91</v>
      </c>
      <c r="F1137" s="1">
        <v>23</v>
      </c>
      <c r="G1137" s="1" t="s">
        <v>6</v>
      </c>
      <c r="H1137" s="1">
        <v>1975</v>
      </c>
      <c r="K1137" s="1" t="s">
        <v>77</v>
      </c>
      <c r="L1137" s="1" t="s">
        <v>245</v>
      </c>
      <c r="M1137" s="1" t="s">
        <v>246</v>
      </c>
      <c r="N1137" s="1" t="s">
        <v>253</v>
      </c>
      <c r="O1137" s="1">
        <v>338.22</v>
      </c>
      <c r="P1137" s="1" t="s">
        <v>192</v>
      </c>
    </row>
    <row r="1138" spans="1:16">
      <c r="A1138" s="7">
        <v>40016</v>
      </c>
      <c r="B1138" s="1">
        <v>787</v>
      </c>
      <c r="C1138" s="1" t="s">
        <v>234</v>
      </c>
      <c r="D1138" s="1">
        <v>4</v>
      </c>
      <c r="E1138" s="1">
        <v>414.46</v>
      </c>
      <c r="F1138" s="1">
        <v>23</v>
      </c>
      <c r="G1138" s="1" t="s">
        <v>6</v>
      </c>
      <c r="H1138" s="1">
        <v>1249</v>
      </c>
      <c r="K1138" s="1" t="s">
        <v>77</v>
      </c>
      <c r="L1138" s="1" t="s">
        <v>248</v>
      </c>
      <c r="M1138" s="1" t="s">
        <v>249</v>
      </c>
      <c r="N1138" s="1" t="s">
        <v>253</v>
      </c>
      <c r="O1138" s="1">
        <v>11.65</v>
      </c>
      <c r="P1138" s="1" t="s">
        <v>192</v>
      </c>
    </row>
    <row r="1139" spans="1:16">
      <c r="A1139" s="7">
        <v>40016</v>
      </c>
      <c r="B1139" s="1">
        <v>788</v>
      </c>
      <c r="C1139" s="1" t="s">
        <v>234</v>
      </c>
      <c r="D1139" s="1">
        <v>4</v>
      </c>
      <c r="E1139" s="1">
        <v>809.56</v>
      </c>
      <c r="F1139" s="1">
        <v>23</v>
      </c>
      <c r="G1139" s="1" t="s">
        <v>6</v>
      </c>
      <c r="H1139" s="1">
        <v>1392</v>
      </c>
      <c r="K1139" s="1" t="s">
        <v>88</v>
      </c>
      <c r="L1139" s="1" t="s">
        <v>245</v>
      </c>
      <c r="M1139" s="1" t="s">
        <v>246</v>
      </c>
      <c r="N1139" s="1" t="s">
        <v>253</v>
      </c>
      <c r="O1139" s="1">
        <v>17.46</v>
      </c>
      <c r="P1139" s="1" t="s">
        <v>192</v>
      </c>
    </row>
    <row r="1140" spans="1:16">
      <c r="A1140" s="7">
        <v>40016</v>
      </c>
      <c r="B1140" s="1">
        <v>789</v>
      </c>
      <c r="C1140" s="1" t="s">
        <v>234</v>
      </c>
      <c r="D1140" s="1">
        <v>4</v>
      </c>
      <c r="E1140" s="1">
        <v>404.66</v>
      </c>
      <c r="F1140" s="1">
        <v>23</v>
      </c>
      <c r="G1140" s="1" t="s">
        <v>6</v>
      </c>
      <c r="H1140" s="1">
        <v>1398</v>
      </c>
      <c r="K1140" s="1" t="s">
        <v>88</v>
      </c>
      <c r="L1140" s="1" t="s">
        <v>245</v>
      </c>
      <c r="M1140" s="1" t="s">
        <v>246</v>
      </c>
      <c r="N1140" s="1" t="s">
        <v>253</v>
      </c>
      <c r="O1140" s="1">
        <v>171.75</v>
      </c>
      <c r="P1140" s="1" t="s">
        <v>192</v>
      </c>
    </row>
    <row r="1141" spans="1:16">
      <c r="A1141" s="7">
        <v>40016</v>
      </c>
      <c r="B1141" s="1">
        <v>790</v>
      </c>
      <c r="C1141" s="1" t="s">
        <v>235</v>
      </c>
      <c r="D1141" s="1">
        <v>1</v>
      </c>
      <c r="E1141" s="1">
        <v>374.95</v>
      </c>
      <c r="F1141" s="1">
        <v>23</v>
      </c>
      <c r="G1141" s="1" t="s">
        <v>6</v>
      </c>
      <c r="H1141" s="1">
        <v>164</v>
      </c>
      <c r="K1141" s="1" t="s">
        <v>104</v>
      </c>
      <c r="L1141" s="1" t="s">
        <v>245</v>
      </c>
      <c r="M1141" s="1" t="s">
        <v>246</v>
      </c>
      <c r="N1141" s="1" t="s">
        <v>253</v>
      </c>
      <c r="O1141" s="1">
        <v>135.69</v>
      </c>
      <c r="P1141" s="1" t="s">
        <v>192</v>
      </c>
    </row>
    <row r="1142" spans="1:16">
      <c r="A1142" s="7">
        <v>40016</v>
      </c>
      <c r="B1142" s="1">
        <v>791</v>
      </c>
      <c r="C1142" s="1" t="s">
        <v>235</v>
      </c>
      <c r="D1142" s="1">
        <v>1</v>
      </c>
      <c r="E1142" s="1">
        <v>216.91</v>
      </c>
      <c r="F1142" s="1">
        <v>23</v>
      </c>
      <c r="G1142" s="1" t="s">
        <v>6</v>
      </c>
      <c r="H1142" s="1">
        <v>1625</v>
      </c>
      <c r="K1142" s="1" t="s">
        <v>88</v>
      </c>
      <c r="L1142" s="1" t="s">
        <v>245</v>
      </c>
      <c r="M1142" s="1" t="s">
        <v>246</v>
      </c>
      <c r="N1142" s="1" t="s">
        <v>253</v>
      </c>
      <c r="O1142" s="1">
        <v>19.809999999999999</v>
      </c>
      <c r="P1142" s="1" t="s">
        <v>192</v>
      </c>
    </row>
    <row r="1143" spans="1:16">
      <c r="A1143" s="7">
        <v>40016</v>
      </c>
      <c r="B1143" s="1">
        <v>792</v>
      </c>
      <c r="C1143" s="1" t="s">
        <v>234</v>
      </c>
      <c r="D1143" s="1">
        <v>3</v>
      </c>
      <c r="E1143" s="1">
        <v>328.81</v>
      </c>
      <c r="F1143" s="1">
        <v>23</v>
      </c>
      <c r="G1143" s="1" t="s">
        <v>6</v>
      </c>
      <c r="H1143" s="1">
        <v>413</v>
      </c>
      <c r="K1143" s="1" t="s">
        <v>106</v>
      </c>
      <c r="L1143" s="1" t="s">
        <v>245</v>
      </c>
      <c r="M1143" s="1" t="s">
        <v>246</v>
      </c>
      <c r="N1143" s="1" t="s">
        <v>253</v>
      </c>
      <c r="O1143" s="1">
        <v>172.54</v>
      </c>
      <c r="P1143" s="1" t="s">
        <v>192</v>
      </c>
    </row>
    <row r="1144" spans="1:16">
      <c r="A1144" s="7">
        <v>40016</v>
      </c>
      <c r="B1144" s="1">
        <v>794</v>
      </c>
      <c r="C1144" s="1" t="s">
        <v>235</v>
      </c>
      <c r="D1144" s="1">
        <v>1</v>
      </c>
      <c r="E1144" s="1">
        <v>1062.43</v>
      </c>
      <c r="F1144" s="1">
        <v>23</v>
      </c>
      <c r="G1144" s="1" t="s">
        <v>6</v>
      </c>
      <c r="H1144" s="1">
        <v>63</v>
      </c>
      <c r="K1144" s="1" t="s">
        <v>110</v>
      </c>
      <c r="L1144" s="1" t="s">
        <v>245</v>
      </c>
      <c r="M1144" s="1" t="s">
        <v>246</v>
      </c>
      <c r="N1144" s="1" t="s">
        <v>253</v>
      </c>
      <c r="O1144" s="1">
        <v>238.68</v>
      </c>
      <c r="P1144" s="1" t="s">
        <v>192</v>
      </c>
    </row>
    <row r="1145" spans="1:16">
      <c r="A1145" s="7">
        <v>40016</v>
      </c>
      <c r="B1145" s="1">
        <v>795</v>
      </c>
      <c r="C1145" s="1" t="s">
        <v>235</v>
      </c>
      <c r="D1145" s="1">
        <v>1</v>
      </c>
      <c r="E1145" s="1">
        <v>414.46</v>
      </c>
      <c r="F1145" s="1">
        <v>23</v>
      </c>
      <c r="G1145" s="1" t="s">
        <v>6</v>
      </c>
      <c r="H1145" s="1">
        <v>1654</v>
      </c>
      <c r="K1145" s="1" t="s">
        <v>104</v>
      </c>
      <c r="L1145" s="1" t="s">
        <v>245</v>
      </c>
      <c r="M1145" s="1" t="s">
        <v>246</v>
      </c>
      <c r="N1145" s="1" t="s">
        <v>253</v>
      </c>
      <c r="O1145" s="1">
        <v>60</v>
      </c>
      <c r="P1145" s="1" t="s">
        <v>192</v>
      </c>
    </row>
    <row r="1146" spans="1:16">
      <c r="A1146" s="7">
        <v>40016</v>
      </c>
      <c r="B1146" s="1">
        <v>796</v>
      </c>
      <c r="C1146" s="1" t="s">
        <v>234</v>
      </c>
      <c r="D1146" s="1">
        <v>4</v>
      </c>
      <c r="E1146" s="1">
        <v>621.82000000000005</v>
      </c>
      <c r="F1146" s="1">
        <v>23</v>
      </c>
      <c r="G1146" s="1" t="s">
        <v>6</v>
      </c>
      <c r="H1146" s="1">
        <v>1742</v>
      </c>
      <c r="K1146" s="1" t="s">
        <v>88</v>
      </c>
      <c r="L1146" s="1" t="s">
        <v>245</v>
      </c>
      <c r="M1146" s="1" t="s">
        <v>246</v>
      </c>
      <c r="N1146" s="1" t="s">
        <v>253</v>
      </c>
      <c r="O1146" s="1">
        <v>104.44</v>
      </c>
      <c r="P1146" s="1" t="s">
        <v>192</v>
      </c>
    </row>
    <row r="1147" spans="1:16">
      <c r="A1147" s="7">
        <v>40016</v>
      </c>
      <c r="B1147" s="1">
        <v>797</v>
      </c>
      <c r="C1147" s="1" t="s">
        <v>234</v>
      </c>
      <c r="D1147" s="1">
        <v>3</v>
      </c>
      <c r="E1147" s="1">
        <v>735.44</v>
      </c>
      <c r="F1147" s="1">
        <v>23</v>
      </c>
      <c r="G1147" s="1" t="s">
        <v>6</v>
      </c>
      <c r="H1147" s="1">
        <v>974</v>
      </c>
      <c r="K1147" s="1" t="s">
        <v>103</v>
      </c>
      <c r="L1147" s="1" t="s">
        <v>264</v>
      </c>
      <c r="M1147" s="1" t="s">
        <v>265</v>
      </c>
      <c r="N1147" s="1" t="s">
        <v>253</v>
      </c>
      <c r="O1147" s="1">
        <v>63.2</v>
      </c>
      <c r="P1147" s="1" t="s">
        <v>192</v>
      </c>
    </row>
    <row r="1148" spans="1:16">
      <c r="A1148" s="7">
        <v>40078</v>
      </c>
      <c r="B1148" s="1">
        <v>1190</v>
      </c>
      <c r="C1148" s="1" t="s">
        <v>234</v>
      </c>
      <c r="D1148" s="1">
        <v>8</v>
      </c>
      <c r="E1148" s="1">
        <v>858.98</v>
      </c>
      <c r="F1148" s="1">
        <v>23</v>
      </c>
      <c r="G1148" s="1" t="s">
        <v>7</v>
      </c>
      <c r="H1148" s="1">
        <v>2123</v>
      </c>
      <c r="K1148" s="1" t="s">
        <v>108</v>
      </c>
      <c r="L1148" s="1" t="s">
        <v>258</v>
      </c>
      <c r="M1148" s="1" t="s">
        <v>259</v>
      </c>
      <c r="N1148" s="1" t="s">
        <v>253</v>
      </c>
      <c r="O1148" s="1">
        <v>82.86</v>
      </c>
      <c r="P1148" s="1" t="s">
        <v>192</v>
      </c>
    </row>
    <row r="1149" spans="1:16">
      <c r="A1149" s="7">
        <v>40078</v>
      </c>
      <c r="B1149" s="1">
        <v>1190</v>
      </c>
      <c r="C1149" s="1" t="s">
        <v>234</v>
      </c>
      <c r="D1149" s="1">
        <v>8</v>
      </c>
      <c r="E1149" s="1">
        <v>78</v>
      </c>
      <c r="F1149" s="1">
        <v>23</v>
      </c>
      <c r="G1149" s="1" t="s">
        <v>11</v>
      </c>
      <c r="H1149" s="1">
        <v>2123</v>
      </c>
      <c r="K1149" s="1" t="s">
        <v>80</v>
      </c>
      <c r="L1149" s="1" t="s">
        <v>245</v>
      </c>
      <c r="M1149" s="1" t="s">
        <v>246</v>
      </c>
      <c r="N1149" s="1" t="s">
        <v>253</v>
      </c>
      <c r="O1149" s="1">
        <v>23.5</v>
      </c>
      <c r="P1149" s="1" t="s">
        <v>192</v>
      </c>
    </row>
    <row r="1150" spans="1:16">
      <c r="A1150" s="7">
        <v>40078</v>
      </c>
      <c r="B1150" s="1">
        <v>1165</v>
      </c>
      <c r="C1150" s="1" t="s">
        <v>235</v>
      </c>
      <c r="D1150" s="1">
        <v>4</v>
      </c>
      <c r="E1150" s="1">
        <v>282.14999999999998</v>
      </c>
      <c r="F1150" s="1">
        <v>23</v>
      </c>
      <c r="G1150" s="1" t="s">
        <v>13</v>
      </c>
      <c r="H1150" s="1">
        <v>1086</v>
      </c>
      <c r="K1150" s="1" t="s">
        <v>109</v>
      </c>
      <c r="L1150" s="1" t="s">
        <v>245</v>
      </c>
      <c r="M1150" s="1" t="s">
        <v>246</v>
      </c>
      <c r="N1150" s="1" t="s">
        <v>253</v>
      </c>
      <c r="O1150" s="1">
        <v>76.760000000000005</v>
      </c>
      <c r="P1150" s="1" t="s">
        <v>192</v>
      </c>
    </row>
    <row r="1151" spans="1:16">
      <c r="A1151" s="7">
        <v>40078</v>
      </c>
      <c r="B1151" s="1">
        <v>1168</v>
      </c>
      <c r="C1151" s="1" t="s">
        <v>234</v>
      </c>
      <c r="D1151" s="1">
        <v>1</v>
      </c>
      <c r="E1151" s="1">
        <v>141.08000000000001</v>
      </c>
      <c r="F1151" s="1">
        <v>23</v>
      </c>
      <c r="G1151" s="1" t="s">
        <v>13</v>
      </c>
      <c r="H1151" s="1">
        <v>1427</v>
      </c>
      <c r="K1151" s="1" t="s">
        <v>77</v>
      </c>
      <c r="L1151" s="1" t="s">
        <v>262</v>
      </c>
      <c r="M1151" s="1" t="s">
        <v>263</v>
      </c>
      <c r="N1151" s="1" t="s">
        <v>253</v>
      </c>
      <c r="O1151" s="1">
        <v>2592.38</v>
      </c>
      <c r="P1151" s="1" t="s">
        <v>192</v>
      </c>
    </row>
    <row r="1152" spans="1:16">
      <c r="A1152" s="7">
        <v>40078</v>
      </c>
      <c r="B1152" s="1">
        <v>1184</v>
      </c>
      <c r="C1152" s="1" t="s">
        <v>234</v>
      </c>
      <c r="D1152" s="1">
        <v>3</v>
      </c>
      <c r="E1152" s="1">
        <v>832.85</v>
      </c>
      <c r="F1152" s="1">
        <v>23</v>
      </c>
      <c r="G1152" s="1" t="s">
        <v>5</v>
      </c>
      <c r="H1152" s="1">
        <v>1918</v>
      </c>
      <c r="K1152" s="1" t="s">
        <v>77</v>
      </c>
      <c r="L1152" s="1" t="s">
        <v>262</v>
      </c>
      <c r="M1152" s="1" t="s">
        <v>263</v>
      </c>
      <c r="N1152" s="1" t="s">
        <v>253</v>
      </c>
      <c r="O1152" s="1">
        <v>424.47</v>
      </c>
      <c r="P1152" s="1" t="s">
        <v>192</v>
      </c>
    </row>
    <row r="1153" spans="1:16">
      <c r="A1153" s="7">
        <v>40078</v>
      </c>
      <c r="B1153" s="1">
        <v>1182</v>
      </c>
      <c r="C1153" s="1" t="s">
        <v>235</v>
      </c>
      <c r="D1153" s="1">
        <v>1</v>
      </c>
      <c r="E1153" s="1">
        <v>256.42</v>
      </c>
      <c r="F1153" s="1">
        <v>23</v>
      </c>
      <c r="G1153" s="1" t="s">
        <v>6</v>
      </c>
      <c r="H1153" s="1">
        <v>5</v>
      </c>
      <c r="K1153" s="1" t="s">
        <v>77</v>
      </c>
      <c r="L1153" s="1" t="s">
        <v>262</v>
      </c>
      <c r="M1153" s="1" t="s">
        <v>263</v>
      </c>
      <c r="N1153" s="1" t="s">
        <v>253</v>
      </c>
      <c r="O1153" s="1">
        <v>160.34</v>
      </c>
      <c r="P1153" s="1" t="s">
        <v>192</v>
      </c>
    </row>
    <row r="1154" spans="1:16">
      <c r="A1154" s="7">
        <v>40078</v>
      </c>
      <c r="B1154" s="1">
        <v>1185</v>
      </c>
      <c r="C1154" s="1" t="s">
        <v>234</v>
      </c>
      <c r="D1154" s="1">
        <v>4</v>
      </c>
      <c r="E1154" s="1">
        <v>970</v>
      </c>
      <c r="F1154" s="1">
        <v>23</v>
      </c>
      <c r="G1154" s="1" t="s">
        <v>39</v>
      </c>
      <c r="H1154" s="1">
        <v>0</v>
      </c>
      <c r="K1154" s="1" t="s">
        <v>98</v>
      </c>
      <c r="L1154" s="1" t="s">
        <v>245</v>
      </c>
      <c r="M1154" s="1" t="s">
        <v>246</v>
      </c>
      <c r="N1154" s="1" t="s">
        <v>253</v>
      </c>
      <c r="O1154" s="1">
        <v>669.24</v>
      </c>
      <c r="P1154" s="1" t="s">
        <v>192</v>
      </c>
    </row>
    <row r="1155" spans="1:16">
      <c r="A1155" s="7">
        <v>40078</v>
      </c>
      <c r="B1155" s="1">
        <v>1187</v>
      </c>
      <c r="C1155" s="1" t="s">
        <v>234</v>
      </c>
      <c r="D1155" s="1">
        <v>4</v>
      </c>
      <c r="E1155" s="1">
        <v>970</v>
      </c>
      <c r="F1155" s="1">
        <v>23</v>
      </c>
      <c r="G1155" s="1" t="s">
        <v>39</v>
      </c>
      <c r="H1155" s="1">
        <v>2121</v>
      </c>
      <c r="K1155" s="1" t="s">
        <v>72</v>
      </c>
      <c r="L1155" s="1" t="s">
        <v>245</v>
      </c>
      <c r="M1155" s="1" t="s">
        <v>246</v>
      </c>
      <c r="N1155" s="1" t="s">
        <v>253</v>
      </c>
      <c r="O1155" s="1">
        <v>60</v>
      </c>
      <c r="P1155" s="1" t="s">
        <v>192</v>
      </c>
    </row>
    <row r="1156" spans="1:16">
      <c r="A1156" s="7">
        <v>40078</v>
      </c>
      <c r="B1156" s="1">
        <v>1188</v>
      </c>
      <c r="C1156" s="1" t="s">
        <v>234</v>
      </c>
      <c r="D1156" s="1">
        <v>1</v>
      </c>
      <c r="E1156" s="1">
        <v>970</v>
      </c>
      <c r="F1156" s="1">
        <v>23</v>
      </c>
      <c r="G1156" s="1" t="s">
        <v>39</v>
      </c>
      <c r="H1156" s="1">
        <v>2122</v>
      </c>
      <c r="K1156" s="1" t="s">
        <v>80</v>
      </c>
      <c r="L1156" s="1" t="s">
        <v>245</v>
      </c>
      <c r="M1156" s="1" t="s">
        <v>246</v>
      </c>
      <c r="N1156" s="1" t="s">
        <v>253</v>
      </c>
      <c r="O1156" s="1">
        <v>23.33</v>
      </c>
      <c r="P1156" s="1" t="s">
        <v>192</v>
      </c>
    </row>
    <row r="1157" spans="1:16">
      <c r="A1157" s="7">
        <v>40078</v>
      </c>
      <c r="B1157" s="1">
        <v>1186</v>
      </c>
      <c r="C1157" s="1" t="s">
        <v>234</v>
      </c>
      <c r="D1157" s="1">
        <v>4</v>
      </c>
      <c r="E1157" s="1">
        <v>111.9</v>
      </c>
      <c r="F1157" s="1">
        <v>23</v>
      </c>
      <c r="G1157" s="1" t="s">
        <v>30</v>
      </c>
      <c r="H1157" s="1">
        <v>2120</v>
      </c>
      <c r="K1157" s="1" t="s">
        <v>100</v>
      </c>
      <c r="L1157" s="1" t="s">
        <v>245</v>
      </c>
      <c r="M1157" s="1" t="s">
        <v>246</v>
      </c>
      <c r="N1157" s="1" t="s">
        <v>253</v>
      </c>
      <c r="O1157" s="1">
        <v>79.72</v>
      </c>
      <c r="P1157" s="1" t="s">
        <v>192</v>
      </c>
    </row>
    <row r="1158" spans="1:16">
      <c r="A1158" s="7">
        <v>40078</v>
      </c>
      <c r="B1158" s="1">
        <v>1441</v>
      </c>
      <c r="C1158" s="1" t="s">
        <v>234</v>
      </c>
      <c r="D1158" s="1">
        <v>4</v>
      </c>
      <c r="E1158" s="1">
        <v>111.9</v>
      </c>
      <c r="F1158" s="1">
        <v>23</v>
      </c>
      <c r="G1158" s="1" t="s">
        <v>30</v>
      </c>
      <c r="H1158" s="1">
        <v>0</v>
      </c>
      <c r="K1158" s="1" t="s">
        <v>76</v>
      </c>
      <c r="L1158" s="1" t="s">
        <v>245</v>
      </c>
      <c r="M1158" s="1" t="s">
        <v>246</v>
      </c>
      <c r="N1158" s="1" t="s">
        <v>253</v>
      </c>
      <c r="O1158" s="1">
        <v>208.02</v>
      </c>
      <c r="P1158" s="1" t="s">
        <v>192</v>
      </c>
    </row>
    <row r="1159" spans="1:16">
      <c r="A1159" s="7">
        <v>40078</v>
      </c>
      <c r="B1159" s="1">
        <v>1191</v>
      </c>
      <c r="C1159" s="1" t="s">
        <v>234</v>
      </c>
      <c r="D1159" s="1">
        <v>2</v>
      </c>
      <c r="E1159" s="1">
        <v>300</v>
      </c>
      <c r="F1159" s="1">
        <v>23</v>
      </c>
      <c r="G1159" s="1" t="s">
        <v>20</v>
      </c>
      <c r="H1159" s="1">
        <v>2124</v>
      </c>
      <c r="K1159" s="1" t="s">
        <v>104</v>
      </c>
      <c r="L1159" s="1" t="s">
        <v>248</v>
      </c>
      <c r="M1159" s="1" t="s">
        <v>249</v>
      </c>
      <c r="N1159" s="1" t="s">
        <v>253</v>
      </c>
      <c r="O1159" s="1">
        <v>162.5</v>
      </c>
      <c r="P1159" s="1" t="s">
        <v>192</v>
      </c>
    </row>
    <row r="1160" spans="1:16">
      <c r="A1160" s="7">
        <v>40078</v>
      </c>
      <c r="B1160" s="1">
        <v>1192</v>
      </c>
      <c r="C1160" s="1" t="s">
        <v>234</v>
      </c>
      <c r="D1160" s="1">
        <v>2</v>
      </c>
      <c r="E1160" s="1">
        <v>300</v>
      </c>
      <c r="F1160" s="1">
        <v>23</v>
      </c>
      <c r="G1160" s="1" t="s">
        <v>20</v>
      </c>
      <c r="H1160" s="1">
        <v>2125</v>
      </c>
      <c r="K1160" s="1" t="s">
        <v>127</v>
      </c>
      <c r="L1160" s="1" t="s">
        <v>258</v>
      </c>
      <c r="M1160" s="1" t="s">
        <v>259</v>
      </c>
      <c r="N1160" s="1" t="s">
        <v>253</v>
      </c>
      <c r="O1160" s="1">
        <v>2406.9499999999998</v>
      </c>
      <c r="P1160" s="1" t="s">
        <v>192</v>
      </c>
    </row>
    <row r="1161" spans="1:16">
      <c r="A1161" s="7">
        <v>40108</v>
      </c>
      <c r="B1161" s="1">
        <v>1479</v>
      </c>
      <c r="C1161" s="1" t="s">
        <v>234</v>
      </c>
      <c r="D1161" s="1">
        <v>4</v>
      </c>
      <c r="E1161" s="1">
        <v>820</v>
      </c>
      <c r="F1161" s="1">
        <v>23</v>
      </c>
      <c r="G1161" s="1" t="s">
        <v>58</v>
      </c>
      <c r="H1161" s="1">
        <v>1182</v>
      </c>
      <c r="K1161" s="1" t="s">
        <v>109</v>
      </c>
      <c r="L1161" s="1" t="s">
        <v>245</v>
      </c>
      <c r="M1161" s="1" t="s">
        <v>246</v>
      </c>
      <c r="N1161" s="1" t="s">
        <v>254</v>
      </c>
      <c r="O1161" s="1">
        <v>13.34</v>
      </c>
      <c r="P1161" s="1" t="s">
        <v>193</v>
      </c>
    </row>
    <row r="1162" spans="1:16">
      <c r="A1162" s="7">
        <v>40169</v>
      </c>
      <c r="B1162" s="1">
        <v>1547</v>
      </c>
      <c r="C1162" s="1" t="s">
        <v>237</v>
      </c>
      <c r="D1162" s="1">
        <v>4</v>
      </c>
      <c r="E1162" s="1">
        <v>22.5</v>
      </c>
      <c r="F1162" s="1">
        <v>23</v>
      </c>
      <c r="G1162" s="1" t="s">
        <v>52</v>
      </c>
      <c r="H1162" s="1">
        <v>1987</v>
      </c>
      <c r="K1162" s="1" t="s">
        <v>81</v>
      </c>
      <c r="L1162" s="1" t="s">
        <v>245</v>
      </c>
      <c r="M1162" s="1" t="s">
        <v>246</v>
      </c>
      <c r="N1162" s="1" t="s">
        <v>254</v>
      </c>
      <c r="O1162" s="1">
        <v>24.15</v>
      </c>
      <c r="P1162" s="1" t="s">
        <v>193</v>
      </c>
    </row>
    <row r="1163" spans="1:16">
      <c r="A1163" s="7">
        <v>39836</v>
      </c>
      <c r="B1163" s="1">
        <v>38</v>
      </c>
      <c r="C1163" s="1" t="s">
        <v>234</v>
      </c>
      <c r="D1163" s="1">
        <v>4</v>
      </c>
      <c r="E1163" s="1">
        <v>1350</v>
      </c>
      <c r="F1163" s="1">
        <v>23</v>
      </c>
      <c r="G1163" s="1" t="s">
        <v>27</v>
      </c>
      <c r="H1163" s="1">
        <v>0</v>
      </c>
      <c r="K1163" s="1" t="s">
        <v>86</v>
      </c>
      <c r="L1163" s="1" t="s">
        <v>245</v>
      </c>
      <c r="M1163" s="1" t="s">
        <v>246</v>
      </c>
      <c r="N1163" s="1" t="s">
        <v>254</v>
      </c>
      <c r="O1163" s="1">
        <v>46.53</v>
      </c>
      <c r="P1163" s="1" t="s">
        <v>193</v>
      </c>
    </row>
    <row r="1164" spans="1:16">
      <c r="A1164" s="7">
        <v>39836</v>
      </c>
      <c r="B1164" s="1">
        <v>39</v>
      </c>
      <c r="C1164" s="1" t="s">
        <v>234</v>
      </c>
      <c r="D1164" s="1">
        <v>4</v>
      </c>
      <c r="E1164" s="1">
        <v>1350</v>
      </c>
      <c r="F1164" s="1">
        <v>23</v>
      </c>
      <c r="G1164" s="1" t="s">
        <v>27</v>
      </c>
      <c r="H1164" s="1">
        <v>0</v>
      </c>
      <c r="K1164" s="1" t="s">
        <v>168</v>
      </c>
      <c r="L1164" s="1" t="s">
        <v>245</v>
      </c>
      <c r="M1164" s="1" t="s">
        <v>246</v>
      </c>
      <c r="N1164" s="1" t="s">
        <v>254</v>
      </c>
      <c r="O1164" s="1">
        <v>3.91</v>
      </c>
      <c r="P1164" s="1" t="s">
        <v>194</v>
      </c>
    </row>
    <row r="1165" spans="1:16">
      <c r="A1165" s="7">
        <v>39836</v>
      </c>
      <c r="B1165" s="1">
        <v>40</v>
      </c>
      <c r="C1165" s="1" t="s">
        <v>234</v>
      </c>
      <c r="D1165" s="1">
        <v>4</v>
      </c>
      <c r="E1165" s="1">
        <v>1350</v>
      </c>
      <c r="F1165" s="1">
        <v>23</v>
      </c>
      <c r="G1165" s="1" t="s">
        <v>27</v>
      </c>
      <c r="H1165" s="1">
        <v>0</v>
      </c>
      <c r="K1165" s="1" t="s">
        <v>195</v>
      </c>
      <c r="L1165" s="1" t="s">
        <v>245</v>
      </c>
      <c r="M1165" s="1" t="s">
        <v>246</v>
      </c>
      <c r="N1165" s="1" t="s">
        <v>254</v>
      </c>
      <c r="O1165" s="1">
        <v>-3.91</v>
      </c>
      <c r="P1165" s="1" t="s">
        <v>194</v>
      </c>
    </row>
    <row r="1166" spans="1:16">
      <c r="A1166" s="7">
        <v>39836</v>
      </c>
      <c r="B1166" s="1">
        <v>41</v>
      </c>
      <c r="C1166" s="1" t="s">
        <v>234</v>
      </c>
      <c r="D1166" s="1">
        <v>4</v>
      </c>
      <c r="E1166" s="1">
        <v>1350</v>
      </c>
      <c r="F1166" s="1">
        <v>23</v>
      </c>
      <c r="G1166" s="1" t="s">
        <v>27</v>
      </c>
      <c r="H1166" s="1">
        <v>0</v>
      </c>
      <c r="K1166" s="1" t="s">
        <v>88</v>
      </c>
      <c r="L1166" s="1" t="s">
        <v>245</v>
      </c>
      <c r="M1166" s="1" t="s">
        <v>246</v>
      </c>
      <c r="N1166" s="1" t="s">
        <v>254</v>
      </c>
      <c r="O1166" s="1">
        <v>26.27</v>
      </c>
      <c r="P1166" s="1" t="s">
        <v>194</v>
      </c>
    </row>
    <row r="1167" spans="1:16">
      <c r="A1167" s="7">
        <v>39836</v>
      </c>
      <c r="B1167" s="1">
        <v>42</v>
      </c>
      <c r="C1167" s="1" t="s">
        <v>234</v>
      </c>
      <c r="D1167" s="1">
        <v>4</v>
      </c>
      <c r="E1167" s="1">
        <v>1350</v>
      </c>
      <c r="F1167" s="1">
        <v>23</v>
      </c>
      <c r="G1167" s="1" t="s">
        <v>27</v>
      </c>
      <c r="H1167" s="1">
        <v>0</v>
      </c>
      <c r="K1167" s="1" t="s">
        <v>196</v>
      </c>
      <c r="L1167" s="1" t="s">
        <v>245</v>
      </c>
      <c r="M1167" s="1" t="s">
        <v>246</v>
      </c>
      <c r="N1167" s="1" t="s">
        <v>254</v>
      </c>
      <c r="O1167" s="1">
        <v>-26.27</v>
      </c>
      <c r="P1167" s="1" t="s">
        <v>194</v>
      </c>
    </row>
    <row r="1168" spans="1:16">
      <c r="A1168" s="7">
        <v>39836</v>
      </c>
      <c r="B1168" s="1">
        <v>43</v>
      </c>
      <c r="C1168" s="1" t="s">
        <v>234</v>
      </c>
      <c r="D1168" s="1">
        <v>4</v>
      </c>
      <c r="E1168" s="1">
        <v>1350</v>
      </c>
      <c r="F1168" s="1">
        <v>23</v>
      </c>
      <c r="G1168" s="1" t="s">
        <v>27</v>
      </c>
      <c r="H1168" s="1">
        <v>0</v>
      </c>
      <c r="K1168" s="1" t="s">
        <v>168</v>
      </c>
      <c r="L1168" s="1" t="s">
        <v>245</v>
      </c>
      <c r="M1168" s="1" t="s">
        <v>246</v>
      </c>
      <c r="N1168" s="1" t="s">
        <v>254</v>
      </c>
      <c r="O1168" s="1">
        <v>150</v>
      </c>
      <c r="P1168" s="1" t="s">
        <v>193</v>
      </c>
    </row>
    <row r="1169" spans="1:16">
      <c r="A1169" s="7">
        <v>39836</v>
      </c>
      <c r="B1169" s="1">
        <v>45</v>
      </c>
      <c r="C1169" s="1" t="s">
        <v>234</v>
      </c>
      <c r="D1169" s="1">
        <v>4</v>
      </c>
      <c r="E1169" s="1">
        <v>150</v>
      </c>
      <c r="F1169" s="1">
        <v>23</v>
      </c>
      <c r="G1169" s="1" t="s">
        <v>41</v>
      </c>
      <c r="H1169" s="1">
        <v>1872</v>
      </c>
      <c r="K1169" s="1" t="s">
        <v>88</v>
      </c>
      <c r="L1169" s="1" t="s">
        <v>245</v>
      </c>
      <c r="M1169" s="1" t="s">
        <v>246</v>
      </c>
      <c r="N1169" s="1" t="s">
        <v>254</v>
      </c>
      <c r="O1169" s="1">
        <v>150</v>
      </c>
      <c r="P1169" s="1" t="s">
        <v>193</v>
      </c>
    </row>
    <row r="1170" spans="1:16">
      <c r="A1170" s="7">
        <v>39836</v>
      </c>
      <c r="B1170" s="1">
        <v>46</v>
      </c>
      <c r="C1170" s="1" t="s">
        <v>234</v>
      </c>
      <c r="D1170" s="1">
        <v>4</v>
      </c>
      <c r="E1170" s="1">
        <v>150</v>
      </c>
      <c r="F1170" s="1">
        <v>23</v>
      </c>
      <c r="G1170" s="1" t="s">
        <v>41</v>
      </c>
      <c r="H1170" s="1">
        <v>2000</v>
      </c>
      <c r="K1170" s="1" t="s">
        <v>76</v>
      </c>
      <c r="L1170" s="1" t="s">
        <v>242</v>
      </c>
      <c r="M1170" s="1" t="s">
        <v>243</v>
      </c>
      <c r="N1170" s="1" t="s">
        <v>261</v>
      </c>
      <c r="O1170" s="1">
        <v>12</v>
      </c>
      <c r="P1170" s="1" t="s">
        <v>197</v>
      </c>
    </row>
    <row r="1171" spans="1:16">
      <c r="A1171" s="7">
        <v>39836</v>
      </c>
      <c r="B1171" s="1">
        <v>44</v>
      </c>
      <c r="C1171" s="1" t="s">
        <v>234</v>
      </c>
      <c r="D1171" s="1">
        <v>3</v>
      </c>
      <c r="E1171" s="1">
        <v>60</v>
      </c>
      <c r="F1171" s="1">
        <v>23</v>
      </c>
      <c r="G1171" s="1" t="s">
        <v>31</v>
      </c>
      <c r="H1171" s="1">
        <v>0</v>
      </c>
      <c r="K1171" s="1" t="s">
        <v>76</v>
      </c>
      <c r="L1171" s="1" t="s">
        <v>242</v>
      </c>
      <c r="M1171" s="1" t="s">
        <v>243</v>
      </c>
      <c r="N1171" s="1" t="s">
        <v>261</v>
      </c>
      <c r="O1171" s="1">
        <v>3.8</v>
      </c>
      <c r="P1171" s="1" t="s">
        <v>197</v>
      </c>
    </row>
    <row r="1172" spans="1:16">
      <c r="A1172" s="7">
        <v>39895</v>
      </c>
      <c r="B1172" s="1">
        <v>510</v>
      </c>
      <c r="C1172" s="1" t="s">
        <v>234</v>
      </c>
      <c r="D1172" s="1">
        <v>2</v>
      </c>
      <c r="E1172" s="1">
        <v>75</v>
      </c>
      <c r="F1172" s="1">
        <v>23</v>
      </c>
      <c r="G1172" s="1" t="s">
        <v>21</v>
      </c>
      <c r="H1172" s="1">
        <v>382</v>
      </c>
      <c r="K1172" s="1" t="s">
        <v>98</v>
      </c>
      <c r="L1172" s="1" t="s">
        <v>242</v>
      </c>
      <c r="M1172" s="1" t="s">
        <v>243</v>
      </c>
      <c r="N1172" s="1" t="s">
        <v>261</v>
      </c>
      <c r="O1172" s="1">
        <v>69.599999999999994</v>
      </c>
      <c r="P1172" s="1" t="s">
        <v>197</v>
      </c>
    </row>
    <row r="1173" spans="1:16">
      <c r="A1173" s="7">
        <v>39926</v>
      </c>
      <c r="B1173" s="1">
        <v>543</v>
      </c>
      <c r="C1173" s="1" t="s">
        <v>234</v>
      </c>
      <c r="D1173" s="1">
        <v>3</v>
      </c>
      <c r="E1173" s="1">
        <v>200</v>
      </c>
      <c r="F1173" s="1">
        <v>23</v>
      </c>
      <c r="G1173" s="1" t="s">
        <v>35</v>
      </c>
      <c r="H1173" s="1">
        <v>2010</v>
      </c>
      <c r="K1173" s="1" t="s">
        <v>76</v>
      </c>
      <c r="L1173" s="1" t="s">
        <v>242</v>
      </c>
      <c r="M1173" s="1" t="s">
        <v>243</v>
      </c>
      <c r="N1173" s="1" t="s">
        <v>261</v>
      </c>
      <c r="O1173" s="1">
        <v>60</v>
      </c>
      <c r="P1173" s="1" t="s">
        <v>197</v>
      </c>
    </row>
    <row r="1174" spans="1:16">
      <c r="A1174" s="7">
        <v>40017</v>
      </c>
      <c r="B1174" s="1">
        <v>799</v>
      </c>
      <c r="C1174" s="1" t="s">
        <v>234</v>
      </c>
      <c r="D1174" s="1">
        <v>4</v>
      </c>
      <c r="E1174" s="1">
        <v>414.46</v>
      </c>
      <c r="F1174" s="1">
        <v>23</v>
      </c>
      <c r="G1174" s="1" t="s">
        <v>5</v>
      </c>
      <c r="H1174" s="1">
        <v>673</v>
      </c>
      <c r="K1174" s="1" t="s">
        <v>76</v>
      </c>
      <c r="L1174" s="1" t="s">
        <v>242</v>
      </c>
      <c r="M1174" s="1" t="s">
        <v>243</v>
      </c>
      <c r="N1174" s="1" t="s">
        <v>261</v>
      </c>
      <c r="O1174" s="1">
        <v>37.42</v>
      </c>
      <c r="P1174" s="1" t="s">
        <v>197</v>
      </c>
    </row>
    <row r="1175" spans="1:16">
      <c r="A1175" s="7">
        <v>40017</v>
      </c>
      <c r="B1175" s="1">
        <v>798</v>
      </c>
      <c r="C1175" s="1" t="s">
        <v>234</v>
      </c>
      <c r="D1175" s="1">
        <v>3</v>
      </c>
      <c r="E1175" s="1">
        <v>295.93</v>
      </c>
      <c r="F1175" s="1">
        <v>23</v>
      </c>
      <c r="G1175" s="1" t="s">
        <v>6</v>
      </c>
      <c r="H1175" s="1">
        <v>1737</v>
      </c>
      <c r="K1175" s="1" t="s">
        <v>76</v>
      </c>
      <c r="L1175" s="1" t="s">
        <v>242</v>
      </c>
      <c r="M1175" s="1" t="s">
        <v>243</v>
      </c>
      <c r="N1175" s="1" t="s">
        <v>261</v>
      </c>
      <c r="O1175" s="1">
        <v>14.12</v>
      </c>
      <c r="P1175" s="1" t="s">
        <v>197</v>
      </c>
    </row>
    <row r="1176" spans="1:16">
      <c r="A1176" s="7">
        <v>40017</v>
      </c>
      <c r="B1176" s="1">
        <v>800</v>
      </c>
      <c r="C1176" s="1" t="s">
        <v>234</v>
      </c>
      <c r="D1176" s="1">
        <v>4</v>
      </c>
      <c r="E1176" s="1">
        <v>743.71</v>
      </c>
      <c r="F1176" s="1">
        <v>23</v>
      </c>
      <c r="G1176" s="1" t="s">
        <v>6</v>
      </c>
      <c r="H1176" s="1">
        <v>72</v>
      </c>
      <c r="K1176" s="1" t="s">
        <v>76</v>
      </c>
      <c r="L1176" s="1" t="s">
        <v>242</v>
      </c>
      <c r="M1176" s="1" t="s">
        <v>243</v>
      </c>
      <c r="N1176" s="1" t="s">
        <v>261</v>
      </c>
      <c r="O1176" s="1">
        <v>20</v>
      </c>
      <c r="P1176" s="1" t="s">
        <v>197</v>
      </c>
    </row>
    <row r="1177" spans="1:16">
      <c r="A1177" s="7">
        <v>40017</v>
      </c>
      <c r="B1177" s="1">
        <v>801</v>
      </c>
      <c r="C1177" s="1" t="s">
        <v>234</v>
      </c>
      <c r="D1177" s="1">
        <v>4</v>
      </c>
      <c r="E1177" s="1">
        <v>453.96</v>
      </c>
      <c r="F1177" s="1">
        <v>23</v>
      </c>
      <c r="G1177" s="1" t="s">
        <v>6</v>
      </c>
      <c r="H1177" s="1">
        <v>1261</v>
      </c>
      <c r="K1177" s="1" t="s">
        <v>76</v>
      </c>
      <c r="L1177" s="1" t="s">
        <v>242</v>
      </c>
      <c r="M1177" s="1" t="s">
        <v>243</v>
      </c>
      <c r="N1177" s="1" t="s">
        <v>261</v>
      </c>
      <c r="O1177" s="1">
        <v>103.2</v>
      </c>
      <c r="P1177" s="1" t="s">
        <v>197</v>
      </c>
    </row>
    <row r="1178" spans="1:16">
      <c r="A1178" s="7">
        <v>40017</v>
      </c>
      <c r="B1178" s="1">
        <v>802</v>
      </c>
      <c r="C1178" s="1" t="s">
        <v>234</v>
      </c>
      <c r="D1178" s="1">
        <v>4</v>
      </c>
      <c r="E1178" s="1">
        <v>248.92</v>
      </c>
      <c r="F1178" s="1">
        <v>23</v>
      </c>
      <c r="G1178" s="1" t="s">
        <v>6</v>
      </c>
      <c r="H1178" s="1">
        <v>1267</v>
      </c>
      <c r="K1178" s="1" t="s">
        <v>76</v>
      </c>
      <c r="L1178" s="1" t="s">
        <v>242</v>
      </c>
      <c r="M1178" s="1" t="s">
        <v>243</v>
      </c>
      <c r="N1178" s="1" t="s">
        <v>261</v>
      </c>
      <c r="O1178" s="1">
        <v>88.81</v>
      </c>
      <c r="P1178" s="1" t="s">
        <v>197</v>
      </c>
    </row>
    <row r="1179" spans="1:16">
      <c r="A1179" s="7">
        <v>40017</v>
      </c>
      <c r="B1179" s="1">
        <v>803</v>
      </c>
      <c r="C1179" s="1" t="s">
        <v>235</v>
      </c>
      <c r="D1179" s="1">
        <v>1</v>
      </c>
      <c r="E1179" s="1">
        <v>207.23</v>
      </c>
      <c r="F1179" s="1">
        <v>23</v>
      </c>
      <c r="G1179" s="1" t="s">
        <v>6</v>
      </c>
      <c r="H1179" s="1">
        <v>1641</v>
      </c>
      <c r="K1179" s="1" t="s">
        <v>76</v>
      </c>
      <c r="L1179" s="1" t="s">
        <v>242</v>
      </c>
      <c r="M1179" s="1" t="s">
        <v>243</v>
      </c>
      <c r="N1179" s="1" t="s">
        <v>261</v>
      </c>
      <c r="O1179" s="1">
        <v>8.32</v>
      </c>
      <c r="P1179" s="1" t="s">
        <v>197</v>
      </c>
    </row>
    <row r="1180" spans="1:16">
      <c r="A1180" s="7">
        <v>40017</v>
      </c>
      <c r="B1180" s="1">
        <v>805</v>
      </c>
      <c r="C1180" s="1" t="s">
        <v>234</v>
      </c>
      <c r="D1180" s="1">
        <v>4</v>
      </c>
      <c r="E1180" s="1">
        <v>447.34</v>
      </c>
      <c r="F1180" s="1">
        <v>23</v>
      </c>
      <c r="G1180" s="1" t="s">
        <v>6</v>
      </c>
      <c r="H1180" s="1">
        <v>752</v>
      </c>
      <c r="K1180" s="1" t="s">
        <v>76</v>
      </c>
      <c r="L1180" s="1" t="s">
        <v>242</v>
      </c>
      <c r="M1180" s="1" t="s">
        <v>243</v>
      </c>
      <c r="N1180" s="1" t="s">
        <v>261</v>
      </c>
      <c r="O1180" s="1">
        <v>16</v>
      </c>
      <c r="P1180" s="1" t="s">
        <v>197</v>
      </c>
    </row>
    <row r="1181" spans="1:16">
      <c r="A1181" s="7">
        <v>40017</v>
      </c>
      <c r="B1181" s="1">
        <v>806</v>
      </c>
      <c r="C1181" s="1" t="s">
        <v>234</v>
      </c>
      <c r="D1181" s="1">
        <v>4</v>
      </c>
      <c r="E1181" s="1">
        <v>340.34</v>
      </c>
      <c r="F1181" s="1">
        <v>23</v>
      </c>
      <c r="G1181" s="1" t="s">
        <v>6</v>
      </c>
      <c r="H1181" s="1">
        <v>661</v>
      </c>
      <c r="K1181" s="1" t="s">
        <v>76</v>
      </c>
      <c r="L1181" s="1" t="s">
        <v>242</v>
      </c>
      <c r="M1181" s="1" t="s">
        <v>243</v>
      </c>
      <c r="N1181" s="1" t="s">
        <v>261</v>
      </c>
      <c r="O1181" s="1">
        <v>17.12</v>
      </c>
      <c r="P1181" s="1" t="s">
        <v>197</v>
      </c>
    </row>
    <row r="1182" spans="1:16">
      <c r="A1182" s="7">
        <v>40017</v>
      </c>
      <c r="B1182" s="1">
        <v>807</v>
      </c>
      <c r="C1182" s="1" t="s">
        <v>234</v>
      </c>
      <c r="D1182" s="1">
        <v>4</v>
      </c>
      <c r="E1182" s="1">
        <v>374.95</v>
      </c>
      <c r="F1182" s="1">
        <v>23</v>
      </c>
      <c r="G1182" s="1" t="s">
        <v>6</v>
      </c>
      <c r="H1182" s="1">
        <v>1255</v>
      </c>
      <c r="K1182" s="1" t="s">
        <v>76</v>
      </c>
      <c r="L1182" s="1" t="s">
        <v>242</v>
      </c>
      <c r="M1182" s="1" t="s">
        <v>243</v>
      </c>
      <c r="N1182" s="1" t="s">
        <v>261</v>
      </c>
      <c r="O1182" s="1">
        <v>46.72</v>
      </c>
      <c r="P1182" s="1" t="s">
        <v>197</v>
      </c>
    </row>
    <row r="1183" spans="1:16">
      <c r="A1183" s="7">
        <v>40017</v>
      </c>
      <c r="B1183" s="1">
        <v>808</v>
      </c>
      <c r="C1183" s="1" t="s">
        <v>234</v>
      </c>
      <c r="D1183" s="1">
        <v>4</v>
      </c>
      <c r="E1183" s="1">
        <v>471.46</v>
      </c>
      <c r="F1183" s="1">
        <v>23</v>
      </c>
      <c r="G1183" s="1" t="s">
        <v>6</v>
      </c>
      <c r="H1183" s="1">
        <v>97</v>
      </c>
      <c r="K1183" s="1" t="s">
        <v>63</v>
      </c>
      <c r="L1183" s="1" t="s">
        <v>242</v>
      </c>
      <c r="M1183" s="1" t="s">
        <v>243</v>
      </c>
      <c r="N1183" s="1" t="s">
        <v>244</v>
      </c>
      <c r="O1183" s="1">
        <v>23092.82</v>
      </c>
      <c r="P1183" s="1" t="s">
        <v>198</v>
      </c>
    </row>
    <row r="1184" spans="1:16">
      <c r="A1184" s="7">
        <v>40017</v>
      </c>
      <c r="B1184" s="1">
        <v>809</v>
      </c>
      <c r="C1184" s="1" t="s">
        <v>234</v>
      </c>
      <c r="D1184" s="1">
        <v>3</v>
      </c>
      <c r="E1184" s="1">
        <v>493.48</v>
      </c>
      <c r="F1184" s="1">
        <v>23</v>
      </c>
      <c r="G1184" s="1" t="s">
        <v>6</v>
      </c>
      <c r="H1184" s="1">
        <v>1799</v>
      </c>
      <c r="K1184" s="1" t="s">
        <v>63</v>
      </c>
      <c r="L1184" s="1" t="s">
        <v>242</v>
      </c>
      <c r="M1184" s="1" t="s">
        <v>243</v>
      </c>
      <c r="N1184" s="1" t="s">
        <v>244</v>
      </c>
      <c r="O1184" s="1">
        <v>-486.5</v>
      </c>
      <c r="P1184" s="1" t="s">
        <v>198</v>
      </c>
    </row>
    <row r="1185" spans="1:16">
      <c r="A1185" s="7">
        <v>40017</v>
      </c>
      <c r="B1185" s="1">
        <v>810</v>
      </c>
      <c r="C1185" s="1" t="s">
        <v>234</v>
      </c>
      <c r="D1185" s="1">
        <v>3</v>
      </c>
      <c r="E1185" s="1">
        <v>691.03</v>
      </c>
      <c r="F1185" s="1">
        <v>23</v>
      </c>
      <c r="G1185" s="1" t="s">
        <v>6</v>
      </c>
      <c r="H1185" s="1">
        <v>1119</v>
      </c>
      <c r="K1185" s="1" t="s">
        <v>63</v>
      </c>
      <c r="L1185" s="1" t="s">
        <v>242</v>
      </c>
      <c r="M1185" s="1" t="s">
        <v>243</v>
      </c>
      <c r="N1185" s="1" t="s">
        <v>244</v>
      </c>
      <c r="O1185" s="1">
        <v>12680.35</v>
      </c>
      <c r="P1185" s="1" t="s">
        <v>198</v>
      </c>
    </row>
    <row r="1186" spans="1:16">
      <c r="A1186" s="7">
        <v>40017</v>
      </c>
      <c r="B1186" s="1">
        <v>819</v>
      </c>
      <c r="C1186" s="1" t="s">
        <v>234</v>
      </c>
      <c r="D1186" s="1">
        <v>3</v>
      </c>
      <c r="E1186" s="1">
        <v>414.46</v>
      </c>
      <c r="F1186" s="1">
        <v>23</v>
      </c>
      <c r="G1186" s="1" t="s">
        <v>6</v>
      </c>
      <c r="H1186" s="1">
        <v>1251</v>
      </c>
      <c r="K1186" s="1" t="s">
        <v>63</v>
      </c>
      <c r="L1186" s="1" t="s">
        <v>242</v>
      </c>
      <c r="M1186" s="1" t="s">
        <v>243</v>
      </c>
      <c r="N1186" s="1" t="s">
        <v>244</v>
      </c>
      <c r="O1186" s="1">
        <v>-2407.9899999999998</v>
      </c>
      <c r="P1186" s="1" t="s">
        <v>198</v>
      </c>
    </row>
    <row r="1187" spans="1:16">
      <c r="A1187" s="7">
        <v>40079</v>
      </c>
      <c r="B1187" s="1">
        <v>1196</v>
      </c>
      <c r="C1187" s="1" t="s">
        <v>234</v>
      </c>
      <c r="D1187" s="1">
        <v>4</v>
      </c>
      <c r="E1187" s="1">
        <v>215.5</v>
      </c>
      <c r="F1187" s="1">
        <v>23</v>
      </c>
      <c r="G1187" s="1" t="s">
        <v>42</v>
      </c>
      <c r="H1187" s="1">
        <v>0</v>
      </c>
      <c r="K1187" s="1" t="s">
        <v>63</v>
      </c>
      <c r="L1187" s="1" t="s">
        <v>242</v>
      </c>
      <c r="M1187" s="1" t="s">
        <v>243</v>
      </c>
      <c r="N1187" s="1" t="s">
        <v>244</v>
      </c>
      <c r="O1187" s="1">
        <v>31586.1</v>
      </c>
      <c r="P1187" s="1" t="s">
        <v>198</v>
      </c>
    </row>
    <row r="1188" spans="1:16">
      <c r="A1188" s="7">
        <v>40079</v>
      </c>
      <c r="B1188" s="1">
        <v>1252</v>
      </c>
      <c r="C1188" s="1" t="s">
        <v>234</v>
      </c>
      <c r="D1188" s="1">
        <v>8</v>
      </c>
      <c r="E1188" s="1">
        <v>360.71</v>
      </c>
      <c r="F1188" s="1">
        <v>23</v>
      </c>
      <c r="G1188" s="1" t="s">
        <v>8</v>
      </c>
      <c r="H1188" s="1">
        <v>2111</v>
      </c>
      <c r="K1188" s="1" t="s">
        <v>63</v>
      </c>
      <c r="L1188" s="1" t="s">
        <v>242</v>
      </c>
      <c r="M1188" s="1" t="s">
        <v>243</v>
      </c>
      <c r="N1188" s="1" t="s">
        <v>244</v>
      </c>
      <c r="O1188" s="1">
        <v>10308.07</v>
      </c>
      <c r="P1188" s="1" t="s">
        <v>198</v>
      </c>
    </row>
    <row r="1189" spans="1:16">
      <c r="A1189" s="7">
        <v>40079</v>
      </c>
      <c r="B1189" s="1">
        <v>1252</v>
      </c>
      <c r="C1189" s="1" t="s">
        <v>234</v>
      </c>
      <c r="D1189" s="1">
        <v>8</v>
      </c>
      <c r="E1189" s="1">
        <v>78</v>
      </c>
      <c r="F1189" s="1">
        <v>23</v>
      </c>
      <c r="G1189" s="1" t="s">
        <v>11</v>
      </c>
      <c r="H1189" s="1">
        <v>2111</v>
      </c>
      <c r="K1189" s="1" t="s">
        <v>65</v>
      </c>
      <c r="L1189" s="1" t="s">
        <v>242</v>
      </c>
      <c r="M1189" s="1" t="s">
        <v>243</v>
      </c>
      <c r="N1189" s="1" t="s">
        <v>244</v>
      </c>
      <c r="O1189" s="1">
        <v>9221.1200000000008</v>
      </c>
      <c r="P1189" s="1" t="s">
        <v>198</v>
      </c>
    </row>
    <row r="1190" spans="1:16">
      <c r="A1190" s="7">
        <v>40079</v>
      </c>
      <c r="B1190" s="1">
        <v>1162</v>
      </c>
      <c r="C1190" s="1" t="s">
        <v>234</v>
      </c>
      <c r="D1190" s="1">
        <v>4</v>
      </c>
      <c r="E1190" s="1">
        <v>846.45</v>
      </c>
      <c r="F1190" s="1">
        <v>23</v>
      </c>
      <c r="G1190" s="1" t="s">
        <v>13</v>
      </c>
      <c r="H1190" s="1">
        <v>1819</v>
      </c>
      <c r="K1190" s="1" t="s">
        <v>66</v>
      </c>
      <c r="L1190" s="1" t="s">
        <v>242</v>
      </c>
      <c r="M1190" s="1" t="s">
        <v>243</v>
      </c>
      <c r="N1190" s="1" t="s">
        <v>244</v>
      </c>
      <c r="O1190" s="1">
        <v>5859.42</v>
      </c>
      <c r="P1190" s="1" t="s">
        <v>198</v>
      </c>
    </row>
    <row r="1191" spans="1:16">
      <c r="A1191" s="7">
        <v>40079</v>
      </c>
      <c r="B1191" s="1">
        <v>1197</v>
      </c>
      <c r="C1191" s="1" t="s">
        <v>235</v>
      </c>
      <c r="D1191" s="1">
        <v>4</v>
      </c>
      <c r="E1191" s="1">
        <v>125.4</v>
      </c>
      <c r="F1191" s="1">
        <v>23</v>
      </c>
      <c r="G1191" s="1" t="s">
        <v>13</v>
      </c>
      <c r="H1191" s="1">
        <v>1530</v>
      </c>
      <c r="K1191" s="1" t="s">
        <v>66</v>
      </c>
      <c r="L1191" s="1" t="s">
        <v>242</v>
      </c>
      <c r="M1191" s="1" t="s">
        <v>243</v>
      </c>
      <c r="N1191" s="1" t="s">
        <v>244</v>
      </c>
      <c r="O1191" s="1">
        <v>4294.76</v>
      </c>
      <c r="P1191" s="1" t="s">
        <v>198</v>
      </c>
    </row>
    <row r="1192" spans="1:16">
      <c r="A1192" s="7">
        <v>40079</v>
      </c>
      <c r="B1192" s="1">
        <v>1195</v>
      </c>
      <c r="C1192" s="1" t="s">
        <v>234</v>
      </c>
      <c r="D1192" s="1">
        <v>3</v>
      </c>
      <c r="E1192" s="1">
        <v>111.9</v>
      </c>
      <c r="F1192" s="1">
        <v>23</v>
      </c>
      <c r="G1192" s="1" t="s">
        <v>30</v>
      </c>
      <c r="H1192" s="1">
        <v>0</v>
      </c>
      <c r="K1192" s="1" t="s">
        <v>66</v>
      </c>
      <c r="L1192" s="1" t="s">
        <v>242</v>
      </c>
      <c r="M1192" s="1" t="s">
        <v>243</v>
      </c>
      <c r="N1192" s="1" t="s">
        <v>244</v>
      </c>
      <c r="O1192" s="1">
        <v>3906.78</v>
      </c>
      <c r="P1192" s="1" t="s">
        <v>198</v>
      </c>
    </row>
    <row r="1193" spans="1:16">
      <c r="A1193" s="7">
        <v>40079</v>
      </c>
      <c r="B1193" s="1">
        <v>1200</v>
      </c>
      <c r="C1193" s="1" t="s">
        <v>235</v>
      </c>
      <c r="D1193" s="1">
        <v>1</v>
      </c>
      <c r="E1193" s="1">
        <v>111.9</v>
      </c>
      <c r="F1193" s="1">
        <v>23</v>
      </c>
      <c r="G1193" s="1" t="s">
        <v>30</v>
      </c>
      <c r="H1193" s="1">
        <v>2128</v>
      </c>
      <c r="K1193" s="1" t="s">
        <v>66</v>
      </c>
      <c r="L1193" s="1" t="s">
        <v>242</v>
      </c>
      <c r="M1193" s="1" t="s">
        <v>243</v>
      </c>
      <c r="N1193" s="1" t="s">
        <v>244</v>
      </c>
      <c r="O1193" s="1">
        <v>375.68</v>
      </c>
      <c r="P1193" s="1" t="s">
        <v>198</v>
      </c>
    </row>
    <row r="1194" spans="1:16">
      <c r="A1194" s="7">
        <v>40079</v>
      </c>
      <c r="B1194" s="1">
        <v>1201</v>
      </c>
      <c r="C1194" s="1" t="s">
        <v>234</v>
      </c>
      <c r="D1194" s="1">
        <v>1</v>
      </c>
      <c r="E1194" s="1">
        <v>111.9</v>
      </c>
      <c r="F1194" s="1">
        <v>23</v>
      </c>
      <c r="G1194" s="1" t="s">
        <v>30</v>
      </c>
      <c r="H1194" s="1">
        <v>0</v>
      </c>
      <c r="K1194" s="1" t="s">
        <v>67</v>
      </c>
      <c r="L1194" s="1" t="s">
        <v>242</v>
      </c>
      <c r="M1194" s="1" t="s">
        <v>243</v>
      </c>
      <c r="N1194" s="1" t="s">
        <v>244</v>
      </c>
      <c r="O1194" s="1">
        <v>1885.47</v>
      </c>
      <c r="P1194" s="1" t="s">
        <v>198</v>
      </c>
    </row>
    <row r="1195" spans="1:16">
      <c r="A1195" s="7">
        <v>40079</v>
      </c>
      <c r="B1195" s="1">
        <v>1193</v>
      </c>
      <c r="C1195" s="1" t="s">
        <v>234</v>
      </c>
      <c r="D1195" s="1">
        <v>2</v>
      </c>
      <c r="E1195" s="1">
        <v>300</v>
      </c>
      <c r="F1195" s="1">
        <v>23</v>
      </c>
      <c r="G1195" s="1" t="s">
        <v>20</v>
      </c>
      <c r="H1195" s="1">
        <v>2126</v>
      </c>
      <c r="K1195" s="1" t="s">
        <v>67</v>
      </c>
      <c r="L1195" s="1" t="s">
        <v>242</v>
      </c>
      <c r="M1195" s="1" t="s">
        <v>243</v>
      </c>
      <c r="N1195" s="1" t="s">
        <v>244</v>
      </c>
      <c r="O1195" s="1">
        <v>-34.6</v>
      </c>
      <c r="P1195" s="1" t="s">
        <v>198</v>
      </c>
    </row>
    <row r="1196" spans="1:16">
      <c r="A1196" s="7">
        <v>40079</v>
      </c>
      <c r="B1196" s="1">
        <v>1194</v>
      </c>
      <c r="C1196" s="1" t="s">
        <v>234</v>
      </c>
      <c r="D1196" s="1">
        <v>2</v>
      </c>
      <c r="E1196" s="1">
        <v>300</v>
      </c>
      <c r="F1196" s="1">
        <v>23</v>
      </c>
      <c r="G1196" s="1" t="s">
        <v>20</v>
      </c>
      <c r="H1196" s="1">
        <v>2127</v>
      </c>
      <c r="K1196" s="1" t="s">
        <v>67</v>
      </c>
      <c r="L1196" s="1" t="s">
        <v>242</v>
      </c>
      <c r="M1196" s="1" t="s">
        <v>243</v>
      </c>
      <c r="N1196" s="1" t="s">
        <v>244</v>
      </c>
      <c r="O1196" s="1">
        <v>1052.69</v>
      </c>
      <c r="P1196" s="1" t="s">
        <v>198</v>
      </c>
    </row>
    <row r="1197" spans="1:16">
      <c r="A1197" s="7">
        <v>40109</v>
      </c>
      <c r="B1197" s="1">
        <v>1461</v>
      </c>
      <c r="C1197" s="1" t="s">
        <v>234</v>
      </c>
      <c r="D1197" s="1">
        <v>4</v>
      </c>
      <c r="E1197" s="1">
        <v>2180.25</v>
      </c>
      <c r="F1197" s="1">
        <v>23</v>
      </c>
      <c r="G1197" s="1" t="s">
        <v>23</v>
      </c>
      <c r="H1197" s="1">
        <v>0</v>
      </c>
      <c r="K1197" s="1" t="s">
        <v>67</v>
      </c>
      <c r="L1197" s="1" t="s">
        <v>242</v>
      </c>
      <c r="M1197" s="1" t="s">
        <v>243</v>
      </c>
      <c r="N1197" s="1" t="s">
        <v>244</v>
      </c>
      <c r="O1197" s="1">
        <v>-103.8</v>
      </c>
      <c r="P1197" s="1" t="s">
        <v>198</v>
      </c>
    </row>
    <row r="1198" spans="1:16">
      <c r="A1198" s="7">
        <v>40140</v>
      </c>
      <c r="B1198" s="1">
        <v>139</v>
      </c>
      <c r="C1198" s="1" t="s">
        <v>234</v>
      </c>
      <c r="D1198" s="1">
        <v>4</v>
      </c>
      <c r="E1198" s="1">
        <v>35142.82</v>
      </c>
      <c r="F1198" s="1">
        <v>23</v>
      </c>
      <c r="G1198" s="1" t="s">
        <v>59</v>
      </c>
      <c r="H1198" s="1">
        <v>0</v>
      </c>
      <c r="K1198" s="1" t="s">
        <v>67</v>
      </c>
      <c r="L1198" s="1" t="s">
        <v>242</v>
      </c>
      <c r="M1198" s="1" t="s">
        <v>243</v>
      </c>
      <c r="N1198" s="1" t="s">
        <v>244</v>
      </c>
      <c r="O1198" s="1">
        <v>4241.6499999999996</v>
      </c>
      <c r="P1198" s="1" t="s">
        <v>198</v>
      </c>
    </row>
    <row r="1199" spans="1:16">
      <c r="A1199" s="7">
        <v>40140</v>
      </c>
      <c r="B1199" s="1">
        <v>1331</v>
      </c>
      <c r="C1199" s="1" t="s">
        <v>234</v>
      </c>
      <c r="D1199" s="1">
        <v>2</v>
      </c>
      <c r="E1199" s="1">
        <v>489.75</v>
      </c>
      <c r="F1199" s="1">
        <v>23</v>
      </c>
      <c r="G1199" s="1" t="s">
        <v>8</v>
      </c>
      <c r="H1199" s="1">
        <v>0</v>
      </c>
      <c r="K1199" s="1" t="s">
        <v>67</v>
      </c>
      <c r="L1199" s="1" t="s">
        <v>242</v>
      </c>
      <c r="M1199" s="1" t="s">
        <v>243</v>
      </c>
      <c r="N1199" s="1" t="s">
        <v>244</v>
      </c>
      <c r="O1199" s="1">
        <v>466.9</v>
      </c>
      <c r="P1199" s="1" t="s">
        <v>198</v>
      </c>
    </row>
    <row r="1200" spans="1:16">
      <c r="A1200" s="7">
        <v>39868</v>
      </c>
      <c r="B1200" s="1">
        <v>133</v>
      </c>
      <c r="C1200" s="1" t="s">
        <v>234</v>
      </c>
      <c r="D1200" s="1">
        <v>4</v>
      </c>
      <c r="E1200" s="1">
        <v>208</v>
      </c>
      <c r="F1200" s="1">
        <v>23</v>
      </c>
      <c r="G1200" s="1" t="s">
        <v>16</v>
      </c>
      <c r="H1200" s="1">
        <v>264</v>
      </c>
      <c r="K1200" s="1" t="s">
        <v>68</v>
      </c>
      <c r="L1200" s="1" t="s">
        <v>242</v>
      </c>
      <c r="M1200" s="1" t="s">
        <v>243</v>
      </c>
      <c r="N1200" s="1" t="s">
        <v>244</v>
      </c>
      <c r="O1200" s="1">
        <v>3179.54</v>
      </c>
      <c r="P1200" s="1" t="s">
        <v>198</v>
      </c>
    </row>
    <row r="1201" spans="1:16">
      <c r="A1201" s="7">
        <v>39868</v>
      </c>
      <c r="B1201" s="1">
        <v>393</v>
      </c>
      <c r="C1201" s="1" t="s">
        <v>234</v>
      </c>
      <c r="D1201" s="1">
        <v>2</v>
      </c>
      <c r="E1201" s="1">
        <v>909.15</v>
      </c>
      <c r="F1201" s="1">
        <v>23</v>
      </c>
      <c r="G1201" s="1" t="s">
        <v>3</v>
      </c>
      <c r="H1201" s="1">
        <v>0</v>
      </c>
      <c r="K1201" s="1" t="s">
        <v>68</v>
      </c>
      <c r="L1201" s="1" t="s">
        <v>242</v>
      </c>
      <c r="M1201" s="1" t="s">
        <v>243</v>
      </c>
      <c r="N1201" s="1" t="s">
        <v>244</v>
      </c>
      <c r="O1201" s="1">
        <v>1458.79</v>
      </c>
      <c r="P1201" s="1" t="s">
        <v>198</v>
      </c>
    </row>
    <row r="1202" spans="1:16">
      <c r="A1202" s="7">
        <v>39868</v>
      </c>
      <c r="B1202" s="1">
        <v>414</v>
      </c>
      <c r="C1202" s="1" t="s">
        <v>234</v>
      </c>
      <c r="D1202" s="1">
        <v>4</v>
      </c>
      <c r="E1202" s="1">
        <v>256.42</v>
      </c>
      <c r="F1202" s="1">
        <v>23</v>
      </c>
      <c r="G1202" s="1" t="s">
        <v>29</v>
      </c>
      <c r="H1202" s="1">
        <v>933</v>
      </c>
      <c r="K1202" s="1" t="s">
        <v>68</v>
      </c>
      <c r="L1202" s="1" t="s">
        <v>242</v>
      </c>
      <c r="M1202" s="1" t="s">
        <v>243</v>
      </c>
      <c r="N1202" s="1" t="s">
        <v>244</v>
      </c>
      <c r="O1202" s="1">
        <v>4657.72</v>
      </c>
      <c r="P1202" s="1" t="s">
        <v>198</v>
      </c>
    </row>
    <row r="1203" spans="1:16">
      <c r="A1203" s="7">
        <v>39868</v>
      </c>
      <c r="B1203" s="1">
        <v>415</v>
      </c>
      <c r="C1203" s="1" t="s">
        <v>234</v>
      </c>
      <c r="D1203" s="1">
        <v>4</v>
      </c>
      <c r="E1203" s="1">
        <v>526.36</v>
      </c>
      <c r="F1203" s="1">
        <v>23</v>
      </c>
      <c r="G1203" s="1" t="s">
        <v>29</v>
      </c>
      <c r="H1203" s="1">
        <v>1809</v>
      </c>
      <c r="K1203" s="1" t="s">
        <v>68</v>
      </c>
      <c r="L1203" s="1" t="s">
        <v>242</v>
      </c>
      <c r="M1203" s="1" t="s">
        <v>243</v>
      </c>
      <c r="N1203" s="1" t="s">
        <v>244</v>
      </c>
      <c r="O1203" s="1">
        <v>1400.79</v>
      </c>
      <c r="P1203" s="1" t="s">
        <v>198</v>
      </c>
    </row>
    <row r="1204" spans="1:16">
      <c r="A1204" s="7">
        <v>39868</v>
      </c>
      <c r="B1204" s="1">
        <v>416</v>
      </c>
      <c r="C1204" s="1" t="s">
        <v>234</v>
      </c>
      <c r="D1204" s="1">
        <v>4</v>
      </c>
      <c r="E1204" s="1">
        <v>296.02999999999997</v>
      </c>
      <c r="F1204" s="1">
        <v>23</v>
      </c>
      <c r="G1204" s="1" t="s">
        <v>29</v>
      </c>
      <c r="H1204" s="1">
        <v>970</v>
      </c>
      <c r="K1204" s="1" t="s">
        <v>69</v>
      </c>
      <c r="L1204" s="1" t="s">
        <v>242</v>
      </c>
      <c r="M1204" s="1" t="s">
        <v>243</v>
      </c>
      <c r="N1204" s="1" t="s">
        <v>244</v>
      </c>
      <c r="O1204" s="1">
        <v>1198.77</v>
      </c>
      <c r="P1204" s="1" t="s">
        <v>198</v>
      </c>
    </row>
    <row r="1205" spans="1:16">
      <c r="A1205" s="7">
        <v>39868</v>
      </c>
      <c r="B1205" s="1">
        <v>417</v>
      </c>
      <c r="C1205" s="1" t="s">
        <v>234</v>
      </c>
      <c r="D1205" s="1">
        <v>4</v>
      </c>
      <c r="E1205" s="1">
        <v>414.46</v>
      </c>
      <c r="F1205" s="1">
        <v>23</v>
      </c>
      <c r="G1205" s="1" t="s">
        <v>29</v>
      </c>
      <c r="H1205" s="1">
        <v>1832</v>
      </c>
      <c r="K1205" s="1" t="s">
        <v>70</v>
      </c>
      <c r="L1205" s="1" t="s">
        <v>242</v>
      </c>
      <c r="M1205" s="1" t="s">
        <v>243</v>
      </c>
      <c r="N1205" s="1" t="s">
        <v>244</v>
      </c>
      <c r="O1205" s="1">
        <v>761.79</v>
      </c>
      <c r="P1205" s="1" t="s">
        <v>198</v>
      </c>
    </row>
    <row r="1206" spans="1:16">
      <c r="A1206" s="7">
        <v>39868</v>
      </c>
      <c r="B1206" s="1">
        <v>418</v>
      </c>
      <c r="C1206" s="1" t="s">
        <v>234</v>
      </c>
      <c r="D1206" s="1">
        <v>1</v>
      </c>
      <c r="E1206" s="1">
        <v>603.74</v>
      </c>
      <c r="F1206" s="1">
        <v>23</v>
      </c>
      <c r="G1206" s="1" t="s">
        <v>29</v>
      </c>
      <c r="H1206" s="1">
        <v>716</v>
      </c>
      <c r="K1206" s="1" t="s">
        <v>70</v>
      </c>
      <c r="L1206" s="1" t="s">
        <v>242</v>
      </c>
      <c r="M1206" s="1" t="s">
        <v>243</v>
      </c>
      <c r="N1206" s="1" t="s">
        <v>244</v>
      </c>
      <c r="O1206" s="1">
        <v>558.36</v>
      </c>
      <c r="P1206" s="1" t="s">
        <v>198</v>
      </c>
    </row>
    <row r="1207" spans="1:16">
      <c r="A1207" s="7">
        <v>39868</v>
      </c>
      <c r="B1207" s="1">
        <v>419</v>
      </c>
      <c r="C1207" s="1" t="s">
        <v>234</v>
      </c>
      <c r="D1207" s="1">
        <v>2</v>
      </c>
      <c r="E1207" s="1">
        <v>295.93</v>
      </c>
      <c r="F1207" s="1">
        <v>23</v>
      </c>
      <c r="G1207" s="1" t="s">
        <v>29</v>
      </c>
      <c r="H1207" s="1">
        <v>1650</v>
      </c>
      <c r="K1207" s="1" t="s">
        <v>70</v>
      </c>
      <c r="L1207" s="1" t="s">
        <v>242</v>
      </c>
      <c r="M1207" s="1" t="s">
        <v>243</v>
      </c>
      <c r="N1207" s="1" t="s">
        <v>244</v>
      </c>
      <c r="O1207" s="1">
        <v>507.91</v>
      </c>
      <c r="P1207" s="1" t="s">
        <v>198</v>
      </c>
    </row>
    <row r="1208" spans="1:16">
      <c r="A1208" s="7">
        <v>39868</v>
      </c>
      <c r="B1208" s="1">
        <v>420</v>
      </c>
      <c r="C1208" s="1" t="s">
        <v>235</v>
      </c>
      <c r="D1208" s="1">
        <v>1</v>
      </c>
      <c r="E1208" s="1">
        <v>368.32</v>
      </c>
      <c r="F1208" s="1">
        <v>23</v>
      </c>
      <c r="G1208" s="1" t="s">
        <v>29</v>
      </c>
      <c r="H1208" s="1">
        <v>670</v>
      </c>
      <c r="K1208" s="1" t="s">
        <v>70</v>
      </c>
      <c r="L1208" s="1" t="s">
        <v>242</v>
      </c>
      <c r="M1208" s="1" t="s">
        <v>243</v>
      </c>
      <c r="N1208" s="1" t="s">
        <v>244</v>
      </c>
      <c r="O1208" s="1">
        <v>48.84</v>
      </c>
      <c r="P1208" s="1" t="s">
        <v>198</v>
      </c>
    </row>
    <row r="1209" spans="1:16">
      <c r="A1209" s="7">
        <v>39868</v>
      </c>
      <c r="B1209" s="1">
        <v>421</v>
      </c>
      <c r="C1209" s="1" t="s">
        <v>235</v>
      </c>
      <c r="D1209" s="1">
        <v>1</v>
      </c>
      <c r="E1209" s="1">
        <v>532.99</v>
      </c>
      <c r="F1209" s="1">
        <v>23</v>
      </c>
      <c r="G1209" s="1" t="s">
        <v>29</v>
      </c>
      <c r="H1209" s="1">
        <v>717</v>
      </c>
      <c r="K1209" s="1" t="s">
        <v>71</v>
      </c>
      <c r="L1209" s="1" t="s">
        <v>242</v>
      </c>
      <c r="M1209" s="1" t="s">
        <v>243</v>
      </c>
      <c r="N1209" s="1" t="s">
        <v>244</v>
      </c>
      <c r="O1209" s="1">
        <v>336.73</v>
      </c>
      <c r="P1209" s="1" t="s">
        <v>198</v>
      </c>
    </row>
    <row r="1210" spans="1:16">
      <c r="A1210" s="7">
        <v>39868</v>
      </c>
      <c r="B1210" s="1">
        <v>423</v>
      </c>
      <c r="C1210" s="1" t="s">
        <v>235</v>
      </c>
      <c r="D1210" s="1">
        <v>1</v>
      </c>
      <c r="E1210" s="1">
        <v>818.23</v>
      </c>
      <c r="F1210" s="1">
        <v>23</v>
      </c>
      <c r="G1210" s="1" t="s">
        <v>29</v>
      </c>
      <c r="H1210" s="1">
        <v>104</v>
      </c>
      <c r="K1210" s="1" t="s">
        <v>71</v>
      </c>
      <c r="L1210" s="1" t="s">
        <v>242</v>
      </c>
      <c r="M1210" s="1" t="s">
        <v>243</v>
      </c>
      <c r="N1210" s="1" t="s">
        <v>244</v>
      </c>
      <c r="O1210" s="1">
        <v>112.19</v>
      </c>
      <c r="P1210" s="1" t="s">
        <v>198</v>
      </c>
    </row>
    <row r="1211" spans="1:16">
      <c r="A1211" s="7">
        <v>39868</v>
      </c>
      <c r="B1211" s="1">
        <v>422</v>
      </c>
      <c r="C1211" s="1" t="s">
        <v>235</v>
      </c>
      <c r="D1211" s="1">
        <v>1</v>
      </c>
      <c r="E1211" s="1">
        <v>4.5</v>
      </c>
      <c r="F1211" s="1">
        <v>23</v>
      </c>
      <c r="G1211" s="1" t="s">
        <v>37</v>
      </c>
      <c r="H1211" s="1">
        <v>717</v>
      </c>
      <c r="K1211" s="1" t="s">
        <v>71</v>
      </c>
      <c r="L1211" s="1" t="s">
        <v>242</v>
      </c>
      <c r="M1211" s="1" t="s">
        <v>243</v>
      </c>
      <c r="N1211" s="1" t="s">
        <v>244</v>
      </c>
      <c r="O1211" s="1">
        <v>358.23</v>
      </c>
      <c r="P1211" s="1" t="s">
        <v>198</v>
      </c>
    </row>
    <row r="1212" spans="1:16">
      <c r="A1212" s="7">
        <v>39896</v>
      </c>
      <c r="B1212" s="1">
        <v>491</v>
      </c>
      <c r="C1212" s="1" t="s">
        <v>234</v>
      </c>
      <c r="D1212" s="1">
        <v>4</v>
      </c>
      <c r="E1212" s="1">
        <v>940.5</v>
      </c>
      <c r="F1212" s="1">
        <v>23</v>
      </c>
      <c r="G1212" s="1" t="s">
        <v>3</v>
      </c>
      <c r="H1212" s="1">
        <v>1351</v>
      </c>
      <c r="K1212" s="1" t="s">
        <v>71</v>
      </c>
      <c r="L1212" s="1" t="s">
        <v>242</v>
      </c>
      <c r="M1212" s="1" t="s">
        <v>243</v>
      </c>
      <c r="N1212" s="1" t="s">
        <v>244</v>
      </c>
      <c r="O1212" s="1">
        <v>107.72</v>
      </c>
      <c r="P1212" s="1" t="s">
        <v>198</v>
      </c>
    </row>
    <row r="1213" spans="1:16">
      <c r="A1213" s="7">
        <v>39896</v>
      </c>
      <c r="B1213" s="1">
        <v>518</v>
      </c>
      <c r="C1213" s="1" t="s">
        <v>234</v>
      </c>
      <c r="D1213" s="1">
        <v>3</v>
      </c>
      <c r="E1213" s="1">
        <v>7.5</v>
      </c>
      <c r="F1213" s="1">
        <v>23</v>
      </c>
      <c r="G1213" s="1" t="s">
        <v>29</v>
      </c>
      <c r="H1213" s="1">
        <v>125</v>
      </c>
      <c r="K1213" s="1" t="s">
        <v>90</v>
      </c>
      <c r="L1213" s="1" t="s">
        <v>245</v>
      </c>
      <c r="M1213" s="1" t="s">
        <v>246</v>
      </c>
      <c r="N1213" s="1" t="s">
        <v>255</v>
      </c>
      <c r="O1213" s="1">
        <v>442.1</v>
      </c>
      <c r="P1213" s="1" t="s">
        <v>197</v>
      </c>
    </row>
    <row r="1214" spans="1:16">
      <c r="A1214" s="7">
        <v>39927</v>
      </c>
      <c r="B1214" s="1">
        <v>534</v>
      </c>
      <c r="C1214" s="1" t="s">
        <v>239</v>
      </c>
      <c r="D1214" s="1">
        <v>99</v>
      </c>
      <c r="E1214" s="1">
        <v>9.15</v>
      </c>
      <c r="F1214" s="1">
        <v>23</v>
      </c>
      <c r="G1214" s="1" t="s">
        <v>3</v>
      </c>
      <c r="H1214" s="1">
        <v>1820</v>
      </c>
      <c r="K1214" s="1" t="s">
        <v>92</v>
      </c>
      <c r="L1214" s="1" t="s">
        <v>245</v>
      </c>
      <c r="M1214" s="1" t="s">
        <v>246</v>
      </c>
      <c r="N1214" s="1" t="s">
        <v>255</v>
      </c>
      <c r="O1214" s="1">
        <v>3723.39</v>
      </c>
      <c r="P1214" s="1" t="s">
        <v>199</v>
      </c>
    </row>
    <row r="1215" spans="1:16">
      <c r="A1215" s="7">
        <v>39927</v>
      </c>
      <c r="B1215" s="1">
        <v>545</v>
      </c>
      <c r="C1215" s="1" t="s">
        <v>234</v>
      </c>
      <c r="D1215" s="1">
        <v>3</v>
      </c>
      <c r="E1215" s="1">
        <v>200</v>
      </c>
      <c r="F1215" s="1">
        <v>23</v>
      </c>
      <c r="G1215" s="1" t="s">
        <v>35</v>
      </c>
      <c r="H1215" s="1">
        <v>1273</v>
      </c>
      <c r="K1215" s="1" t="s">
        <v>94</v>
      </c>
      <c r="L1215" s="1" t="s">
        <v>245</v>
      </c>
      <c r="M1215" s="1" t="s">
        <v>246</v>
      </c>
      <c r="N1215" s="1" t="s">
        <v>255</v>
      </c>
      <c r="O1215" s="1">
        <v>1205.1500000000001</v>
      </c>
      <c r="P1215" s="1" t="s">
        <v>200</v>
      </c>
    </row>
    <row r="1216" spans="1:16">
      <c r="A1216" s="7">
        <v>39927</v>
      </c>
      <c r="B1216" s="1">
        <v>546</v>
      </c>
      <c r="C1216" s="1" t="s">
        <v>234</v>
      </c>
      <c r="D1216" s="1">
        <v>3</v>
      </c>
      <c r="E1216" s="1">
        <v>200</v>
      </c>
      <c r="F1216" s="1">
        <v>23</v>
      </c>
      <c r="G1216" s="1" t="s">
        <v>35</v>
      </c>
      <c r="H1216" s="1">
        <v>2036</v>
      </c>
      <c r="K1216" s="1" t="s">
        <v>90</v>
      </c>
      <c r="L1216" s="1" t="s">
        <v>245</v>
      </c>
      <c r="M1216" s="1" t="s">
        <v>246</v>
      </c>
      <c r="N1216" s="1" t="s">
        <v>255</v>
      </c>
      <c r="O1216" s="1">
        <v>312.13</v>
      </c>
      <c r="P1216" s="1" t="s">
        <v>201</v>
      </c>
    </row>
    <row r="1217" spans="1:16">
      <c r="A1217" s="7">
        <v>39927</v>
      </c>
      <c r="B1217" s="1">
        <v>547</v>
      </c>
      <c r="C1217" s="1" t="s">
        <v>234</v>
      </c>
      <c r="D1217" s="1">
        <v>3</v>
      </c>
      <c r="E1217" s="1">
        <v>200</v>
      </c>
      <c r="F1217" s="1">
        <v>23</v>
      </c>
      <c r="G1217" s="1" t="s">
        <v>35</v>
      </c>
      <c r="H1217" s="1">
        <v>1665</v>
      </c>
      <c r="K1217" s="1" t="s">
        <v>116</v>
      </c>
      <c r="L1217" s="1" t="s">
        <v>245</v>
      </c>
      <c r="M1217" s="1" t="s">
        <v>246</v>
      </c>
      <c r="N1217" s="1" t="s">
        <v>255</v>
      </c>
      <c r="O1217" s="1">
        <v>78.900000000000006</v>
      </c>
      <c r="P1217" s="1" t="s">
        <v>202</v>
      </c>
    </row>
    <row r="1218" spans="1:16">
      <c r="A1218" s="7">
        <v>40018</v>
      </c>
      <c r="B1218" s="1">
        <v>812</v>
      </c>
      <c r="C1218" s="1" t="s">
        <v>234</v>
      </c>
      <c r="D1218" s="1">
        <v>3</v>
      </c>
      <c r="E1218" s="1">
        <v>940.5</v>
      </c>
      <c r="F1218" s="1">
        <v>23</v>
      </c>
      <c r="G1218" s="1" t="s">
        <v>13</v>
      </c>
      <c r="H1218" s="1">
        <v>2075</v>
      </c>
      <c r="K1218" s="1" t="s">
        <v>168</v>
      </c>
      <c r="L1218" s="1" t="s">
        <v>245</v>
      </c>
      <c r="M1218" s="1" t="s">
        <v>246</v>
      </c>
      <c r="N1218" s="1" t="s">
        <v>260</v>
      </c>
      <c r="O1218" s="1">
        <v>-106.9</v>
      </c>
      <c r="P1218" s="1" t="s">
        <v>202</v>
      </c>
    </row>
    <row r="1219" spans="1:16">
      <c r="A1219" s="7">
        <v>40018</v>
      </c>
      <c r="B1219" s="1">
        <v>804</v>
      </c>
      <c r="C1219" s="1" t="s">
        <v>235</v>
      </c>
      <c r="D1219" s="1">
        <v>1</v>
      </c>
      <c r="E1219" s="1">
        <v>1024.03</v>
      </c>
      <c r="F1219" s="1">
        <v>23</v>
      </c>
      <c r="G1219" s="1" t="s">
        <v>6</v>
      </c>
      <c r="H1219" s="1">
        <v>1000</v>
      </c>
      <c r="K1219" s="1" t="s">
        <v>88</v>
      </c>
      <c r="L1219" s="1" t="s">
        <v>245</v>
      </c>
      <c r="M1219" s="1" t="s">
        <v>246</v>
      </c>
      <c r="N1219" s="1" t="s">
        <v>260</v>
      </c>
      <c r="O1219" s="1">
        <v>-127</v>
      </c>
      <c r="P1219" s="1" t="s">
        <v>202</v>
      </c>
    </row>
    <row r="1220" spans="1:16">
      <c r="A1220" s="7">
        <v>40018</v>
      </c>
      <c r="B1220" s="1">
        <v>811</v>
      </c>
      <c r="C1220" s="1" t="s">
        <v>234</v>
      </c>
      <c r="D1220" s="1">
        <v>4</v>
      </c>
      <c r="E1220" s="1">
        <v>594.42999999999995</v>
      </c>
      <c r="F1220" s="1">
        <v>23</v>
      </c>
      <c r="G1220" s="1" t="s">
        <v>6</v>
      </c>
      <c r="H1220" s="1">
        <v>1283</v>
      </c>
      <c r="K1220" s="1" t="s">
        <v>168</v>
      </c>
      <c r="L1220" s="1" t="s">
        <v>245</v>
      </c>
      <c r="M1220" s="1" t="s">
        <v>246</v>
      </c>
      <c r="N1220" s="1" t="s">
        <v>254</v>
      </c>
      <c r="O1220" s="1">
        <v>110.81</v>
      </c>
      <c r="P1220" s="1" t="s">
        <v>203</v>
      </c>
    </row>
    <row r="1221" spans="1:16">
      <c r="A1221" s="7">
        <v>40018</v>
      </c>
      <c r="B1221" s="1">
        <v>813</v>
      </c>
      <c r="C1221" s="1" t="s">
        <v>235</v>
      </c>
      <c r="D1221" s="1">
        <v>1</v>
      </c>
      <c r="E1221" s="1">
        <v>335.44</v>
      </c>
      <c r="F1221" s="1">
        <v>23</v>
      </c>
      <c r="G1221" s="1" t="s">
        <v>6</v>
      </c>
      <c r="H1221" s="1">
        <v>1256</v>
      </c>
      <c r="K1221" s="1" t="s">
        <v>88</v>
      </c>
      <c r="L1221" s="1" t="s">
        <v>245</v>
      </c>
      <c r="M1221" s="1" t="s">
        <v>246</v>
      </c>
      <c r="N1221" s="1" t="s">
        <v>254</v>
      </c>
      <c r="O1221" s="1">
        <v>72</v>
      </c>
      <c r="P1221" s="1" t="s">
        <v>203</v>
      </c>
    </row>
    <row r="1222" spans="1:16">
      <c r="A1222" s="7">
        <v>40018</v>
      </c>
      <c r="B1222" s="1">
        <v>814</v>
      </c>
      <c r="C1222" s="1" t="s">
        <v>234</v>
      </c>
      <c r="D1222" s="1">
        <v>4</v>
      </c>
      <c r="E1222" s="1">
        <v>248.92</v>
      </c>
      <c r="F1222" s="1">
        <v>23</v>
      </c>
      <c r="G1222" s="1" t="s">
        <v>6</v>
      </c>
      <c r="H1222" s="1">
        <v>1503</v>
      </c>
      <c r="K1222" s="1" t="s">
        <v>168</v>
      </c>
      <c r="L1222" s="1" t="s">
        <v>245</v>
      </c>
      <c r="M1222" s="1" t="s">
        <v>246</v>
      </c>
      <c r="N1222" s="1" t="s">
        <v>254</v>
      </c>
      <c r="O1222" s="1">
        <v>81.27</v>
      </c>
      <c r="P1222" s="1" t="s">
        <v>203</v>
      </c>
    </row>
    <row r="1223" spans="1:16">
      <c r="A1223" s="7">
        <v>40018</v>
      </c>
      <c r="B1223" s="1">
        <v>815</v>
      </c>
      <c r="C1223" s="1" t="s">
        <v>234</v>
      </c>
      <c r="D1223" s="1">
        <v>4</v>
      </c>
      <c r="E1223" s="1">
        <v>713.98</v>
      </c>
      <c r="F1223" s="1">
        <v>23</v>
      </c>
      <c r="G1223" s="1" t="s">
        <v>6</v>
      </c>
      <c r="H1223" s="1">
        <v>101</v>
      </c>
      <c r="K1223" s="1" t="s">
        <v>98</v>
      </c>
      <c r="L1223" s="1" t="s">
        <v>245</v>
      </c>
      <c r="M1223" s="1" t="s">
        <v>246</v>
      </c>
      <c r="N1223" s="1" t="s">
        <v>247</v>
      </c>
      <c r="O1223" s="1">
        <v>140</v>
      </c>
      <c r="P1223" s="1" t="s">
        <v>203</v>
      </c>
    </row>
    <row r="1224" spans="1:16">
      <c r="A1224" s="7">
        <v>40018</v>
      </c>
      <c r="B1224" s="1">
        <v>816</v>
      </c>
      <c r="C1224" s="1" t="s">
        <v>235</v>
      </c>
      <c r="D1224" s="1">
        <v>1</v>
      </c>
      <c r="E1224" s="1">
        <v>374.95</v>
      </c>
      <c r="F1224" s="1">
        <v>23</v>
      </c>
      <c r="G1224" s="1" t="s">
        <v>6</v>
      </c>
      <c r="H1224" s="1">
        <v>884</v>
      </c>
      <c r="K1224" s="1" t="s">
        <v>75</v>
      </c>
      <c r="L1224" s="1" t="s">
        <v>245</v>
      </c>
      <c r="M1224" s="1" t="s">
        <v>246</v>
      </c>
      <c r="N1224" s="1" t="s">
        <v>247</v>
      </c>
      <c r="O1224" s="1">
        <v>266.39999999999998</v>
      </c>
      <c r="P1224" s="1" t="s">
        <v>203</v>
      </c>
    </row>
    <row r="1225" spans="1:16">
      <c r="A1225" s="7">
        <v>40018</v>
      </c>
      <c r="B1225" s="1">
        <v>817</v>
      </c>
      <c r="C1225" s="1" t="s">
        <v>235</v>
      </c>
      <c r="D1225" s="1">
        <v>1</v>
      </c>
      <c r="E1225" s="1">
        <v>493.48</v>
      </c>
      <c r="F1225" s="1">
        <v>23</v>
      </c>
      <c r="G1225" s="1" t="s">
        <v>6</v>
      </c>
      <c r="H1225" s="1">
        <v>57</v>
      </c>
      <c r="K1225" s="1" t="s">
        <v>76</v>
      </c>
      <c r="L1225" s="1" t="s">
        <v>245</v>
      </c>
      <c r="M1225" s="1" t="s">
        <v>246</v>
      </c>
      <c r="N1225" s="1" t="s">
        <v>247</v>
      </c>
      <c r="O1225" s="1">
        <v>340.42</v>
      </c>
      <c r="P1225" s="1" t="s">
        <v>203</v>
      </c>
    </row>
    <row r="1226" spans="1:16">
      <c r="A1226" s="7">
        <v>40018</v>
      </c>
      <c r="B1226" s="1">
        <v>818</v>
      </c>
      <c r="C1226" s="1" t="s">
        <v>235</v>
      </c>
      <c r="D1226" s="1">
        <v>1</v>
      </c>
      <c r="E1226" s="1">
        <v>314.68</v>
      </c>
      <c r="F1226" s="1">
        <v>23</v>
      </c>
      <c r="G1226" s="1" t="s">
        <v>6</v>
      </c>
      <c r="H1226" s="1">
        <v>321</v>
      </c>
      <c r="K1226" s="1" t="s">
        <v>77</v>
      </c>
      <c r="L1226" s="1" t="s">
        <v>245</v>
      </c>
      <c r="M1226" s="1" t="s">
        <v>246</v>
      </c>
      <c r="N1226" s="1" t="s">
        <v>250</v>
      </c>
      <c r="O1226" s="1">
        <v>1457.59</v>
      </c>
      <c r="P1226" s="1" t="s">
        <v>203</v>
      </c>
    </row>
    <row r="1227" spans="1:16">
      <c r="A1227" s="7">
        <v>40018</v>
      </c>
      <c r="B1227" s="1">
        <v>833</v>
      </c>
      <c r="C1227" s="1" t="s">
        <v>234</v>
      </c>
      <c r="D1227" s="1">
        <v>4</v>
      </c>
      <c r="E1227" s="1">
        <v>414.46</v>
      </c>
      <c r="F1227" s="1">
        <v>23</v>
      </c>
      <c r="G1227" s="1" t="s">
        <v>6</v>
      </c>
      <c r="H1227" s="1">
        <v>991</v>
      </c>
      <c r="K1227" s="1" t="s">
        <v>76</v>
      </c>
      <c r="L1227" s="1" t="s">
        <v>245</v>
      </c>
      <c r="M1227" s="1" t="s">
        <v>246</v>
      </c>
      <c r="N1227" s="1" t="s">
        <v>250</v>
      </c>
      <c r="O1227" s="1">
        <v>1300</v>
      </c>
      <c r="P1227" s="1" t="s">
        <v>203</v>
      </c>
    </row>
    <row r="1228" spans="1:16">
      <c r="A1228" s="7">
        <v>40049</v>
      </c>
      <c r="B1228" s="1">
        <v>870</v>
      </c>
      <c r="C1228" s="1" t="s">
        <v>234</v>
      </c>
      <c r="D1228" s="1">
        <v>4</v>
      </c>
      <c r="E1228" s="1">
        <v>45</v>
      </c>
      <c r="F1228" s="1">
        <v>23</v>
      </c>
      <c r="G1228" s="1" t="s">
        <v>15</v>
      </c>
      <c r="H1228" s="1">
        <v>1775</v>
      </c>
      <c r="K1228" s="1" t="s">
        <v>76</v>
      </c>
      <c r="L1228" s="1" t="s">
        <v>245</v>
      </c>
      <c r="M1228" s="1" t="s">
        <v>246</v>
      </c>
      <c r="N1228" s="1" t="s">
        <v>250</v>
      </c>
      <c r="O1228" s="1">
        <v>1792.13</v>
      </c>
      <c r="P1228" s="1" t="s">
        <v>203</v>
      </c>
    </row>
    <row r="1229" spans="1:16">
      <c r="A1229" s="7">
        <v>40080</v>
      </c>
      <c r="B1229" s="1">
        <v>1216</v>
      </c>
      <c r="C1229" s="1" t="s">
        <v>234</v>
      </c>
      <c r="D1229" s="1">
        <v>4</v>
      </c>
      <c r="E1229" s="1">
        <v>34</v>
      </c>
      <c r="F1229" s="1">
        <v>23</v>
      </c>
      <c r="G1229" s="1" t="s">
        <v>44</v>
      </c>
      <c r="H1229" s="1">
        <v>2135</v>
      </c>
      <c r="K1229" s="1" t="s">
        <v>74</v>
      </c>
      <c r="L1229" s="1" t="s">
        <v>245</v>
      </c>
      <c r="M1229" s="1" t="s">
        <v>246</v>
      </c>
      <c r="N1229" s="1" t="s">
        <v>250</v>
      </c>
      <c r="O1229" s="1">
        <v>1000</v>
      </c>
      <c r="P1229" s="1" t="s">
        <v>203</v>
      </c>
    </row>
    <row r="1230" spans="1:16">
      <c r="A1230" s="7">
        <v>40080</v>
      </c>
      <c r="B1230" s="1">
        <v>1205</v>
      </c>
      <c r="C1230" s="1" t="s">
        <v>234</v>
      </c>
      <c r="D1230" s="1">
        <v>3</v>
      </c>
      <c r="E1230" s="1">
        <v>970</v>
      </c>
      <c r="F1230" s="1">
        <v>23</v>
      </c>
      <c r="G1230" s="1" t="s">
        <v>39</v>
      </c>
      <c r="H1230" s="1">
        <v>2129</v>
      </c>
      <c r="K1230" s="1" t="s">
        <v>74</v>
      </c>
      <c r="L1230" s="1" t="s">
        <v>245</v>
      </c>
      <c r="M1230" s="1" t="s">
        <v>246</v>
      </c>
      <c r="N1230" s="1" t="s">
        <v>250</v>
      </c>
      <c r="O1230" s="1">
        <v>958.23</v>
      </c>
      <c r="P1230" s="1" t="s">
        <v>203</v>
      </c>
    </row>
    <row r="1231" spans="1:16">
      <c r="A1231" s="7">
        <v>40080</v>
      </c>
      <c r="B1231" s="1">
        <v>1214</v>
      </c>
      <c r="C1231" s="1" t="s">
        <v>234</v>
      </c>
      <c r="D1231" s="1">
        <v>1</v>
      </c>
      <c r="E1231" s="1">
        <v>970</v>
      </c>
      <c r="F1231" s="1">
        <v>23</v>
      </c>
      <c r="G1231" s="1" t="s">
        <v>39</v>
      </c>
      <c r="H1231" s="1">
        <v>2134</v>
      </c>
      <c r="K1231" s="1" t="s">
        <v>75</v>
      </c>
      <c r="L1231" s="1" t="s">
        <v>245</v>
      </c>
      <c r="M1231" s="1" t="s">
        <v>246</v>
      </c>
      <c r="N1231" s="1" t="s">
        <v>250</v>
      </c>
      <c r="O1231" s="1">
        <v>24.04</v>
      </c>
      <c r="P1231" s="1" t="s">
        <v>203</v>
      </c>
    </row>
    <row r="1232" spans="1:16">
      <c r="A1232" s="7">
        <v>40080</v>
      </c>
      <c r="B1232" s="1">
        <v>1202</v>
      </c>
      <c r="C1232" s="1" t="s">
        <v>234</v>
      </c>
      <c r="D1232" s="1">
        <v>4</v>
      </c>
      <c r="E1232" s="1">
        <v>63</v>
      </c>
      <c r="F1232" s="1">
        <v>23</v>
      </c>
      <c r="G1232" s="1" t="s">
        <v>18</v>
      </c>
      <c r="H1232" s="1">
        <v>1229</v>
      </c>
      <c r="K1232" s="1" t="s">
        <v>123</v>
      </c>
      <c r="L1232" s="1" t="s">
        <v>245</v>
      </c>
      <c r="M1232" s="1" t="s">
        <v>246</v>
      </c>
      <c r="N1232" s="1" t="s">
        <v>250</v>
      </c>
      <c r="O1232" s="1">
        <v>880</v>
      </c>
      <c r="P1232" s="1" t="s">
        <v>203</v>
      </c>
    </row>
    <row r="1233" spans="1:16">
      <c r="A1233" s="7">
        <v>40080</v>
      </c>
      <c r="B1233" s="1">
        <v>1203</v>
      </c>
      <c r="C1233" s="1" t="s">
        <v>234</v>
      </c>
      <c r="D1233" s="1">
        <v>4</v>
      </c>
      <c r="E1233" s="1">
        <v>65</v>
      </c>
      <c r="F1233" s="1">
        <v>23</v>
      </c>
      <c r="G1233" s="1" t="s">
        <v>18</v>
      </c>
      <c r="H1233" s="1">
        <v>546</v>
      </c>
      <c r="K1233" s="1" t="s">
        <v>76</v>
      </c>
      <c r="L1233" s="1" t="s">
        <v>245</v>
      </c>
      <c r="M1233" s="1" t="s">
        <v>246</v>
      </c>
      <c r="N1233" s="1" t="s">
        <v>250</v>
      </c>
      <c r="O1233" s="1">
        <v>528</v>
      </c>
      <c r="P1233" s="1" t="s">
        <v>203</v>
      </c>
    </row>
    <row r="1234" spans="1:16">
      <c r="A1234" s="7">
        <v>40080</v>
      </c>
      <c r="B1234" s="1">
        <v>1204</v>
      </c>
      <c r="C1234" s="1" t="s">
        <v>234</v>
      </c>
      <c r="D1234" s="1">
        <v>4</v>
      </c>
      <c r="E1234" s="1">
        <v>65</v>
      </c>
      <c r="F1234" s="1">
        <v>23</v>
      </c>
      <c r="G1234" s="1" t="s">
        <v>18</v>
      </c>
      <c r="H1234" s="1">
        <v>547</v>
      </c>
      <c r="K1234" s="1" t="s">
        <v>76</v>
      </c>
      <c r="L1234" s="1" t="s">
        <v>245</v>
      </c>
      <c r="M1234" s="1" t="s">
        <v>246</v>
      </c>
      <c r="N1234" s="1" t="s">
        <v>250</v>
      </c>
      <c r="O1234" s="1">
        <v>350</v>
      </c>
      <c r="P1234" s="1" t="s">
        <v>203</v>
      </c>
    </row>
    <row r="1235" spans="1:16">
      <c r="A1235" s="7">
        <v>40080</v>
      </c>
      <c r="B1235" s="1">
        <v>1209</v>
      </c>
      <c r="C1235" s="1" t="s">
        <v>234</v>
      </c>
      <c r="D1235" s="1">
        <v>4</v>
      </c>
      <c r="E1235" s="1">
        <v>80</v>
      </c>
      <c r="F1235" s="1">
        <v>23</v>
      </c>
      <c r="G1235" s="1" t="s">
        <v>18</v>
      </c>
      <c r="H1235" s="1">
        <v>1913</v>
      </c>
      <c r="K1235" s="1" t="s">
        <v>76</v>
      </c>
      <c r="L1235" s="1" t="s">
        <v>245</v>
      </c>
      <c r="M1235" s="1" t="s">
        <v>246</v>
      </c>
      <c r="N1235" s="1" t="s">
        <v>250</v>
      </c>
      <c r="O1235" s="1">
        <v>400</v>
      </c>
      <c r="P1235" s="1" t="s">
        <v>203</v>
      </c>
    </row>
    <row r="1236" spans="1:16">
      <c r="A1236" s="7">
        <v>40080</v>
      </c>
      <c r="B1236" s="1">
        <v>1210</v>
      </c>
      <c r="C1236" s="1" t="s">
        <v>234</v>
      </c>
      <c r="D1236" s="1">
        <v>4</v>
      </c>
      <c r="E1236" s="1">
        <v>80</v>
      </c>
      <c r="F1236" s="1">
        <v>23</v>
      </c>
      <c r="G1236" s="1" t="s">
        <v>18</v>
      </c>
      <c r="H1236" s="1">
        <v>1912</v>
      </c>
      <c r="K1236" s="1" t="s">
        <v>79</v>
      </c>
      <c r="L1236" s="1" t="s">
        <v>248</v>
      </c>
      <c r="M1236" s="1" t="s">
        <v>249</v>
      </c>
      <c r="N1236" s="1" t="s">
        <v>251</v>
      </c>
      <c r="O1236" s="1">
        <v>32</v>
      </c>
      <c r="P1236" s="1" t="s">
        <v>203</v>
      </c>
    </row>
    <row r="1237" spans="1:16">
      <c r="A1237" s="7">
        <v>40080</v>
      </c>
      <c r="B1237" s="1">
        <v>1457</v>
      </c>
      <c r="C1237" s="1" t="s">
        <v>234</v>
      </c>
      <c r="D1237" s="1">
        <v>4</v>
      </c>
      <c r="E1237" s="1">
        <v>65</v>
      </c>
      <c r="F1237" s="1">
        <v>23</v>
      </c>
      <c r="G1237" s="1" t="s">
        <v>18</v>
      </c>
      <c r="H1237" s="1">
        <v>1563</v>
      </c>
      <c r="K1237" s="1" t="s">
        <v>79</v>
      </c>
      <c r="L1237" s="1" t="s">
        <v>245</v>
      </c>
      <c r="M1237" s="1" t="s">
        <v>246</v>
      </c>
      <c r="N1237" s="1" t="s">
        <v>251</v>
      </c>
      <c r="O1237" s="1">
        <v>5</v>
      </c>
      <c r="P1237" s="1" t="s">
        <v>203</v>
      </c>
    </row>
    <row r="1238" spans="1:16">
      <c r="A1238" s="7">
        <v>40080</v>
      </c>
      <c r="B1238" s="1">
        <v>1212</v>
      </c>
      <c r="C1238" s="1" t="s">
        <v>234</v>
      </c>
      <c r="D1238" s="1">
        <v>4</v>
      </c>
      <c r="E1238" s="1">
        <v>111.9</v>
      </c>
      <c r="F1238" s="1">
        <v>23</v>
      </c>
      <c r="G1238" s="1" t="s">
        <v>30</v>
      </c>
      <c r="H1238" s="1">
        <v>2132</v>
      </c>
      <c r="K1238" s="1" t="s">
        <v>79</v>
      </c>
      <c r="L1238" s="1" t="s">
        <v>245</v>
      </c>
      <c r="M1238" s="1" t="s">
        <v>246</v>
      </c>
      <c r="N1238" s="1" t="s">
        <v>251</v>
      </c>
      <c r="O1238" s="1">
        <v>3</v>
      </c>
      <c r="P1238" s="1" t="s">
        <v>203</v>
      </c>
    </row>
    <row r="1239" spans="1:16">
      <c r="A1239" s="7">
        <v>40080</v>
      </c>
      <c r="B1239" s="1">
        <v>1213</v>
      </c>
      <c r="C1239" s="1" t="s">
        <v>235</v>
      </c>
      <c r="D1239" s="1">
        <v>1</v>
      </c>
      <c r="E1239" s="1">
        <v>111.9</v>
      </c>
      <c r="F1239" s="1">
        <v>23</v>
      </c>
      <c r="G1239" s="1" t="s">
        <v>30</v>
      </c>
      <c r="H1239" s="1">
        <v>2133</v>
      </c>
      <c r="K1239" s="1" t="s">
        <v>81</v>
      </c>
      <c r="L1239" s="1" t="s">
        <v>245</v>
      </c>
      <c r="M1239" s="1" t="s">
        <v>246</v>
      </c>
      <c r="N1239" s="1" t="s">
        <v>252</v>
      </c>
      <c r="O1239" s="1">
        <v>73.63</v>
      </c>
      <c r="P1239" s="1" t="s">
        <v>203</v>
      </c>
    </row>
    <row r="1240" spans="1:16">
      <c r="A1240" s="7">
        <v>40080</v>
      </c>
      <c r="B1240" s="1">
        <v>1215</v>
      </c>
      <c r="C1240" s="1" t="s">
        <v>234</v>
      </c>
      <c r="D1240" s="1">
        <v>4</v>
      </c>
      <c r="E1240" s="1">
        <v>111.9</v>
      </c>
      <c r="F1240" s="1">
        <v>23</v>
      </c>
      <c r="G1240" s="1" t="s">
        <v>30</v>
      </c>
      <c r="H1240" s="1">
        <v>0</v>
      </c>
      <c r="K1240" s="1" t="s">
        <v>168</v>
      </c>
      <c r="L1240" s="1" t="s">
        <v>245</v>
      </c>
      <c r="M1240" s="1" t="s">
        <v>246</v>
      </c>
      <c r="N1240" s="1" t="s">
        <v>252</v>
      </c>
      <c r="O1240" s="1">
        <v>245.4</v>
      </c>
      <c r="P1240" s="1" t="s">
        <v>203</v>
      </c>
    </row>
    <row r="1241" spans="1:16">
      <c r="A1241" s="7">
        <v>40080</v>
      </c>
      <c r="B1241" s="1">
        <v>1206</v>
      </c>
      <c r="C1241" s="1" t="s">
        <v>234</v>
      </c>
      <c r="D1241" s="1">
        <v>2</v>
      </c>
      <c r="E1241" s="1">
        <v>300</v>
      </c>
      <c r="F1241" s="1">
        <v>23</v>
      </c>
      <c r="G1241" s="1" t="s">
        <v>20</v>
      </c>
      <c r="H1241" s="1">
        <v>2130</v>
      </c>
      <c r="K1241" s="1" t="s">
        <v>88</v>
      </c>
      <c r="L1241" s="1" t="s">
        <v>245</v>
      </c>
      <c r="M1241" s="1" t="s">
        <v>246</v>
      </c>
      <c r="N1241" s="1" t="s">
        <v>252</v>
      </c>
      <c r="O1241" s="1">
        <v>4</v>
      </c>
      <c r="P1241" s="1" t="s">
        <v>203</v>
      </c>
    </row>
    <row r="1242" spans="1:16">
      <c r="A1242" s="7">
        <v>40080</v>
      </c>
      <c r="B1242" s="1">
        <v>1207</v>
      </c>
      <c r="C1242" s="1" t="s">
        <v>234</v>
      </c>
      <c r="D1242" s="1">
        <v>2</v>
      </c>
      <c r="E1242" s="1">
        <v>300</v>
      </c>
      <c r="F1242" s="1">
        <v>23</v>
      </c>
      <c r="G1242" s="1" t="s">
        <v>20</v>
      </c>
      <c r="H1242" s="1">
        <v>2131</v>
      </c>
      <c r="K1242" s="1" t="s">
        <v>88</v>
      </c>
      <c r="L1242" s="1" t="s">
        <v>245</v>
      </c>
      <c r="M1242" s="1" t="s">
        <v>246</v>
      </c>
      <c r="N1242" s="1" t="s">
        <v>252</v>
      </c>
      <c r="O1242" s="1">
        <v>37.82</v>
      </c>
      <c r="P1242" s="1" t="s">
        <v>203</v>
      </c>
    </row>
    <row r="1243" spans="1:16">
      <c r="A1243" s="7">
        <v>40080</v>
      </c>
      <c r="B1243" s="1">
        <v>1208</v>
      </c>
      <c r="C1243" s="1" t="s">
        <v>234</v>
      </c>
      <c r="D1243" s="1">
        <v>2</v>
      </c>
      <c r="E1243" s="1">
        <v>300</v>
      </c>
      <c r="F1243" s="1">
        <v>23</v>
      </c>
      <c r="G1243" s="1" t="s">
        <v>20</v>
      </c>
      <c r="H1243" s="1">
        <v>1441</v>
      </c>
      <c r="K1243" s="1" t="s">
        <v>126</v>
      </c>
      <c r="L1243" s="1" t="s">
        <v>262</v>
      </c>
      <c r="M1243" s="1" t="s">
        <v>263</v>
      </c>
      <c r="N1243" s="1" t="s">
        <v>253</v>
      </c>
      <c r="O1243" s="1">
        <v>276.77999999999997</v>
      </c>
      <c r="P1243" s="1" t="s">
        <v>203</v>
      </c>
    </row>
    <row r="1244" spans="1:16">
      <c r="A1244" s="7">
        <v>40080</v>
      </c>
      <c r="B1244" s="1">
        <v>1211</v>
      </c>
      <c r="C1244" s="1" t="s">
        <v>234</v>
      </c>
      <c r="D1244" s="1">
        <v>4</v>
      </c>
      <c r="E1244" s="1">
        <v>34</v>
      </c>
      <c r="F1244" s="1">
        <v>23</v>
      </c>
      <c r="G1244" s="1" t="s">
        <v>32</v>
      </c>
      <c r="H1244" s="1">
        <v>752</v>
      </c>
      <c r="K1244" s="1" t="s">
        <v>89</v>
      </c>
      <c r="L1244" s="1" t="s">
        <v>262</v>
      </c>
      <c r="M1244" s="1" t="s">
        <v>263</v>
      </c>
      <c r="N1244" s="1" t="s">
        <v>253</v>
      </c>
      <c r="O1244" s="1">
        <v>19.760000000000002</v>
      </c>
      <c r="P1244" s="1" t="s">
        <v>203</v>
      </c>
    </row>
    <row r="1245" spans="1:16">
      <c r="A1245" s="7">
        <v>40080</v>
      </c>
      <c r="B1245" s="1">
        <v>1218</v>
      </c>
      <c r="C1245" s="1" t="s">
        <v>235</v>
      </c>
      <c r="D1245" s="1">
        <v>1</v>
      </c>
      <c r="E1245" s="1">
        <v>34</v>
      </c>
      <c r="F1245" s="1">
        <v>23</v>
      </c>
      <c r="G1245" s="1" t="s">
        <v>32</v>
      </c>
      <c r="H1245" s="1">
        <v>1654</v>
      </c>
      <c r="K1245" s="1" t="s">
        <v>82</v>
      </c>
      <c r="L1245" s="1" t="s">
        <v>258</v>
      </c>
      <c r="M1245" s="1" t="s">
        <v>259</v>
      </c>
      <c r="N1245" s="1" t="s">
        <v>253</v>
      </c>
      <c r="O1245" s="1">
        <v>11.73</v>
      </c>
      <c r="P1245" s="1" t="s">
        <v>203</v>
      </c>
    </row>
    <row r="1246" spans="1:16">
      <c r="A1246" s="7">
        <v>40080</v>
      </c>
      <c r="B1246" s="1">
        <v>1249</v>
      </c>
      <c r="C1246" s="1" t="s">
        <v>234</v>
      </c>
      <c r="D1246" s="1">
        <v>3</v>
      </c>
      <c r="E1246" s="1">
        <v>34</v>
      </c>
      <c r="F1246" s="1">
        <v>23</v>
      </c>
      <c r="G1246" s="1" t="s">
        <v>32</v>
      </c>
      <c r="H1246" s="1">
        <v>1968</v>
      </c>
      <c r="K1246" s="1" t="s">
        <v>84</v>
      </c>
      <c r="L1246" s="1" t="s">
        <v>258</v>
      </c>
      <c r="M1246" s="1" t="s">
        <v>259</v>
      </c>
      <c r="N1246" s="1" t="s">
        <v>253</v>
      </c>
      <c r="O1246" s="1">
        <v>236.84</v>
      </c>
      <c r="P1246" s="1" t="s">
        <v>203</v>
      </c>
    </row>
    <row r="1247" spans="1:16">
      <c r="A1247" s="7">
        <v>40141</v>
      </c>
      <c r="B1247" s="1">
        <v>1527</v>
      </c>
      <c r="C1247" s="1" t="s">
        <v>235</v>
      </c>
      <c r="D1247" s="1">
        <v>1</v>
      </c>
      <c r="E1247" s="1">
        <v>34</v>
      </c>
      <c r="F1247" s="1">
        <v>23</v>
      </c>
      <c r="G1247" s="1" t="s">
        <v>32</v>
      </c>
      <c r="H1247" s="1">
        <v>2199</v>
      </c>
      <c r="K1247" s="1" t="s">
        <v>83</v>
      </c>
      <c r="L1247" s="1" t="s">
        <v>245</v>
      </c>
      <c r="M1247" s="1" t="s">
        <v>246</v>
      </c>
      <c r="N1247" s="1" t="s">
        <v>253</v>
      </c>
      <c r="O1247" s="1">
        <v>28.31</v>
      </c>
      <c r="P1247" s="1" t="s">
        <v>203</v>
      </c>
    </row>
    <row r="1248" spans="1:16">
      <c r="A1248" s="7">
        <v>39838</v>
      </c>
      <c r="B1248" s="1">
        <v>61</v>
      </c>
      <c r="C1248" s="1" t="s">
        <v>237</v>
      </c>
      <c r="D1248" s="1">
        <v>4</v>
      </c>
      <c r="E1248" s="1">
        <v>100</v>
      </c>
      <c r="F1248" s="1">
        <v>23</v>
      </c>
      <c r="G1248" s="1" t="s">
        <v>56</v>
      </c>
      <c r="H1248" s="1">
        <v>263</v>
      </c>
      <c r="K1248" s="1" t="s">
        <v>83</v>
      </c>
      <c r="L1248" s="1" t="s">
        <v>245</v>
      </c>
      <c r="M1248" s="1" t="s">
        <v>246</v>
      </c>
      <c r="N1248" s="1" t="s">
        <v>253</v>
      </c>
      <c r="O1248" s="1">
        <v>13.95</v>
      </c>
      <c r="P1248" s="1" t="s">
        <v>203</v>
      </c>
    </row>
    <row r="1249" spans="1:16">
      <c r="A1249" s="7">
        <v>39838</v>
      </c>
      <c r="B1249" s="1">
        <v>62</v>
      </c>
      <c r="C1249" s="1" t="s">
        <v>237</v>
      </c>
      <c r="D1249" s="1">
        <v>4</v>
      </c>
      <c r="E1249" s="1">
        <v>60</v>
      </c>
      <c r="F1249" s="1">
        <v>23</v>
      </c>
      <c r="G1249" s="1" t="s">
        <v>52</v>
      </c>
      <c r="H1249" s="1">
        <v>260</v>
      </c>
      <c r="K1249" s="1" t="s">
        <v>88</v>
      </c>
      <c r="L1249" s="1" t="s">
        <v>245</v>
      </c>
      <c r="M1249" s="1" t="s">
        <v>246</v>
      </c>
      <c r="N1249" s="1" t="s">
        <v>253</v>
      </c>
      <c r="O1249" s="1">
        <v>144</v>
      </c>
      <c r="P1249" s="1" t="s">
        <v>203</v>
      </c>
    </row>
    <row r="1250" spans="1:16">
      <c r="A1250" s="7">
        <v>39838</v>
      </c>
      <c r="B1250" s="1">
        <v>63</v>
      </c>
      <c r="C1250" s="1" t="s">
        <v>237</v>
      </c>
      <c r="D1250" s="1">
        <v>4</v>
      </c>
      <c r="E1250" s="1">
        <v>156</v>
      </c>
      <c r="F1250" s="1">
        <v>23</v>
      </c>
      <c r="G1250" s="1" t="s">
        <v>4</v>
      </c>
      <c r="H1250" s="1">
        <v>261</v>
      </c>
      <c r="K1250" s="1" t="s">
        <v>110</v>
      </c>
      <c r="L1250" s="1" t="s">
        <v>258</v>
      </c>
      <c r="M1250" s="1" t="s">
        <v>259</v>
      </c>
      <c r="N1250" s="1" t="s">
        <v>253</v>
      </c>
      <c r="O1250" s="1">
        <v>1478.3</v>
      </c>
      <c r="P1250" s="1" t="s">
        <v>203</v>
      </c>
    </row>
    <row r="1251" spans="1:16">
      <c r="A1251" s="7">
        <v>39838</v>
      </c>
      <c r="B1251" s="1">
        <v>64</v>
      </c>
      <c r="C1251" s="1" t="s">
        <v>237</v>
      </c>
      <c r="D1251" s="1">
        <v>4</v>
      </c>
      <c r="E1251" s="1">
        <v>60</v>
      </c>
      <c r="F1251" s="1">
        <v>23</v>
      </c>
      <c r="G1251" s="1" t="s">
        <v>57</v>
      </c>
      <c r="H1251" s="1">
        <v>262</v>
      </c>
      <c r="K1251" s="1" t="s">
        <v>101</v>
      </c>
      <c r="L1251" s="1" t="s">
        <v>256</v>
      </c>
      <c r="M1251" s="1" t="s">
        <v>257</v>
      </c>
      <c r="N1251" s="1" t="s">
        <v>253</v>
      </c>
      <c r="O1251" s="1">
        <v>3115.98</v>
      </c>
      <c r="P1251" s="1" t="s">
        <v>203</v>
      </c>
    </row>
    <row r="1252" spans="1:16">
      <c r="A1252" s="7">
        <v>39869</v>
      </c>
      <c r="B1252" s="1">
        <v>454</v>
      </c>
      <c r="C1252" s="1" t="s">
        <v>237</v>
      </c>
      <c r="D1252" s="1">
        <v>4</v>
      </c>
      <c r="E1252" s="1">
        <v>136</v>
      </c>
      <c r="F1252" s="1">
        <v>23</v>
      </c>
      <c r="G1252" s="1" t="s">
        <v>56</v>
      </c>
      <c r="H1252" s="1">
        <v>263</v>
      </c>
      <c r="K1252" s="1" t="s">
        <v>101</v>
      </c>
      <c r="L1252" s="1" t="s">
        <v>256</v>
      </c>
      <c r="M1252" s="1" t="s">
        <v>257</v>
      </c>
      <c r="N1252" s="1" t="s">
        <v>253</v>
      </c>
      <c r="O1252" s="1">
        <v>496.98</v>
      </c>
      <c r="P1252" s="1" t="s">
        <v>203</v>
      </c>
    </row>
    <row r="1253" spans="1:16">
      <c r="A1253" s="7">
        <v>39869</v>
      </c>
      <c r="B1253" s="1">
        <v>455</v>
      </c>
      <c r="C1253" s="1" t="s">
        <v>237</v>
      </c>
      <c r="D1253" s="1">
        <v>4</v>
      </c>
      <c r="E1253" s="1">
        <v>60</v>
      </c>
      <c r="F1253" s="1">
        <v>23</v>
      </c>
      <c r="G1253" s="1" t="s">
        <v>52</v>
      </c>
      <c r="H1253" s="1">
        <v>260</v>
      </c>
      <c r="K1253" s="1" t="s">
        <v>102</v>
      </c>
      <c r="L1253" s="1" t="s">
        <v>248</v>
      </c>
      <c r="M1253" s="1" t="s">
        <v>249</v>
      </c>
      <c r="N1253" s="1" t="s">
        <v>253</v>
      </c>
      <c r="O1253" s="1">
        <v>280.27999999999997</v>
      </c>
      <c r="P1253" s="1" t="s">
        <v>203</v>
      </c>
    </row>
    <row r="1254" spans="1:16">
      <c r="A1254" s="7">
        <v>39869</v>
      </c>
      <c r="B1254" s="1">
        <v>391</v>
      </c>
      <c r="C1254" s="1" t="s">
        <v>234</v>
      </c>
      <c r="D1254" s="1">
        <v>4</v>
      </c>
      <c r="E1254" s="1">
        <v>312.68</v>
      </c>
      <c r="F1254" s="1">
        <v>23</v>
      </c>
      <c r="G1254" s="1" t="s">
        <v>13</v>
      </c>
      <c r="H1254" s="1">
        <v>1506</v>
      </c>
      <c r="K1254" s="1" t="s">
        <v>82</v>
      </c>
      <c r="L1254" s="1" t="s">
        <v>245</v>
      </c>
      <c r="M1254" s="1" t="s">
        <v>246</v>
      </c>
      <c r="N1254" s="1" t="s">
        <v>253</v>
      </c>
      <c r="O1254" s="1">
        <v>403.31</v>
      </c>
      <c r="P1254" s="1" t="s">
        <v>203</v>
      </c>
    </row>
    <row r="1255" spans="1:16">
      <c r="A1255" s="7">
        <v>39869</v>
      </c>
      <c r="B1255" s="1">
        <v>426</v>
      </c>
      <c r="C1255" s="1" t="s">
        <v>235</v>
      </c>
      <c r="D1255" s="1">
        <v>4</v>
      </c>
      <c r="E1255" s="1">
        <v>4.5</v>
      </c>
      <c r="F1255" s="1">
        <v>23</v>
      </c>
      <c r="G1255" s="1" t="s">
        <v>14</v>
      </c>
      <c r="H1255" s="1">
        <v>1841</v>
      </c>
      <c r="K1255" s="1" t="s">
        <v>98</v>
      </c>
      <c r="L1255" s="1" t="s">
        <v>245</v>
      </c>
      <c r="M1255" s="1" t="s">
        <v>246</v>
      </c>
      <c r="N1255" s="1" t="s">
        <v>253</v>
      </c>
      <c r="O1255" s="1">
        <v>1740</v>
      </c>
      <c r="P1255" s="1" t="s">
        <v>203</v>
      </c>
    </row>
    <row r="1256" spans="1:16">
      <c r="A1256" s="7">
        <v>39869</v>
      </c>
      <c r="B1256" s="1">
        <v>456</v>
      </c>
      <c r="C1256" s="1" t="s">
        <v>237</v>
      </c>
      <c r="D1256" s="1">
        <v>4</v>
      </c>
      <c r="E1256" s="1">
        <v>132</v>
      </c>
      <c r="F1256" s="1">
        <v>23</v>
      </c>
      <c r="G1256" s="1" t="s">
        <v>4</v>
      </c>
      <c r="H1256" s="1">
        <v>261</v>
      </c>
      <c r="K1256" s="1" t="s">
        <v>102</v>
      </c>
      <c r="L1256" s="1" t="s">
        <v>245</v>
      </c>
      <c r="M1256" s="1" t="s">
        <v>246</v>
      </c>
      <c r="N1256" s="1" t="s">
        <v>253</v>
      </c>
      <c r="O1256" s="1">
        <v>364</v>
      </c>
      <c r="P1256" s="1" t="s">
        <v>203</v>
      </c>
    </row>
    <row r="1257" spans="1:16">
      <c r="A1257" s="7">
        <v>39869</v>
      </c>
      <c r="B1257" s="1">
        <v>424</v>
      </c>
      <c r="C1257" s="1" t="s">
        <v>235</v>
      </c>
      <c r="D1257" s="1">
        <v>1</v>
      </c>
      <c r="E1257" s="1">
        <v>374.95</v>
      </c>
      <c r="F1257" s="1">
        <v>23</v>
      </c>
      <c r="G1257" s="1" t="s">
        <v>29</v>
      </c>
      <c r="H1257" s="1">
        <v>270</v>
      </c>
      <c r="K1257" s="1" t="s">
        <v>103</v>
      </c>
      <c r="L1257" s="1" t="s">
        <v>245</v>
      </c>
      <c r="M1257" s="1" t="s">
        <v>246</v>
      </c>
      <c r="N1257" s="1" t="s">
        <v>253</v>
      </c>
      <c r="O1257" s="1">
        <v>341.07</v>
      </c>
      <c r="P1257" s="1" t="s">
        <v>203</v>
      </c>
    </row>
    <row r="1258" spans="1:16">
      <c r="A1258" s="7">
        <v>39869</v>
      </c>
      <c r="B1258" s="1">
        <v>425</v>
      </c>
      <c r="C1258" s="1" t="s">
        <v>234</v>
      </c>
      <c r="D1258" s="1">
        <v>1</v>
      </c>
      <c r="E1258" s="1">
        <v>612.02</v>
      </c>
      <c r="F1258" s="1">
        <v>23</v>
      </c>
      <c r="G1258" s="1" t="s">
        <v>29</v>
      </c>
      <c r="H1258" s="1">
        <v>1067</v>
      </c>
      <c r="K1258" s="1" t="s">
        <v>103</v>
      </c>
      <c r="L1258" s="1" t="s">
        <v>245</v>
      </c>
      <c r="M1258" s="1" t="s">
        <v>246</v>
      </c>
      <c r="N1258" s="1" t="s">
        <v>253</v>
      </c>
      <c r="O1258" s="1">
        <v>39.24</v>
      </c>
      <c r="P1258" s="1" t="s">
        <v>203</v>
      </c>
    </row>
    <row r="1259" spans="1:16">
      <c r="A1259" s="7">
        <v>39869</v>
      </c>
      <c r="B1259" s="1">
        <v>427</v>
      </c>
      <c r="C1259" s="1" t="s">
        <v>235</v>
      </c>
      <c r="D1259" s="1">
        <v>1</v>
      </c>
      <c r="E1259" s="1">
        <v>567.59</v>
      </c>
      <c r="F1259" s="1">
        <v>23</v>
      </c>
      <c r="G1259" s="1" t="s">
        <v>29</v>
      </c>
      <c r="H1259" s="1">
        <v>0</v>
      </c>
      <c r="K1259" s="1" t="s">
        <v>77</v>
      </c>
      <c r="L1259" s="1" t="s">
        <v>245</v>
      </c>
      <c r="M1259" s="1" t="s">
        <v>246</v>
      </c>
      <c r="N1259" s="1" t="s">
        <v>253</v>
      </c>
      <c r="O1259" s="1">
        <v>338.22</v>
      </c>
      <c r="P1259" s="1" t="s">
        <v>203</v>
      </c>
    </row>
    <row r="1260" spans="1:16">
      <c r="A1260" s="7">
        <v>39869</v>
      </c>
      <c r="B1260" s="1">
        <v>428</v>
      </c>
      <c r="C1260" s="1" t="s">
        <v>235</v>
      </c>
      <c r="D1260" s="1">
        <v>1</v>
      </c>
      <c r="E1260" s="1">
        <v>200.64</v>
      </c>
      <c r="F1260" s="1">
        <v>23</v>
      </c>
      <c r="G1260" s="1" t="s">
        <v>29</v>
      </c>
      <c r="H1260" s="1">
        <v>1141</v>
      </c>
      <c r="K1260" s="1" t="s">
        <v>88</v>
      </c>
      <c r="L1260" s="1" t="s">
        <v>245</v>
      </c>
      <c r="M1260" s="1" t="s">
        <v>246</v>
      </c>
      <c r="N1260" s="1" t="s">
        <v>253</v>
      </c>
      <c r="O1260" s="1">
        <v>36.42</v>
      </c>
      <c r="P1260" s="1" t="s">
        <v>203</v>
      </c>
    </row>
    <row r="1261" spans="1:16">
      <c r="A1261" s="7">
        <v>39869</v>
      </c>
      <c r="B1261" s="1">
        <v>484</v>
      </c>
      <c r="C1261" s="1" t="s">
        <v>234</v>
      </c>
      <c r="D1261" s="1">
        <v>3</v>
      </c>
      <c r="E1261" s="1">
        <v>414.46</v>
      </c>
      <c r="F1261" s="1">
        <v>23</v>
      </c>
      <c r="G1261" s="1" t="s">
        <v>29</v>
      </c>
      <c r="H1261" s="1">
        <v>884</v>
      </c>
      <c r="K1261" s="1" t="s">
        <v>88</v>
      </c>
      <c r="L1261" s="1" t="s">
        <v>245</v>
      </c>
      <c r="M1261" s="1" t="s">
        <v>246</v>
      </c>
      <c r="N1261" s="1" t="s">
        <v>253</v>
      </c>
      <c r="O1261" s="1">
        <v>1151.44</v>
      </c>
      <c r="P1261" s="1" t="s">
        <v>203</v>
      </c>
    </row>
    <row r="1262" spans="1:16">
      <c r="A1262" s="7">
        <v>39869</v>
      </c>
      <c r="B1262" s="1">
        <v>457</v>
      </c>
      <c r="C1262" s="1" t="s">
        <v>237</v>
      </c>
      <c r="D1262" s="1">
        <v>4</v>
      </c>
      <c r="E1262" s="1">
        <v>48</v>
      </c>
      <c r="F1262" s="1">
        <v>23</v>
      </c>
      <c r="G1262" s="1" t="s">
        <v>57</v>
      </c>
      <c r="H1262" s="1">
        <v>262</v>
      </c>
      <c r="K1262" s="1" t="s">
        <v>168</v>
      </c>
      <c r="L1262" s="1" t="s">
        <v>245</v>
      </c>
      <c r="M1262" s="1" t="s">
        <v>246</v>
      </c>
      <c r="N1262" s="1" t="s">
        <v>253</v>
      </c>
      <c r="O1262" s="1">
        <v>299.45999999999998</v>
      </c>
      <c r="P1262" s="1" t="s">
        <v>203</v>
      </c>
    </row>
    <row r="1263" spans="1:16">
      <c r="A1263" s="7">
        <v>39897</v>
      </c>
      <c r="B1263" s="1">
        <v>532</v>
      </c>
      <c r="C1263" s="1" t="s">
        <v>237</v>
      </c>
      <c r="D1263" s="1">
        <v>4</v>
      </c>
      <c r="E1263" s="1">
        <v>136</v>
      </c>
      <c r="F1263" s="1">
        <v>23</v>
      </c>
      <c r="G1263" s="1" t="s">
        <v>56</v>
      </c>
      <c r="H1263" s="1">
        <v>263</v>
      </c>
      <c r="K1263" s="1" t="s">
        <v>88</v>
      </c>
      <c r="L1263" s="1" t="s">
        <v>245</v>
      </c>
      <c r="M1263" s="1" t="s">
        <v>246</v>
      </c>
      <c r="N1263" s="1" t="s">
        <v>253</v>
      </c>
      <c r="O1263" s="1">
        <v>174.37</v>
      </c>
      <c r="P1263" s="1" t="s">
        <v>203</v>
      </c>
    </row>
    <row r="1264" spans="1:16">
      <c r="A1264" s="7">
        <v>39897</v>
      </c>
      <c r="B1264" s="1">
        <v>533</v>
      </c>
      <c r="C1264" s="1" t="s">
        <v>237</v>
      </c>
      <c r="D1264" s="1">
        <v>4</v>
      </c>
      <c r="E1264" s="1">
        <v>60</v>
      </c>
      <c r="F1264" s="1">
        <v>23</v>
      </c>
      <c r="G1264" s="1" t="s">
        <v>52</v>
      </c>
      <c r="H1264" s="1">
        <v>260</v>
      </c>
      <c r="K1264" s="1" t="s">
        <v>104</v>
      </c>
      <c r="L1264" s="1" t="s">
        <v>245</v>
      </c>
      <c r="M1264" s="1" t="s">
        <v>246</v>
      </c>
      <c r="N1264" s="1" t="s">
        <v>253</v>
      </c>
      <c r="O1264" s="1">
        <v>121.49</v>
      </c>
      <c r="P1264" s="1" t="s">
        <v>203</v>
      </c>
    </row>
    <row r="1265" spans="1:16">
      <c r="A1265" s="7">
        <v>39897</v>
      </c>
      <c r="B1265" s="1">
        <v>527</v>
      </c>
      <c r="C1265" s="1" t="s">
        <v>237</v>
      </c>
      <c r="D1265" s="1">
        <v>4</v>
      </c>
      <c r="E1265" s="1">
        <v>132</v>
      </c>
      <c r="F1265" s="1">
        <v>23</v>
      </c>
      <c r="G1265" s="1" t="s">
        <v>4</v>
      </c>
      <c r="H1265" s="1">
        <v>261</v>
      </c>
      <c r="K1265" s="1" t="s">
        <v>81</v>
      </c>
      <c r="L1265" s="1" t="s">
        <v>262</v>
      </c>
      <c r="M1265" s="1" t="s">
        <v>263</v>
      </c>
      <c r="N1265" s="1" t="s">
        <v>253</v>
      </c>
      <c r="O1265" s="1">
        <v>430.8</v>
      </c>
      <c r="P1265" s="1" t="s">
        <v>203</v>
      </c>
    </row>
    <row r="1266" spans="1:16">
      <c r="A1266" s="7">
        <v>39897</v>
      </c>
      <c r="B1266" s="1">
        <v>513</v>
      </c>
      <c r="C1266" s="1" t="s">
        <v>234</v>
      </c>
      <c r="D1266" s="1">
        <v>2</v>
      </c>
      <c r="E1266" s="1">
        <v>75</v>
      </c>
      <c r="F1266" s="1">
        <v>23</v>
      </c>
      <c r="G1266" s="1" t="s">
        <v>21</v>
      </c>
      <c r="H1266" s="1">
        <v>401</v>
      </c>
      <c r="K1266" s="1" t="s">
        <v>106</v>
      </c>
      <c r="L1266" s="1" t="s">
        <v>245</v>
      </c>
      <c r="M1266" s="1" t="s">
        <v>246</v>
      </c>
      <c r="N1266" s="1" t="s">
        <v>253</v>
      </c>
      <c r="O1266" s="1">
        <v>1772.55</v>
      </c>
      <c r="P1266" s="1" t="s">
        <v>203</v>
      </c>
    </row>
    <row r="1267" spans="1:16">
      <c r="A1267" s="7">
        <v>39897</v>
      </c>
      <c r="B1267" s="1">
        <v>531</v>
      </c>
      <c r="C1267" s="1" t="s">
        <v>237</v>
      </c>
      <c r="D1267" s="1">
        <v>4</v>
      </c>
      <c r="E1267" s="1">
        <v>48</v>
      </c>
      <c r="F1267" s="1">
        <v>23</v>
      </c>
      <c r="G1267" s="1" t="s">
        <v>57</v>
      </c>
      <c r="H1267" s="1">
        <v>262</v>
      </c>
      <c r="K1267" s="1" t="s">
        <v>105</v>
      </c>
      <c r="L1267" s="1" t="s">
        <v>245</v>
      </c>
      <c r="M1267" s="1" t="s">
        <v>246</v>
      </c>
      <c r="N1267" s="1" t="s">
        <v>253</v>
      </c>
      <c r="O1267" s="1">
        <v>2794</v>
      </c>
      <c r="P1267" s="1" t="s">
        <v>203</v>
      </c>
    </row>
    <row r="1268" spans="1:16">
      <c r="A1268" s="7">
        <v>39928</v>
      </c>
      <c r="B1268" s="1">
        <v>554</v>
      </c>
      <c r="C1268" s="1" t="s">
        <v>237</v>
      </c>
      <c r="D1268" s="1">
        <v>4</v>
      </c>
      <c r="E1268" s="1">
        <v>136</v>
      </c>
      <c r="F1268" s="1">
        <v>23</v>
      </c>
      <c r="G1268" s="1" t="s">
        <v>56</v>
      </c>
      <c r="H1268" s="1">
        <v>263</v>
      </c>
      <c r="K1268" s="1" t="s">
        <v>105</v>
      </c>
      <c r="L1268" s="1" t="s">
        <v>245</v>
      </c>
      <c r="M1268" s="1" t="s">
        <v>246</v>
      </c>
      <c r="N1268" s="1" t="s">
        <v>253</v>
      </c>
      <c r="O1268" s="1">
        <v>565</v>
      </c>
      <c r="P1268" s="1" t="s">
        <v>203</v>
      </c>
    </row>
    <row r="1269" spans="1:16">
      <c r="A1269" s="7">
        <v>39928</v>
      </c>
      <c r="B1269" s="1">
        <v>555</v>
      </c>
      <c r="C1269" s="1" t="s">
        <v>237</v>
      </c>
      <c r="D1269" s="1">
        <v>4</v>
      </c>
      <c r="E1269" s="1">
        <v>60</v>
      </c>
      <c r="F1269" s="1">
        <v>23</v>
      </c>
      <c r="G1269" s="1" t="s">
        <v>52</v>
      </c>
      <c r="H1269" s="1">
        <v>260</v>
      </c>
      <c r="K1269" s="1" t="s">
        <v>81</v>
      </c>
      <c r="L1269" s="1" t="s">
        <v>245</v>
      </c>
      <c r="M1269" s="1" t="s">
        <v>246</v>
      </c>
      <c r="N1269" s="1" t="s">
        <v>253</v>
      </c>
      <c r="O1269" s="1">
        <v>60</v>
      </c>
      <c r="P1269" s="1" t="s">
        <v>203</v>
      </c>
    </row>
    <row r="1270" spans="1:16">
      <c r="A1270" s="7">
        <v>39928</v>
      </c>
      <c r="B1270" s="1">
        <v>552</v>
      </c>
      <c r="C1270" s="1" t="s">
        <v>237</v>
      </c>
      <c r="D1270" s="1">
        <v>4</v>
      </c>
      <c r="E1270" s="1">
        <v>132</v>
      </c>
      <c r="F1270" s="1">
        <v>23</v>
      </c>
      <c r="G1270" s="1" t="s">
        <v>4</v>
      </c>
      <c r="H1270" s="1">
        <v>261</v>
      </c>
      <c r="K1270" s="1" t="s">
        <v>124</v>
      </c>
      <c r="L1270" s="1" t="s">
        <v>245</v>
      </c>
      <c r="M1270" s="1" t="s">
        <v>246</v>
      </c>
      <c r="N1270" s="1" t="s">
        <v>253</v>
      </c>
      <c r="O1270" s="1">
        <v>220.64</v>
      </c>
      <c r="P1270" s="1" t="s">
        <v>203</v>
      </c>
    </row>
    <row r="1271" spans="1:16">
      <c r="A1271" s="7">
        <v>39928</v>
      </c>
      <c r="B1271" s="1">
        <v>553</v>
      </c>
      <c r="C1271" s="1" t="s">
        <v>237</v>
      </c>
      <c r="D1271" s="1">
        <v>4</v>
      </c>
      <c r="E1271" s="1">
        <v>48</v>
      </c>
      <c r="F1271" s="1">
        <v>23</v>
      </c>
      <c r="G1271" s="1" t="s">
        <v>57</v>
      </c>
      <c r="H1271" s="1">
        <v>262</v>
      </c>
      <c r="K1271" s="1" t="s">
        <v>104</v>
      </c>
      <c r="L1271" s="1" t="s">
        <v>245</v>
      </c>
      <c r="M1271" s="1" t="s">
        <v>246</v>
      </c>
      <c r="N1271" s="1" t="s">
        <v>253</v>
      </c>
      <c r="O1271" s="1">
        <v>38.200000000000003</v>
      </c>
      <c r="P1271" s="1" t="s">
        <v>203</v>
      </c>
    </row>
    <row r="1272" spans="1:16">
      <c r="A1272" s="7">
        <v>39958</v>
      </c>
      <c r="B1272" s="1">
        <v>579</v>
      </c>
      <c r="C1272" s="1" t="s">
        <v>237</v>
      </c>
      <c r="D1272" s="1">
        <v>4</v>
      </c>
      <c r="E1272" s="1">
        <v>136</v>
      </c>
      <c r="F1272" s="1">
        <v>23</v>
      </c>
      <c r="G1272" s="1" t="s">
        <v>56</v>
      </c>
      <c r="H1272" s="1">
        <v>263</v>
      </c>
      <c r="K1272" s="1" t="s">
        <v>104</v>
      </c>
      <c r="L1272" s="1" t="s">
        <v>245</v>
      </c>
      <c r="M1272" s="1" t="s">
        <v>246</v>
      </c>
      <c r="N1272" s="1" t="s">
        <v>253</v>
      </c>
      <c r="O1272" s="1">
        <v>88.9</v>
      </c>
      <c r="P1272" s="1" t="s">
        <v>203</v>
      </c>
    </row>
    <row r="1273" spans="1:16">
      <c r="A1273" s="7">
        <v>39958</v>
      </c>
      <c r="B1273" s="1">
        <v>580</v>
      </c>
      <c r="C1273" s="1" t="s">
        <v>237</v>
      </c>
      <c r="D1273" s="1">
        <v>4</v>
      </c>
      <c r="E1273" s="1">
        <v>48</v>
      </c>
      <c r="F1273" s="1">
        <v>23</v>
      </c>
      <c r="G1273" s="1" t="s">
        <v>52</v>
      </c>
      <c r="H1273" s="1">
        <v>260</v>
      </c>
      <c r="K1273" s="1" t="s">
        <v>104</v>
      </c>
      <c r="L1273" s="1" t="s">
        <v>245</v>
      </c>
      <c r="M1273" s="1" t="s">
        <v>246</v>
      </c>
      <c r="N1273" s="1" t="s">
        <v>253</v>
      </c>
      <c r="O1273" s="1">
        <v>76.400000000000006</v>
      </c>
      <c r="P1273" s="1" t="s">
        <v>203</v>
      </c>
    </row>
    <row r="1274" spans="1:16">
      <c r="A1274" s="7">
        <v>39958</v>
      </c>
      <c r="B1274" s="1">
        <v>581</v>
      </c>
      <c r="C1274" s="1" t="s">
        <v>237</v>
      </c>
      <c r="D1274" s="1">
        <v>4</v>
      </c>
      <c r="E1274" s="1">
        <v>132</v>
      </c>
      <c r="F1274" s="1">
        <v>23</v>
      </c>
      <c r="G1274" s="1" t="s">
        <v>4</v>
      </c>
      <c r="H1274" s="1">
        <v>261</v>
      </c>
      <c r="K1274" s="1" t="s">
        <v>104</v>
      </c>
      <c r="L1274" s="1" t="s">
        <v>245</v>
      </c>
      <c r="M1274" s="1" t="s">
        <v>246</v>
      </c>
      <c r="N1274" s="1" t="s">
        <v>253</v>
      </c>
      <c r="O1274" s="1">
        <v>134.05000000000001</v>
      </c>
      <c r="P1274" s="1" t="s">
        <v>203</v>
      </c>
    </row>
    <row r="1275" spans="1:16">
      <c r="A1275" s="7">
        <v>39958</v>
      </c>
      <c r="B1275" s="1">
        <v>582</v>
      </c>
      <c r="C1275" s="1" t="s">
        <v>237</v>
      </c>
      <c r="D1275" s="1">
        <v>4</v>
      </c>
      <c r="E1275" s="1">
        <v>48</v>
      </c>
      <c r="F1275" s="1">
        <v>23</v>
      </c>
      <c r="G1275" s="1" t="s">
        <v>57</v>
      </c>
      <c r="H1275" s="1">
        <v>262</v>
      </c>
      <c r="K1275" s="1" t="s">
        <v>105</v>
      </c>
      <c r="L1275" s="1" t="s">
        <v>248</v>
      </c>
      <c r="M1275" s="1" t="s">
        <v>249</v>
      </c>
      <c r="N1275" s="1" t="s">
        <v>253</v>
      </c>
      <c r="O1275" s="1">
        <v>491.85</v>
      </c>
      <c r="P1275" s="1" t="s">
        <v>203</v>
      </c>
    </row>
    <row r="1276" spans="1:16">
      <c r="A1276" s="7">
        <v>39989</v>
      </c>
      <c r="B1276" s="1">
        <v>609</v>
      </c>
      <c r="C1276" s="1" t="s">
        <v>237</v>
      </c>
      <c r="D1276" s="1">
        <v>4</v>
      </c>
      <c r="E1276" s="1">
        <v>136</v>
      </c>
      <c r="F1276" s="1">
        <v>23</v>
      </c>
      <c r="G1276" s="1" t="s">
        <v>56</v>
      </c>
      <c r="H1276" s="1">
        <v>263</v>
      </c>
      <c r="K1276" s="1" t="s">
        <v>105</v>
      </c>
      <c r="L1276" s="1" t="s">
        <v>248</v>
      </c>
      <c r="M1276" s="1" t="s">
        <v>249</v>
      </c>
      <c r="N1276" s="1" t="s">
        <v>253</v>
      </c>
      <c r="O1276" s="1">
        <v>1475.55</v>
      </c>
      <c r="P1276" s="1" t="s">
        <v>203</v>
      </c>
    </row>
    <row r="1277" spans="1:16">
      <c r="A1277" s="7">
        <v>39989</v>
      </c>
      <c r="B1277" s="1">
        <v>610</v>
      </c>
      <c r="C1277" s="1" t="s">
        <v>237</v>
      </c>
      <c r="D1277" s="1">
        <v>4</v>
      </c>
      <c r="E1277" s="1">
        <v>78</v>
      </c>
      <c r="F1277" s="1">
        <v>23</v>
      </c>
      <c r="G1277" s="1" t="s">
        <v>52</v>
      </c>
      <c r="H1277" s="1">
        <v>260</v>
      </c>
      <c r="K1277" s="1" t="s">
        <v>88</v>
      </c>
      <c r="L1277" s="1" t="s">
        <v>245</v>
      </c>
      <c r="M1277" s="1" t="s">
        <v>246</v>
      </c>
      <c r="N1277" s="1" t="s">
        <v>253</v>
      </c>
      <c r="O1277" s="1">
        <v>147.53</v>
      </c>
      <c r="P1277" s="1" t="s">
        <v>203</v>
      </c>
    </row>
    <row r="1278" spans="1:16">
      <c r="A1278" s="7">
        <v>39989</v>
      </c>
      <c r="B1278" s="1">
        <v>611</v>
      </c>
      <c r="C1278" s="1" t="s">
        <v>237</v>
      </c>
      <c r="D1278" s="1">
        <v>4</v>
      </c>
      <c r="E1278" s="1">
        <v>132</v>
      </c>
      <c r="F1278" s="1">
        <v>23</v>
      </c>
      <c r="G1278" s="1" t="s">
        <v>4</v>
      </c>
      <c r="H1278" s="1">
        <v>261</v>
      </c>
      <c r="K1278" s="1" t="s">
        <v>88</v>
      </c>
      <c r="L1278" s="1" t="s">
        <v>245</v>
      </c>
      <c r="M1278" s="1" t="s">
        <v>246</v>
      </c>
      <c r="N1278" s="1" t="s">
        <v>253</v>
      </c>
      <c r="O1278" s="1">
        <v>204.18</v>
      </c>
      <c r="P1278" s="1" t="s">
        <v>203</v>
      </c>
    </row>
    <row r="1279" spans="1:16">
      <c r="A1279" s="7">
        <v>39989</v>
      </c>
      <c r="B1279" s="1">
        <v>606</v>
      </c>
      <c r="C1279" s="1" t="s">
        <v>235</v>
      </c>
      <c r="D1279" s="1">
        <v>1</v>
      </c>
      <c r="E1279" s="1">
        <v>22.5</v>
      </c>
      <c r="F1279" s="1">
        <v>23</v>
      </c>
      <c r="G1279" s="1" t="s">
        <v>37</v>
      </c>
      <c r="H1279" s="1">
        <v>632</v>
      </c>
      <c r="K1279" s="1" t="s">
        <v>126</v>
      </c>
      <c r="L1279" s="1" t="s">
        <v>258</v>
      </c>
      <c r="M1279" s="1" t="s">
        <v>259</v>
      </c>
      <c r="N1279" s="1" t="s">
        <v>253</v>
      </c>
      <c r="O1279" s="1">
        <v>1005</v>
      </c>
      <c r="P1279" s="1" t="s">
        <v>203</v>
      </c>
    </row>
    <row r="1280" spans="1:16">
      <c r="A1280" s="7">
        <v>39989</v>
      </c>
      <c r="B1280" s="1">
        <v>612</v>
      </c>
      <c r="C1280" s="1" t="s">
        <v>237</v>
      </c>
      <c r="D1280" s="1">
        <v>4</v>
      </c>
      <c r="E1280" s="1">
        <v>48</v>
      </c>
      <c r="F1280" s="1">
        <v>23</v>
      </c>
      <c r="G1280" s="1" t="s">
        <v>57</v>
      </c>
      <c r="H1280" s="1">
        <v>262</v>
      </c>
      <c r="K1280" s="1" t="s">
        <v>89</v>
      </c>
      <c r="L1280" s="1" t="s">
        <v>264</v>
      </c>
      <c r="M1280" s="1" t="s">
        <v>265</v>
      </c>
      <c r="N1280" s="1" t="s">
        <v>253</v>
      </c>
      <c r="O1280" s="1">
        <v>300</v>
      </c>
      <c r="P1280" s="1" t="s">
        <v>203</v>
      </c>
    </row>
    <row r="1281" spans="1:16">
      <c r="A1281" s="7">
        <v>40019</v>
      </c>
      <c r="B1281" s="1">
        <v>854</v>
      </c>
      <c r="C1281" s="1" t="s">
        <v>237</v>
      </c>
      <c r="D1281" s="1">
        <v>4</v>
      </c>
      <c r="E1281" s="1">
        <v>124</v>
      </c>
      <c r="F1281" s="1">
        <v>23</v>
      </c>
      <c r="G1281" s="1" t="s">
        <v>56</v>
      </c>
      <c r="H1281" s="1">
        <v>263</v>
      </c>
      <c r="K1281" s="1" t="s">
        <v>98</v>
      </c>
      <c r="L1281" s="1" t="s">
        <v>258</v>
      </c>
      <c r="M1281" s="1" t="s">
        <v>259</v>
      </c>
      <c r="N1281" s="1" t="s">
        <v>253</v>
      </c>
      <c r="O1281" s="1">
        <v>5590.96</v>
      </c>
      <c r="P1281" s="1" t="s">
        <v>203</v>
      </c>
    </row>
    <row r="1282" spans="1:16">
      <c r="A1282" s="7">
        <v>40019</v>
      </c>
      <c r="B1282" s="1">
        <v>855</v>
      </c>
      <c r="C1282" s="1" t="s">
        <v>237</v>
      </c>
      <c r="D1282" s="1">
        <v>4</v>
      </c>
      <c r="E1282" s="1">
        <v>48</v>
      </c>
      <c r="F1282" s="1">
        <v>23</v>
      </c>
      <c r="G1282" s="1" t="s">
        <v>52</v>
      </c>
      <c r="H1282" s="1">
        <v>260</v>
      </c>
      <c r="K1282" s="1" t="s">
        <v>103</v>
      </c>
      <c r="L1282" s="1" t="s">
        <v>264</v>
      </c>
      <c r="M1282" s="1" t="s">
        <v>265</v>
      </c>
      <c r="N1282" s="1" t="s">
        <v>253</v>
      </c>
      <c r="O1282" s="1">
        <v>63.2</v>
      </c>
      <c r="P1282" s="1" t="s">
        <v>203</v>
      </c>
    </row>
    <row r="1283" spans="1:16">
      <c r="A1283" s="7">
        <v>40019</v>
      </c>
      <c r="B1283" s="1">
        <v>852</v>
      </c>
      <c r="C1283" s="1" t="s">
        <v>237</v>
      </c>
      <c r="D1283" s="1">
        <v>4</v>
      </c>
      <c r="E1283" s="1">
        <v>132</v>
      </c>
      <c r="F1283" s="1">
        <v>23</v>
      </c>
      <c r="G1283" s="1" t="s">
        <v>4</v>
      </c>
      <c r="H1283" s="1">
        <v>261</v>
      </c>
      <c r="K1283" s="1" t="s">
        <v>108</v>
      </c>
      <c r="L1283" s="1" t="s">
        <v>258</v>
      </c>
      <c r="M1283" s="1" t="s">
        <v>259</v>
      </c>
      <c r="N1283" s="1" t="s">
        <v>253</v>
      </c>
      <c r="O1283" s="1">
        <v>82.86</v>
      </c>
      <c r="P1283" s="1" t="s">
        <v>203</v>
      </c>
    </row>
    <row r="1284" spans="1:16">
      <c r="A1284" s="7">
        <v>40019</v>
      </c>
      <c r="B1284" s="1">
        <v>853</v>
      </c>
      <c r="C1284" s="1" t="s">
        <v>237</v>
      </c>
      <c r="D1284" s="1">
        <v>4</v>
      </c>
      <c r="E1284" s="1">
        <v>48</v>
      </c>
      <c r="F1284" s="1">
        <v>23</v>
      </c>
      <c r="G1284" s="1" t="s">
        <v>57</v>
      </c>
      <c r="H1284" s="1">
        <v>262</v>
      </c>
      <c r="K1284" s="1" t="s">
        <v>89</v>
      </c>
      <c r="L1284" s="1" t="s">
        <v>258</v>
      </c>
      <c r="M1284" s="1" t="s">
        <v>259</v>
      </c>
      <c r="N1284" s="1" t="s">
        <v>253</v>
      </c>
      <c r="O1284" s="1">
        <v>42.66</v>
      </c>
      <c r="P1284" s="1" t="s">
        <v>203</v>
      </c>
    </row>
    <row r="1285" spans="1:16">
      <c r="A1285" s="7">
        <v>40050</v>
      </c>
      <c r="B1285" s="1">
        <v>866</v>
      </c>
      <c r="C1285" s="1" t="s">
        <v>237</v>
      </c>
      <c r="D1285" s="1">
        <v>4</v>
      </c>
      <c r="E1285" s="1">
        <v>124</v>
      </c>
      <c r="F1285" s="1">
        <v>23</v>
      </c>
      <c r="G1285" s="1" t="s">
        <v>56</v>
      </c>
      <c r="H1285" s="1">
        <v>263</v>
      </c>
      <c r="K1285" s="1" t="s">
        <v>109</v>
      </c>
      <c r="L1285" s="1" t="s">
        <v>245</v>
      </c>
      <c r="M1285" s="1" t="s">
        <v>246</v>
      </c>
      <c r="N1285" s="1" t="s">
        <v>253</v>
      </c>
      <c r="O1285" s="1">
        <v>10.4</v>
      </c>
      <c r="P1285" s="1" t="s">
        <v>203</v>
      </c>
    </row>
    <row r="1286" spans="1:16">
      <c r="A1286" s="7">
        <v>40050</v>
      </c>
      <c r="B1286" s="1">
        <v>867</v>
      </c>
      <c r="C1286" s="1" t="s">
        <v>237</v>
      </c>
      <c r="D1286" s="1">
        <v>4</v>
      </c>
      <c r="E1286" s="1">
        <v>48</v>
      </c>
      <c r="F1286" s="1">
        <v>23</v>
      </c>
      <c r="G1286" s="1" t="s">
        <v>52</v>
      </c>
      <c r="H1286" s="1">
        <v>260</v>
      </c>
      <c r="K1286" s="1" t="s">
        <v>109</v>
      </c>
      <c r="L1286" s="1" t="s">
        <v>245</v>
      </c>
      <c r="M1286" s="1" t="s">
        <v>246</v>
      </c>
      <c r="N1286" s="1" t="s">
        <v>253</v>
      </c>
      <c r="O1286" s="1">
        <v>54.2</v>
      </c>
      <c r="P1286" s="1" t="s">
        <v>203</v>
      </c>
    </row>
    <row r="1287" spans="1:16">
      <c r="A1287" s="7">
        <v>40050</v>
      </c>
      <c r="B1287" s="1">
        <v>871</v>
      </c>
      <c r="C1287" s="1" t="s">
        <v>234</v>
      </c>
      <c r="D1287" s="1">
        <v>4</v>
      </c>
      <c r="E1287" s="1">
        <v>470.25</v>
      </c>
      <c r="F1287" s="1">
        <v>23</v>
      </c>
      <c r="G1287" s="1" t="s">
        <v>13</v>
      </c>
      <c r="H1287" s="1">
        <v>2078</v>
      </c>
      <c r="K1287" s="1" t="s">
        <v>128</v>
      </c>
      <c r="L1287" s="1" t="s">
        <v>245</v>
      </c>
      <c r="M1287" s="1" t="s">
        <v>246</v>
      </c>
      <c r="N1287" s="1" t="s">
        <v>253</v>
      </c>
      <c r="O1287" s="1">
        <v>237.3</v>
      </c>
      <c r="P1287" s="1" t="s">
        <v>203</v>
      </c>
    </row>
    <row r="1288" spans="1:16">
      <c r="A1288" s="7">
        <v>40050</v>
      </c>
      <c r="B1288" s="1">
        <v>868</v>
      </c>
      <c r="C1288" s="1" t="s">
        <v>237</v>
      </c>
      <c r="D1288" s="1">
        <v>4</v>
      </c>
      <c r="E1288" s="1">
        <v>132</v>
      </c>
      <c r="F1288" s="1">
        <v>23</v>
      </c>
      <c r="G1288" s="1" t="s">
        <v>4</v>
      </c>
      <c r="H1288" s="1">
        <v>261</v>
      </c>
      <c r="K1288" s="1" t="s">
        <v>110</v>
      </c>
      <c r="L1288" s="1" t="s">
        <v>258</v>
      </c>
      <c r="M1288" s="1" t="s">
        <v>259</v>
      </c>
      <c r="N1288" s="1" t="s">
        <v>253</v>
      </c>
      <c r="O1288" s="1">
        <v>330</v>
      </c>
      <c r="P1288" s="1" t="s">
        <v>203</v>
      </c>
    </row>
    <row r="1289" spans="1:16">
      <c r="A1289" s="7">
        <v>40050</v>
      </c>
      <c r="B1289" s="1">
        <v>869</v>
      </c>
      <c r="C1289" s="1" t="s">
        <v>237</v>
      </c>
      <c r="D1289" s="1">
        <v>4</v>
      </c>
      <c r="E1289" s="1">
        <v>48</v>
      </c>
      <c r="F1289" s="1">
        <v>23</v>
      </c>
      <c r="G1289" s="1" t="s">
        <v>57</v>
      </c>
      <c r="H1289" s="1">
        <v>262</v>
      </c>
      <c r="K1289" s="1" t="s">
        <v>127</v>
      </c>
      <c r="L1289" s="1" t="s">
        <v>258</v>
      </c>
      <c r="M1289" s="1" t="s">
        <v>259</v>
      </c>
      <c r="N1289" s="1" t="s">
        <v>253</v>
      </c>
      <c r="O1289" s="1">
        <v>458.96</v>
      </c>
      <c r="P1289" s="1" t="s">
        <v>203</v>
      </c>
    </row>
    <row r="1290" spans="1:16">
      <c r="A1290" s="7">
        <v>40081</v>
      </c>
      <c r="B1290" s="1">
        <v>1373</v>
      </c>
      <c r="C1290" s="1" t="s">
        <v>237</v>
      </c>
      <c r="D1290" s="1">
        <v>4</v>
      </c>
      <c r="E1290" s="1">
        <v>184</v>
      </c>
      <c r="F1290" s="1">
        <v>23</v>
      </c>
      <c r="G1290" s="1" t="s">
        <v>56</v>
      </c>
      <c r="H1290" s="1">
        <v>263</v>
      </c>
      <c r="K1290" s="1" t="s">
        <v>127</v>
      </c>
      <c r="L1290" s="1" t="s">
        <v>258</v>
      </c>
      <c r="M1290" s="1" t="s">
        <v>259</v>
      </c>
      <c r="N1290" s="1" t="s">
        <v>253</v>
      </c>
      <c r="O1290" s="1">
        <v>150</v>
      </c>
      <c r="P1290" s="1" t="s">
        <v>203</v>
      </c>
    </row>
    <row r="1291" spans="1:16">
      <c r="A1291" s="7">
        <v>40081</v>
      </c>
      <c r="B1291" s="1">
        <v>1374</v>
      </c>
      <c r="C1291" s="1" t="s">
        <v>237</v>
      </c>
      <c r="D1291" s="1">
        <v>4</v>
      </c>
      <c r="E1291" s="1">
        <v>48</v>
      </c>
      <c r="F1291" s="1">
        <v>23</v>
      </c>
      <c r="G1291" s="1" t="s">
        <v>52</v>
      </c>
      <c r="H1291" s="1">
        <v>260</v>
      </c>
      <c r="K1291" s="1" t="s">
        <v>98</v>
      </c>
      <c r="L1291" s="1" t="s">
        <v>245</v>
      </c>
      <c r="M1291" s="1" t="s">
        <v>246</v>
      </c>
      <c r="N1291" s="1" t="s">
        <v>253</v>
      </c>
      <c r="O1291" s="1">
        <v>1250</v>
      </c>
      <c r="P1291" s="1" t="s">
        <v>203</v>
      </c>
    </row>
    <row r="1292" spans="1:16">
      <c r="A1292" s="7">
        <v>40081</v>
      </c>
      <c r="B1292" s="1">
        <v>1167</v>
      </c>
      <c r="C1292" s="1" t="s">
        <v>235</v>
      </c>
      <c r="D1292" s="1">
        <v>4</v>
      </c>
      <c r="E1292" s="1">
        <v>15.67</v>
      </c>
      <c r="F1292" s="1">
        <v>23</v>
      </c>
      <c r="G1292" s="1" t="s">
        <v>13</v>
      </c>
      <c r="H1292" s="1">
        <v>1798</v>
      </c>
      <c r="K1292" s="1" t="s">
        <v>77</v>
      </c>
      <c r="L1292" s="1" t="s">
        <v>245</v>
      </c>
      <c r="M1292" s="1" t="s">
        <v>246</v>
      </c>
      <c r="N1292" s="1" t="s">
        <v>253</v>
      </c>
      <c r="O1292" s="1">
        <v>2543.36</v>
      </c>
      <c r="P1292" s="1" t="s">
        <v>203</v>
      </c>
    </row>
    <row r="1293" spans="1:16">
      <c r="A1293" s="7">
        <v>40081</v>
      </c>
      <c r="B1293" s="1">
        <v>1231</v>
      </c>
      <c r="C1293" s="1" t="s">
        <v>235</v>
      </c>
      <c r="D1293" s="1">
        <v>4</v>
      </c>
      <c r="E1293" s="1">
        <v>243.29</v>
      </c>
      <c r="F1293" s="1">
        <v>23</v>
      </c>
      <c r="G1293" s="1" t="s">
        <v>13</v>
      </c>
      <c r="H1293" s="1">
        <v>1798</v>
      </c>
      <c r="K1293" s="1" t="s">
        <v>77</v>
      </c>
      <c r="L1293" s="1" t="s">
        <v>262</v>
      </c>
      <c r="M1293" s="1" t="s">
        <v>263</v>
      </c>
      <c r="N1293" s="1" t="s">
        <v>253</v>
      </c>
      <c r="O1293" s="1">
        <v>144.08000000000001</v>
      </c>
      <c r="P1293" s="1" t="s">
        <v>203</v>
      </c>
    </row>
    <row r="1294" spans="1:16">
      <c r="A1294" s="7">
        <v>40081</v>
      </c>
      <c r="B1294" s="1">
        <v>1375</v>
      </c>
      <c r="C1294" s="1" t="s">
        <v>237</v>
      </c>
      <c r="D1294" s="1">
        <v>4</v>
      </c>
      <c r="E1294" s="1">
        <v>132</v>
      </c>
      <c r="F1294" s="1">
        <v>23</v>
      </c>
      <c r="G1294" s="1" t="s">
        <v>4</v>
      </c>
      <c r="H1294" s="1">
        <v>261</v>
      </c>
      <c r="K1294" s="1" t="s">
        <v>77</v>
      </c>
      <c r="L1294" s="1" t="s">
        <v>262</v>
      </c>
      <c r="M1294" s="1" t="s">
        <v>263</v>
      </c>
      <c r="N1294" s="1" t="s">
        <v>253</v>
      </c>
      <c r="O1294" s="1">
        <v>2592.38</v>
      </c>
      <c r="P1294" s="1" t="s">
        <v>203</v>
      </c>
    </row>
    <row r="1295" spans="1:16">
      <c r="A1295" s="7">
        <v>40081</v>
      </c>
      <c r="B1295" s="1">
        <v>1144</v>
      </c>
      <c r="C1295" s="1" t="s">
        <v>235</v>
      </c>
      <c r="D1295" s="1">
        <v>1</v>
      </c>
      <c r="E1295" s="1">
        <v>158.04</v>
      </c>
      <c r="F1295" s="1">
        <v>23</v>
      </c>
      <c r="G1295" s="1" t="s">
        <v>6</v>
      </c>
      <c r="H1295" s="1">
        <v>72</v>
      </c>
      <c r="K1295" s="1" t="s">
        <v>78</v>
      </c>
      <c r="L1295" s="1" t="s">
        <v>256</v>
      </c>
      <c r="M1295" s="1" t="s">
        <v>257</v>
      </c>
      <c r="N1295" s="1" t="s">
        <v>253</v>
      </c>
      <c r="O1295" s="1">
        <v>200</v>
      </c>
      <c r="P1295" s="1" t="s">
        <v>203</v>
      </c>
    </row>
    <row r="1296" spans="1:16">
      <c r="A1296" s="7">
        <v>40081</v>
      </c>
      <c r="B1296" s="1">
        <v>1229</v>
      </c>
      <c r="C1296" s="1" t="s">
        <v>234</v>
      </c>
      <c r="D1296" s="1">
        <v>4</v>
      </c>
      <c r="E1296" s="1">
        <v>80</v>
      </c>
      <c r="F1296" s="1">
        <v>23</v>
      </c>
      <c r="G1296" s="1" t="s">
        <v>18</v>
      </c>
      <c r="H1296" s="1">
        <v>1885</v>
      </c>
      <c r="K1296" s="1" t="s">
        <v>77</v>
      </c>
      <c r="L1296" s="1" t="s">
        <v>258</v>
      </c>
      <c r="M1296" s="1" t="s">
        <v>259</v>
      </c>
      <c r="N1296" s="1" t="s">
        <v>253</v>
      </c>
      <c r="O1296" s="1">
        <v>61.88</v>
      </c>
      <c r="P1296" s="1" t="s">
        <v>203</v>
      </c>
    </row>
    <row r="1297" spans="1:16">
      <c r="A1297" s="7">
        <v>40081</v>
      </c>
      <c r="B1297" s="1">
        <v>1230</v>
      </c>
      <c r="C1297" s="1" t="s">
        <v>234</v>
      </c>
      <c r="D1297" s="1">
        <v>4</v>
      </c>
      <c r="E1297" s="1">
        <v>2</v>
      </c>
      <c r="F1297" s="1">
        <v>23</v>
      </c>
      <c r="G1297" s="1" t="s">
        <v>18</v>
      </c>
      <c r="H1297" s="1">
        <v>1229</v>
      </c>
      <c r="K1297" s="1" t="s">
        <v>98</v>
      </c>
      <c r="L1297" s="1" t="s">
        <v>245</v>
      </c>
      <c r="M1297" s="1" t="s">
        <v>246</v>
      </c>
      <c r="N1297" s="1" t="s">
        <v>253</v>
      </c>
      <c r="O1297" s="1">
        <v>669.24</v>
      </c>
      <c r="P1297" s="1" t="s">
        <v>203</v>
      </c>
    </row>
    <row r="1298" spans="1:16">
      <c r="A1298" s="7">
        <v>40081</v>
      </c>
      <c r="B1298" s="1">
        <v>1232</v>
      </c>
      <c r="C1298" s="1" t="s">
        <v>234</v>
      </c>
      <c r="D1298" s="1">
        <v>4</v>
      </c>
      <c r="E1298" s="1">
        <v>80</v>
      </c>
      <c r="F1298" s="1">
        <v>23</v>
      </c>
      <c r="G1298" s="1" t="s">
        <v>18</v>
      </c>
      <c r="H1298" s="1">
        <v>2139</v>
      </c>
      <c r="K1298" s="1" t="s">
        <v>132</v>
      </c>
      <c r="L1298" s="1" t="s">
        <v>245</v>
      </c>
      <c r="M1298" s="1" t="s">
        <v>246</v>
      </c>
      <c r="N1298" s="1" t="s">
        <v>253</v>
      </c>
      <c r="O1298" s="1">
        <v>75.599999999999994</v>
      </c>
      <c r="P1298" s="1" t="s">
        <v>203</v>
      </c>
    </row>
    <row r="1299" spans="1:16">
      <c r="A1299" s="7">
        <v>40081</v>
      </c>
      <c r="B1299" s="1">
        <v>1219</v>
      </c>
      <c r="C1299" s="1" t="s">
        <v>234</v>
      </c>
      <c r="D1299" s="1">
        <v>2</v>
      </c>
      <c r="E1299" s="1">
        <v>300</v>
      </c>
      <c r="F1299" s="1">
        <v>23</v>
      </c>
      <c r="G1299" s="1" t="s">
        <v>20</v>
      </c>
      <c r="H1299" s="1">
        <v>142</v>
      </c>
      <c r="K1299" s="1" t="s">
        <v>109</v>
      </c>
      <c r="L1299" s="1" t="s">
        <v>245</v>
      </c>
      <c r="M1299" s="1" t="s">
        <v>246</v>
      </c>
      <c r="N1299" s="1" t="s">
        <v>253</v>
      </c>
      <c r="O1299" s="1">
        <v>129.6</v>
      </c>
      <c r="P1299" s="1" t="s">
        <v>203</v>
      </c>
    </row>
    <row r="1300" spans="1:16">
      <c r="A1300" s="7">
        <v>40081</v>
      </c>
      <c r="B1300" s="1">
        <v>1220</v>
      </c>
      <c r="C1300" s="1" t="s">
        <v>234</v>
      </c>
      <c r="D1300" s="1">
        <v>2</v>
      </c>
      <c r="E1300" s="1">
        <v>300</v>
      </c>
      <c r="F1300" s="1">
        <v>23</v>
      </c>
      <c r="G1300" s="1" t="s">
        <v>20</v>
      </c>
      <c r="H1300" s="1">
        <v>1356</v>
      </c>
      <c r="K1300" s="1" t="s">
        <v>111</v>
      </c>
      <c r="L1300" s="1" t="s">
        <v>258</v>
      </c>
      <c r="M1300" s="1" t="s">
        <v>259</v>
      </c>
      <c r="N1300" s="1" t="s">
        <v>253</v>
      </c>
      <c r="O1300" s="1">
        <v>936</v>
      </c>
      <c r="P1300" s="1" t="s">
        <v>203</v>
      </c>
    </row>
    <row r="1301" spans="1:16">
      <c r="A1301" s="7">
        <v>40081</v>
      </c>
      <c r="B1301" s="1">
        <v>1221</v>
      </c>
      <c r="C1301" s="1" t="s">
        <v>234</v>
      </c>
      <c r="D1301" s="1">
        <v>2</v>
      </c>
      <c r="E1301" s="1">
        <v>300</v>
      </c>
      <c r="F1301" s="1">
        <v>23</v>
      </c>
      <c r="G1301" s="1" t="s">
        <v>20</v>
      </c>
      <c r="H1301" s="1">
        <v>2136</v>
      </c>
      <c r="K1301" s="1" t="s">
        <v>88</v>
      </c>
      <c r="L1301" s="1" t="s">
        <v>245</v>
      </c>
      <c r="M1301" s="1" t="s">
        <v>246</v>
      </c>
      <c r="N1301" s="1" t="s">
        <v>253</v>
      </c>
      <c r="O1301" s="1">
        <v>8.75</v>
      </c>
      <c r="P1301" s="1" t="s">
        <v>203</v>
      </c>
    </row>
    <row r="1302" spans="1:16">
      <c r="A1302" s="7">
        <v>40081</v>
      </c>
      <c r="B1302" s="1">
        <v>1227</v>
      </c>
      <c r="C1302" s="1" t="s">
        <v>234</v>
      </c>
      <c r="D1302" s="1">
        <v>2</v>
      </c>
      <c r="E1302" s="1">
        <v>300</v>
      </c>
      <c r="F1302" s="1">
        <v>23</v>
      </c>
      <c r="G1302" s="1" t="s">
        <v>20</v>
      </c>
      <c r="H1302" s="1">
        <v>2137</v>
      </c>
      <c r="K1302" s="1" t="s">
        <v>72</v>
      </c>
      <c r="L1302" s="1" t="s">
        <v>245</v>
      </c>
      <c r="M1302" s="1" t="s">
        <v>246</v>
      </c>
      <c r="N1302" s="1" t="s">
        <v>253</v>
      </c>
      <c r="O1302" s="1">
        <v>75</v>
      </c>
      <c r="P1302" s="1" t="s">
        <v>203</v>
      </c>
    </row>
    <row r="1303" spans="1:16">
      <c r="A1303" s="7">
        <v>40081</v>
      </c>
      <c r="B1303" s="1">
        <v>1228</v>
      </c>
      <c r="C1303" s="1" t="s">
        <v>234</v>
      </c>
      <c r="D1303" s="1">
        <v>2</v>
      </c>
      <c r="E1303" s="1">
        <v>300</v>
      </c>
      <c r="F1303" s="1">
        <v>23</v>
      </c>
      <c r="G1303" s="1" t="s">
        <v>20</v>
      </c>
      <c r="H1303" s="1">
        <v>2138</v>
      </c>
      <c r="K1303" s="1" t="s">
        <v>88</v>
      </c>
      <c r="L1303" s="1" t="s">
        <v>248</v>
      </c>
      <c r="M1303" s="1" t="s">
        <v>249</v>
      </c>
      <c r="N1303" s="1" t="s">
        <v>253</v>
      </c>
      <c r="O1303" s="1">
        <v>32.5</v>
      </c>
      <c r="P1303" s="1" t="s">
        <v>203</v>
      </c>
    </row>
    <row r="1304" spans="1:16">
      <c r="A1304" s="7">
        <v>40081</v>
      </c>
      <c r="B1304" s="1">
        <v>1222</v>
      </c>
      <c r="C1304" s="1" t="s">
        <v>235</v>
      </c>
      <c r="D1304" s="1">
        <v>1</v>
      </c>
      <c r="E1304" s="1">
        <v>34</v>
      </c>
      <c r="F1304" s="1">
        <v>23</v>
      </c>
      <c r="G1304" s="1" t="s">
        <v>32</v>
      </c>
      <c r="H1304" s="1">
        <v>607</v>
      </c>
      <c r="K1304" s="1" t="s">
        <v>98</v>
      </c>
      <c r="L1304" s="1" t="s">
        <v>245</v>
      </c>
      <c r="M1304" s="1" t="s">
        <v>246</v>
      </c>
      <c r="N1304" s="1" t="s">
        <v>253</v>
      </c>
      <c r="O1304" s="1">
        <v>89.44</v>
      </c>
      <c r="P1304" s="1" t="s">
        <v>203</v>
      </c>
    </row>
    <row r="1305" spans="1:16">
      <c r="A1305" s="7">
        <v>40081</v>
      </c>
      <c r="B1305" s="1">
        <v>1223</v>
      </c>
      <c r="C1305" s="1" t="s">
        <v>235</v>
      </c>
      <c r="D1305" s="1">
        <v>1</v>
      </c>
      <c r="E1305" s="1">
        <v>34</v>
      </c>
      <c r="F1305" s="1">
        <v>23</v>
      </c>
      <c r="G1305" s="1" t="s">
        <v>32</v>
      </c>
      <c r="H1305" s="1">
        <v>315</v>
      </c>
      <c r="K1305" s="1" t="s">
        <v>86</v>
      </c>
      <c r="L1305" s="1" t="s">
        <v>248</v>
      </c>
      <c r="M1305" s="1" t="s">
        <v>249</v>
      </c>
      <c r="N1305" s="1" t="s">
        <v>253</v>
      </c>
      <c r="O1305" s="1">
        <v>7.7</v>
      </c>
      <c r="P1305" s="1" t="s">
        <v>203</v>
      </c>
    </row>
    <row r="1306" spans="1:16">
      <c r="A1306" s="7">
        <v>40081</v>
      </c>
      <c r="B1306" s="1">
        <v>1376</v>
      </c>
      <c r="C1306" s="1" t="s">
        <v>237</v>
      </c>
      <c r="D1306" s="1">
        <v>4</v>
      </c>
      <c r="E1306" s="1">
        <v>48</v>
      </c>
      <c r="F1306" s="1">
        <v>23</v>
      </c>
      <c r="G1306" s="1" t="s">
        <v>57</v>
      </c>
      <c r="H1306" s="1">
        <v>262</v>
      </c>
      <c r="K1306" s="1" t="s">
        <v>77</v>
      </c>
      <c r="L1306" s="1" t="s">
        <v>248</v>
      </c>
      <c r="M1306" s="1" t="s">
        <v>249</v>
      </c>
      <c r="N1306" s="1" t="s">
        <v>253</v>
      </c>
      <c r="O1306" s="1">
        <v>106.06</v>
      </c>
      <c r="P1306" s="1" t="s">
        <v>203</v>
      </c>
    </row>
    <row r="1307" spans="1:16">
      <c r="A1307" s="7">
        <v>40111</v>
      </c>
      <c r="B1307" s="1">
        <v>1482</v>
      </c>
      <c r="C1307" s="1" t="s">
        <v>237</v>
      </c>
      <c r="D1307" s="1">
        <v>4</v>
      </c>
      <c r="E1307" s="1">
        <v>148</v>
      </c>
      <c r="F1307" s="1">
        <v>23</v>
      </c>
      <c r="G1307" s="1" t="s">
        <v>56</v>
      </c>
      <c r="H1307" s="1">
        <v>263</v>
      </c>
      <c r="K1307" s="1" t="s">
        <v>76</v>
      </c>
      <c r="L1307" s="1" t="s">
        <v>245</v>
      </c>
      <c r="M1307" s="1" t="s">
        <v>246</v>
      </c>
      <c r="N1307" s="1" t="s">
        <v>253</v>
      </c>
      <c r="O1307" s="1">
        <v>728.07</v>
      </c>
      <c r="P1307" s="1" t="s">
        <v>203</v>
      </c>
    </row>
    <row r="1308" spans="1:16">
      <c r="A1308" s="7">
        <v>40111</v>
      </c>
      <c r="B1308" s="1">
        <v>1483</v>
      </c>
      <c r="C1308" s="1" t="s">
        <v>237</v>
      </c>
      <c r="D1308" s="1">
        <v>4</v>
      </c>
      <c r="E1308" s="1">
        <v>120</v>
      </c>
      <c r="F1308" s="1">
        <v>23</v>
      </c>
      <c r="G1308" s="1" t="s">
        <v>52</v>
      </c>
      <c r="H1308" s="1">
        <v>260</v>
      </c>
      <c r="K1308" s="1" t="s">
        <v>110</v>
      </c>
      <c r="L1308" s="1" t="s">
        <v>245</v>
      </c>
      <c r="M1308" s="1" t="s">
        <v>246</v>
      </c>
      <c r="N1308" s="1" t="s">
        <v>253</v>
      </c>
      <c r="O1308" s="1">
        <v>728.07</v>
      </c>
      <c r="P1308" s="1" t="s">
        <v>203</v>
      </c>
    </row>
    <row r="1309" spans="1:16">
      <c r="A1309" s="7">
        <v>40111</v>
      </c>
      <c r="B1309" s="1">
        <v>1484</v>
      </c>
      <c r="C1309" s="1" t="s">
        <v>237</v>
      </c>
      <c r="D1309" s="1">
        <v>4</v>
      </c>
      <c r="E1309" s="1">
        <v>132</v>
      </c>
      <c r="F1309" s="1">
        <v>23</v>
      </c>
      <c r="G1309" s="1" t="s">
        <v>4</v>
      </c>
      <c r="H1309" s="1">
        <v>261</v>
      </c>
      <c r="K1309" s="1" t="s">
        <v>126</v>
      </c>
      <c r="L1309" s="1" t="s">
        <v>245</v>
      </c>
      <c r="M1309" s="1" t="s">
        <v>246</v>
      </c>
      <c r="N1309" s="1" t="s">
        <v>253</v>
      </c>
      <c r="O1309" s="1">
        <v>4658.68</v>
      </c>
      <c r="P1309" s="1" t="s">
        <v>203</v>
      </c>
    </row>
    <row r="1310" spans="1:16">
      <c r="A1310" s="7">
        <v>40111</v>
      </c>
      <c r="B1310" s="1">
        <v>1485</v>
      </c>
      <c r="C1310" s="1" t="s">
        <v>237</v>
      </c>
      <c r="D1310" s="1">
        <v>4</v>
      </c>
      <c r="E1310" s="1">
        <v>48</v>
      </c>
      <c r="F1310" s="1">
        <v>23</v>
      </c>
      <c r="G1310" s="1" t="s">
        <v>57</v>
      </c>
      <c r="H1310" s="1">
        <v>262</v>
      </c>
      <c r="K1310" s="1" t="s">
        <v>110</v>
      </c>
      <c r="L1310" s="1" t="s">
        <v>245</v>
      </c>
      <c r="M1310" s="1" t="s">
        <v>246</v>
      </c>
      <c r="N1310" s="1" t="s">
        <v>253</v>
      </c>
      <c r="O1310" s="1">
        <v>108.16</v>
      </c>
      <c r="P1310" s="1" t="s">
        <v>203</v>
      </c>
    </row>
    <row r="1311" spans="1:16">
      <c r="A1311" s="7">
        <v>40142</v>
      </c>
      <c r="B1311" s="1">
        <v>1526</v>
      </c>
      <c r="C1311" s="1" t="s">
        <v>237</v>
      </c>
      <c r="D1311" s="1">
        <v>4</v>
      </c>
      <c r="E1311" s="1">
        <v>148</v>
      </c>
      <c r="F1311" s="1">
        <v>23</v>
      </c>
      <c r="G1311" s="1" t="s">
        <v>56</v>
      </c>
      <c r="H1311" s="1">
        <v>263</v>
      </c>
      <c r="K1311" s="1" t="s">
        <v>159</v>
      </c>
      <c r="L1311" s="1" t="s">
        <v>245</v>
      </c>
      <c r="M1311" s="1" t="s">
        <v>246</v>
      </c>
      <c r="N1311" s="1" t="s">
        <v>253</v>
      </c>
      <c r="O1311" s="1">
        <v>4345.62</v>
      </c>
      <c r="P1311" s="1" t="s">
        <v>203</v>
      </c>
    </row>
    <row r="1312" spans="1:16">
      <c r="A1312" s="7">
        <v>40142</v>
      </c>
      <c r="B1312" s="1">
        <v>1284</v>
      </c>
      <c r="C1312" s="1" t="s">
        <v>234</v>
      </c>
      <c r="D1312" s="1">
        <v>4</v>
      </c>
      <c r="E1312" s="1">
        <v>482.66</v>
      </c>
      <c r="F1312" s="1">
        <v>23</v>
      </c>
      <c r="G1312" s="1" t="s">
        <v>7</v>
      </c>
      <c r="H1312" s="1">
        <v>0</v>
      </c>
      <c r="K1312" s="1" t="s">
        <v>126</v>
      </c>
      <c r="L1312" s="1" t="s">
        <v>245</v>
      </c>
      <c r="M1312" s="1" t="s">
        <v>246</v>
      </c>
      <c r="N1312" s="1" t="s">
        <v>253</v>
      </c>
      <c r="O1312" s="1">
        <v>2678.62</v>
      </c>
      <c r="P1312" s="1" t="s">
        <v>203</v>
      </c>
    </row>
    <row r="1313" spans="1:16">
      <c r="A1313" s="7">
        <v>40142</v>
      </c>
      <c r="B1313" s="1">
        <v>1530</v>
      </c>
      <c r="C1313" s="1" t="s">
        <v>237</v>
      </c>
      <c r="D1313" s="1">
        <v>4</v>
      </c>
      <c r="E1313" s="1">
        <v>65.25</v>
      </c>
      <c r="F1313" s="1">
        <v>23</v>
      </c>
      <c r="G1313" s="1" t="s">
        <v>52</v>
      </c>
      <c r="H1313" s="1">
        <v>260</v>
      </c>
      <c r="K1313" s="1" t="s">
        <v>85</v>
      </c>
      <c r="L1313" s="1" t="s">
        <v>258</v>
      </c>
      <c r="M1313" s="1" t="s">
        <v>259</v>
      </c>
      <c r="N1313" s="1" t="s">
        <v>253</v>
      </c>
      <c r="O1313" s="1">
        <v>156</v>
      </c>
      <c r="P1313" s="1" t="s">
        <v>203</v>
      </c>
    </row>
    <row r="1314" spans="1:16">
      <c r="A1314" s="7">
        <v>40142</v>
      </c>
      <c r="B1314" s="1">
        <v>1528</v>
      </c>
      <c r="C1314" s="1" t="s">
        <v>237</v>
      </c>
      <c r="D1314" s="1">
        <v>4</v>
      </c>
      <c r="E1314" s="1">
        <v>132</v>
      </c>
      <c r="F1314" s="1">
        <v>23</v>
      </c>
      <c r="G1314" s="1" t="s">
        <v>4</v>
      </c>
      <c r="H1314" s="1">
        <v>261</v>
      </c>
      <c r="K1314" s="1" t="s">
        <v>85</v>
      </c>
      <c r="L1314" s="1" t="s">
        <v>258</v>
      </c>
      <c r="M1314" s="1" t="s">
        <v>259</v>
      </c>
      <c r="N1314" s="1" t="s">
        <v>253</v>
      </c>
      <c r="O1314" s="1">
        <v>124.8</v>
      </c>
      <c r="P1314" s="1" t="s">
        <v>203</v>
      </c>
    </row>
    <row r="1315" spans="1:16">
      <c r="A1315" s="7">
        <v>40142</v>
      </c>
      <c r="B1315" s="1">
        <v>1529</v>
      </c>
      <c r="C1315" s="1" t="s">
        <v>237</v>
      </c>
      <c r="D1315" s="1">
        <v>4</v>
      </c>
      <c r="E1315" s="1">
        <v>36</v>
      </c>
      <c r="F1315" s="1">
        <v>23</v>
      </c>
      <c r="G1315" s="1" t="s">
        <v>57</v>
      </c>
      <c r="H1315" s="1">
        <v>262</v>
      </c>
      <c r="K1315" s="1" t="s">
        <v>107</v>
      </c>
      <c r="L1315" s="1" t="s">
        <v>258</v>
      </c>
      <c r="M1315" s="1" t="s">
        <v>259</v>
      </c>
      <c r="N1315" s="1" t="s">
        <v>253</v>
      </c>
      <c r="O1315" s="1">
        <v>35.979999999999997</v>
      </c>
      <c r="P1315" s="1" t="s">
        <v>203</v>
      </c>
    </row>
    <row r="1316" spans="1:16">
      <c r="A1316" s="7">
        <v>39839</v>
      </c>
      <c r="B1316" s="1">
        <v>49</v>
      </c>
      <c r="C1316" s="1" t="s">
        <v>234</v>
      </c>
      <c r="D1316" s="1">
        <v>4</v>
      </c>
      <c r="E1316" s="1">
        <v>1053.0999999999999</v>
      </c>
      <c r="F1316" s="1">
        <v>23</v>
      </c>
      <c r="G1316" s="1" t="s">
        <v>28</v>
      </c>
      <c r="H1316" s="1">
        <v>1010</v>
      </c>
      <c r="K1316" s="1" t="s">
        <v>102</v>
      </c>
      <c r="L1316" s="1" t="s">
        <v>245</v>
      </c>
      <c r="M1316" s="1" t="s">
        <v>246</v>
      </c>
      <c r="N1316" s="1" t="s">
        <v>253</v>
      </c>
      <c r="O1316" s="1">
        <v>520</v>
      </c>
      <c r="P1316" s="1" t="s">
        <v>203</v>
      </c>
    </row>
    <row r="1317" spans="1:16">
      <c r="A1317" s="7">
        <v>39839</v>
      </c>
      <c r="B1317" s="1">
        <v>50</v>
      </c>
      <c r="C1317" s="1" t="s">
        <v>234</v>
      </c>
      <c r="D1317" s="1">
        <v>1</v>
      </c>
      <c r="E1317" s="1">
        <v>437.44</v>
      </c>
      <c r="F1317" s="1">
        <v>23</v>
      </c>
      <c r="G1317" s="1" t="s">
        <v>28</v>
      </c>
      <c r="H1317" s="1">
        <v>1726</v>
      </c>
      <c r="K1317" s="1" t="s">
        <v>82</v>
      </c>
      <c r="L1317" s="1" t="s">
        <v>245</v>
      </c>
      <c r="M1317" s="1" t="s">
        <v>246</v>
      </c>
      <c r="N1317" s="1" t="s">
        <v>253</v>
      </c>
      <c r="O1317" s="1">
        <v>335.4</v>
      </c>
      <c r="P1317" s="1" t="s">
        <v>203</v>
      </c>
    </row>
    <row r="1318" spans="1:16">
      <c r="A1318" s="7">
        <v>39839</v>
      </c>
      <c r="B1318" s="1">
        <v>52</v>
      </c>
      <c r="C1318" s="1" t="s">
        <v>234</v>
      </c>
      <c r="D1318" s="1">
        <v>2</v>
      </c>
      <c r="E1318" s="1">
        <v>360</v>
      </c>
      <c r="F1318" s="1">
        <v>23</v>
      </c>
      <c r="G1318" s="1" t="s">
        <v>22</v>
      </c>
      <c r="H1318" s="1">
        <v>2001</v>
      </c>
      <c r="K1318" s="1" t="s">
        <v>89</v>
      </c>
      <c r="L1318" s="1" t="s">
        <v>245</v>
      </c>
      <c r="M1318" s="1" t="s">
        <v>246</v>
      </c>
      <c r="N1318" s="1" t="s">
        <v>253</v>
      </c>
      <c r="O1318" s="1">
        <v>128.4</v>
      </c>
      <c r="P1318" s="1" t="s">
        <v>203</v>
      </c>
    </row>
    <row r="1319" spans="1:16">
      <c r="A1319" s="7">
        <v>39839</v>
      </c>
      <c r="B1319" s="1">
        <v>53</v>
      </c>
      <c r="C1319" s="1" t="s">
        <v>234</v>
      </c>
      <c r="D1319" s="1">
        <v>2</v>
      </c>
      <c r="E1319" s="1">
        <v>360</v>
      </c>
      <c r="F1319" s="1">
        <v>23</v>
      </c>
      <c r="G1319" s="1" t="s">
        <v>22</v>
      </c>
      <c r="H1319" s="1">
        <v>1571</v>
      </c>
      <c r="K1319" s="1" t="s">
        <v>110</v>
      </c>
      <c r="L1319" s="1" t="s">
        <v>245</v>
      </c>
      <c r="M1319" s="1" t="s">
        <v>246</v>
      </c>
      <c r="N1319" s="1" t="s">
        <v>253</v>
      </c>
      <c r="O1319" s="1">
        <v>865.36</v>
      </c>
      <c r="P1319" s="1" t="s">
        <v>203</v>
      </c>
    </row>
    <row r="1320" spans="1:16">
      <c r="A1320" s="7">
        <v>39839</v>
      </c>
      <c r="B1320" s="1">
        <v>48</v>
      </c>
      <c r="C1320" s="1" t="s">
        <v>234</v>
      </c>
      <c r="D1320" s="1">
        <v>4</v>
      </c>
      <c r="E1320" s="1">
        <v>150</v>
      </c>
      <c r="F1320" s="1">
        <v>23</v>
      </c>
      <c r="G1320" s="1" t="s">
        <v>41</v>
      </c>
      <c r="H1320" s="1">
        <v>1871</v>
      </c>
      <c r="K1320" s="1" t="s">
        <v>110</v>
      </c>
      <c r="L1320" s="1" t="s">
        <v>245</v>
      </c>
      <c r="M1320" s="1" t="s">
        <v>246</v>
      </c>
      <c r="N1320" s="1" t="s">
        <v>253</v>
      </c>
      <c r="O1320" s="1">
        <v>1189.8699999999999</v>
      </c>
      <c r="P1320" s="1" t="s">
        <v>203</v>
      </c>
    </row>
    <row r="1321" spans="1:16">
      <c r="A1321" s="7">
        <v>39870</v>
      </c>
      <c r="B1321" s="1">
        <v>138</v>
      </c>
      <c r="C1321" s="1" t="s">
        <v>234</v>
      </c>
      <c r="D1321" s="1">
        <v>4</v>
      </c>
      <c r="E1321" s="1">
        <v>1062</v>
      </c>
      <c r="F1321" s="1">
        <v>23</v>
      </c>
      <c r="G1321" s="1" t="s">
        <v>16</v>
      </c>
      <c r="H1321" s="1">
        <v>0</v>
      </c>
      <c r="K1321" s="1" t="s">
        <v>100</v>
      </c>
      <c r="L1321" s="1" t="s">
        <v>245</v>
      </c>
      <c r="M1321" s="1" t="s">
        <v>246</v>
      </c>
      <c r="N1321" s="1" t="s">
        <v>253</v>
      </c>
      <c r="O1321" s="1">
        <v>285</v>
      </c>
      <c r="P1321" s="1" t="s">
        <v>203</v>
      </c>
    </row>
    <row r="1322" spans="1:16">
      <c r="A1322" s="7">
        <v>39870</v>
      </c>
      <c r="B1322" s="1">
        <v>435</v>
      </c>
      <c r="C1322" s="1" t="s">
        <v>234</v>
      </c>
      <c r="D1322" s="1">
        <v>4</v>
      </c>
      <c r="E1322" s="1">
        <v>26.24</v>
      </c>
      <c r="F1322" s="1">
        <v>23</v>
      </c>
      <c r="G1322" s="1" t="s">
        <v>16</v>
      </c>
      <c r="H1322" s="1">
        <v>0</v>
      </c>
      <c r="K1322" s="1" t="s">
        <v>76</v>
      </c>
      <c r="L1322" s="1" t="s">
        <v>245</v>
      </c>
      <c r="M1322" s="1" t="s">
        <v>246</v>
      </c>
      <c r="N1322" s="1" t="s">
        <v>250</v>
      </c>
      <c r="O1322" s="1">
        <v>3665.92</v>
      </c>
      <c r="P1322" s="1" t="s">
        <v>203</v>
      </c>
    </row>
    <row r="1323" spans="1:16">
      <c r="A1323" s="7">
        <v>39870</v>
      </c>
      <c r="B1323" s="1">
        <v>392</v>
      </c>
      <c r="C1323" s="1" t="s">
        <v>234</v>
      </c>
      <c r="D1323" s="1">
        <v>1</v>
      </c>
      <c r="E1323" s="1">
        <v>1034.55</v>
      </c>
      <c r="F1323" s="1">
        <v>23</v>
      </c>
      <c r="G1323" s="1" t="s">
        <v>3</v>
      </c>
      <c r="H1323" s="1">
        <v>1342</v>
      </c>
      <c r="K1323" s="1" t="s">
        <v>76</v>
      </c>
      <c r="L1323" s="1" t="s">
        <v>245</v>
      </c>
      <c r="M1323" s="1" t="s">
        <v>246</v>
      </c>
      <c r="N1323" s="1" t="s">
        <v>250</v>
      </c>
      <c r="O1323" s="1">
        <v>480</v>
      </c>
      <c r="P1323" s="1" t="s">
        <v>203</v>
      </c>
    </row>
    <row r="1324" spans="1:16">
      <c r="A1324" s="7">
        <v>39870</v>
      </c>
      <c r="B1324" s="1">
        <v>432</v>
      </c>
      <c r="C1324" s="1" t="s">
        <v>234</v>
      </c>
      <c r="D1324" s="1">
        <v>4</v>
      </c>
      <c r="E1324" s="1">
        <v>644.89</v>
      </c>
      <c r="F1324" s="1">
        <v>23</v>
      </c>
      <c r="G1324" s="1" t="s">
        <v>29</v>
      </c>
      <c r="H1324" s="1">
        <v>742</v>
      </c>
      <c r="K1324" s="1" t="s">
        <v>76</v>
      </c>
      <c r="L1324" s="1" t="s">
        <v>245</v>
      </c>
      <c r="M1324" s="1" t="s">
        <v>246</v>
      </c>
      <c r="N1324" s="1" t="s">
        <v>250</v>
      </c>
      <c r="O1324" s="1">
        <v>320</v>
      </c>
      <c r="P1324" s="1" t="s">
        <v>203</v>
      </c>
    </row>
    <row r="1325" spans="1:16">
      <c r="A1325" s="7">
        <v>39870</v>
      </c>
      <c r="B1325" s="1">
        <v>436</v>
      </c>
      <c r="C1325" s="1" t="s">
        <v>234</v>
      </c>
      <c r="D1325" s="1">
        <v>4</v>
      </c>
      <c r="E1325" s="1">
        <v>335.44</v>
      </c>
      <c r="F1325" s="1">
        <v>23</v>
      </c>
      <c r="G1325" s="1" t="s">
        <v>29</v>
      </c>
      <c r="H1325" s="1">
        <v>1270</v>
      </c>
      <c r="K1325" s="1" t="s">
        <v>76</v>
      </c>
      <c r="L1325" s="1" t="s">
        <v>245</v>
      </c>
      <c r="M1325" s="1" t="s">
        <v>246</v>
      </c>
      <c r="N1325" s="1" t="s">
        <v>250</v>
      </c>
      <c r="O1325" s="1">
        <v>200</v>
      </c>
      <c r="P1325" s="1" t="s">
        <v>203</v>
      </c>
    </row>
    <row r="1326" spans="1:16">
      <c r="A1326" s="7">
        <v>39870</v>
      </c>
      <c r="B1326" s="1">
        <v>437</v>
      </c>
      <c r="C1326" s="1" t="s">
        <v>234</v>
      </c>
      <c r="D1326" s="1">
        <v>3</v>
      </c>
      <c r="E1326" s="1">
        <v>770.05</v>
      </c>
      <c r="F1326" s="1">
        <v>23</v>
      </c>
      <c r="G1326" s="1" t="s">
        <v>29</v>
      </c>
      <c r="H1326" s="1">
        <v>1663</v>
      </c>
      <c r="K1326" s="1" t="s">
        <v>100</v>
      </c>
      <c r="L1326" s="1" t="s">
        <v>245</v>
      </c>
      <c r="M1326" s="1" t="s">
        <v>246</v>
      </c>
      <c r="N1326" s="1" t="s">
        <v>250</v>
      </c>
      <c r="O1326" s="1">
        <v>220</v>
      </c>
      <c r="P1326" s="1" t="s">
        <v>203</v>
      </c>
    </row>
    <row r="1327" spans="1:16">
      <c r="A1327" s="7">
        <v>39870</v>
      </c>
      <c r="B1327" s="1">
        <v>438</v>
      </c>
      <c r="C1327" s="1" t="s">
        <v>235</v>
      </c>
      <c r="D1327" s="1">
        <v>1</v>
      </c>
      <c r="E1327" s="1">
        <v>207.23</v>
      </c>
      <c r="F1327" s="1">
        <v>23</v>
      </c>
      <c r="G1327" s="1" t="s">
        <v>29</v>
      </c>
      <c r="H1327" s="1">
        <v>1641</v>
      </c>
      <c r="K1327" s="1" t="s">
        <v>76</v>
      </c>
      <c r="L1327" s="1" t="s">
        <v>258</v>
      </c>
      <c r="M1327" s="1" t="s">
        <v>259</v>
      </c>
      <c r="N1327" s="1" t="s">
        <v>253</v>
      </c>
      <c r="O1327" s="1">
        <v>728.1</v>
      </c>
      <c r="P1327" s="1" t="s">
        <v>203</v>
      </c>
    </row>
    <row r="1328" spans="1:16">
      <c r="A1328" s="7">
        <v>39870</v>
      </c>
      <c r="B1328" s="1">
        <v>439</v>
      </c>
      <c r="C1328" s="1" t="s">
        <v>235</v>
      </c>
      <c r="D1328" s="1">
        <v>1</v>
      </c>
      <c r="E1328" s="1">
        <v>414.46</v>
      </c>
      <c r="F1328" s="1">
        <v>23</v>
      </c>
      <c r="G1328" s="1" t="s">
        <v>29</v>
      </c>
      <c r="H1328" s="1">
        <v>139</v>
      </c>
      <c r="K1328" s="1" t="s">
        <v>86</v>
      </c>
      <c r="L1328" s="1" t="s">
        <v>242</v>
      </c>
      <c r="M1328" s="1" t="s">
        <v>243</v>
      </c>
      <c r="N1328" s="1" t="s">
        <v>254</v>
      </c>
      <c r="O1328" s="1">
        <v>23.81</v>
      </c>
      <c r="P1328" s="1" t="s">
        <v>204</v>
      </c>
    </row>
    <row r="1329" spans="1:16">
      <c r="A1329" s="7">
        <v>39870</v>
      </c>
      <c r="B1329" s="1">
        <v>440</v>
      </c>
      <c r="C1329" s="1" t="s">
        <v>234</v>
      </c>
      <c r="D1329" s="1">
        <v>3</v>
      </c>
      <c r="E1329" s="1">
        <v>378.13</v>
      </c>
      <c r="F1329" s="1">
        <v>23</v>
      </c>
      <c r="G1329" s="1" t="s">
        <v>29</v>
      </c>
      <c r="H1329" s="1">
        <v>1440</v>
      </c>
      <c r="K1329" s="1" t="s">
        <v>109</v>
      </c>
      <c r="L1329" s="1" t="s">
        <v>242</v>
      </c>
      <c r="M1329" s="1" t="s">
        <v>243</v>
      </c>
      <c r="N1329" s="1" t="s">
        <v>254</v>
      </c>
      <c r="O1329" s="1">
        <v>7.2</v>
      </c>
      <c r="P1329" s="1" t="s">
        <v>204</v>
      </c>
    </row>
    <row r="1330" spans="1:16">
      <c r="A1330" s="7">
        <v>39870</v>
      </c>
      <c r="B1330" s="1">
        <v>433</v>
      </c>
      <c r="C1330" s="1" t="s">
        <v>234</v>
      </c>
      <c r="D1330" s="1">
        <v>4</v>
      </c>
      <c r="E1330" s="1">
        <v>3200</v>
      </c>
      <c r="F1330" s="1">
        <v>23</v>
      </c>
      <c r="G1330" s="1" t="s">
        <v>27</v>
      </c>
      <c r="H1330" s="1">
        <v>0</v>
      </c>
      <c r="K1330" s="1" t="s">
        <v>88</v>
      </c>
      <c r="L1330" s="1" t="s">
        <v>242</v>
      </c>
      <c r="M1330" s="1" t="s">
        <v>243</v>
      </c>
      <c r="N1330" s="1" t="s">
        <v>254</v>
      </c>
      <c r="O1330" s="1">
        <v>1.4</v>
      </c>
      <c r="P1330" s="1" t="s">
        <v>204</v>
      </c>
    </row>
    <row r="1331" spans="1:16">
      <c r="A1331" s="7">
        <v>39870</v>
      </c>
      <c r="B1331" s="1">
        <v>442</v>
      </c>
      <c r="C1331" s="1" t="s">
        <v>234</v>
      </c>
      <c r="D1331" s="1">
        <v>2</v>
      </c>
      <c r="E1331" s="1">
        <v>75</v>
      </c>
      <c r="F1331" s="1">
        <v>23</v>
      </c>
      <c r="G1331" s="1" t="s">
        <v>21</v>
      </c>
      <c r="H1331" s="1">
        <v>2027</v>
      </c>
      <c r="K1331" s="1" t="s">
        <v>88</v>
      </c>
      <c r="L1331" s="1" t="s">
        <v>242</v>
      </c>
      <c r="M1331" s="1" t="s">
        <v>243</v>
      </c>
      <c r="N1331" s="1" t="s">
        <v>254</v>
      </c>
      <c r="O1331" s="1">
        <v>25.5</v>
      </c>
      <c r="P1331" s="1" t="s">
        <v>204</v>
      </c>
    </row>
    <row r="1332" spans="1:16">
      <c r="A1332" s="7">
        <v>39898</v>
      </c>
      <c r="B1332" s="1">
        <v>105</v>
      </c>
      <c r="C1332" s="1" t="s">
        <v>236</v>
      </c>
      <c r="D1332" s="1">
        <v>2</v>
      </c>
      <c r="E1332" s="1">
        <v>-75</v>
      </c>
      <c r="F1332" s="1">
        <v>23</v>
      </c>
      <c r="G1332" s="1" t="s">
        <v>21</v>
      </c>
      <c r="H1332" s="1">
        <v>1337</v>
      </c>
      <c r="K1332" s="1" t="s">
        <v>76</v>
      </c>
      <c r="L1332" s="1" t="s">
        <v>245</v>
      </c>
      <c r="M1332" s="1" t="s">
        <v>246</v>
      </c>
      <c r="N1332" s="1" t="s">
        <v>250</v>
      </c>
      <c r="O1332" s="1">
        <v>802.5</v>
      </c>
      <c r="P1332" s="1" t="s">
        <v>204</v>
      </c>
    </row>
    <row r="1333" spans="1:16">
      <c r="A1333" s="7">
        <v>39898</v>
      </c>
      <c r="B1333" s="1">
        <v>346</v>
      </c>
      <c r="C1333" s="1" t="s">
        <v>236</v>
      </c>
      <c r="D1333" s="1">
        <v>2</v>
      </c>
      <c r="E1333" s="1">
        <v>-75</v>
      </c>
      <c r="F1333" s="1">
        <v>23</v>
      </c>
      <c r="G1333" s="1" t="s">
        <v>21</v>
      </c>
      <c r="H1333" s="1">
        <v>1338</v>
      </c>
      <c r="K1333" s="1" t="s">
        <v>79</v>
      </c>
      <c r="L1333" s="1" t="s">
        <v>262</v>
      </c>
      <c r="M1333" s="1" t="s">
        <v>263</v>
      </c>
      <c r="N1333" s="1" t="s">
        <v>251</v>
      </c>
      <c r="O1333" s="1">
        <v>4</v>
      </c>
      <c r="P1333" s="1" t="s">
        <v>204</v>
      </c>
    </row>
    <row r="1334" spans="1:16">
      <c r="A1334" s="7">
        <v>39898</v>
      </c>
      <c r="B1334" s="1">
        <v>410</v>
      </c>
      <c r="C1334" s="1" t="s">
        <v>236</v>
      </c>
      <c r="D1334" s="1">
        <v>2</v>
      </c>
      <c r="E1334" s="1">
        <v>-75</v>
      </c>
      <c r="F1334" s="1">
        <v>23</v>
      </c>
      <c r="G1334" s="1" t="s">
        <v>21</v>
      </c>
      <c r="H1334" s="1">
        <v>1368</v>
      </c>
      <c r="K1334" s="1" t="s">
        <v>63</v>
      </c>
      <c r="L1334" s="1" t="s">
        <v>242</v>
      </c>
      <c r="M1334" s="1" t="s">
        <v>243</v>
      </c>
      <c r="N1334" s="1" t="s">
        <v>244</v>
      </c>
      <c r="O1334" s="1">
        <v>23092.82</v>
      </c>
      <c r="P1334" s="1" t="s">
        <v>205</v>
      </c>
    </row>
    <row r="1335" spans="1:16">
      <c r="A1335" s="7">
        <v>39898</v>
      </c>
      <c r="B1335" s="1">
        <v>516</v>
      </c>
      <c r="C1335" s="1" t="s">
        <v>234</v>
      </c>
      <c r="D1335" s="1">
        <v>3</v>
      </c>
      <c r="E1335" s="1">
        <v>3500</v>
      </c>
      <c r="F1335" s="1">
        <v>23</v>
      </c>
      <c r="G1335" s="1" t="s">
        <v>60</v>
      </c>
      <c r="H1335" s="1">
        <v>0</v>
      </c>
      <c r="K1335" s="1" t="s">
        <v>63</v>
      </c>
      <c r="L1335" s="1" t="s">
        <v>242</v>
      </c>
      <c r="M1335" s="1" t="s">
        <v>243</v>
      </c>
      <c r="N1335" s="1" t="s">
        <v>244</v>
      </c>
      <c r="O1335" s="1">
        <v>12542.64</v>
      </c>
      <c r="P1335" s="1" t="s">
        <v>205</v>
      </c>
    </row>
    <row r="1336" spans="1:16">
      <c r="A1336" s="7">
        <v>39990</v>
      </c>
      <c r="B1336" s="1">
        <v>607</v>
      </c>
      <c r="C1336" s="1" t="s">
        <v>235</v>
      </c>
      <c r="D1336" s="1">
        <v>1</v>
      </c>
      <c r="E1336" s="1">
        <v>58.5</v>
      </c>
      <c r="F1336" s="1">
        <v>23</v>
      </c>
      <c r="G1336" s="1" t="s">
        <v>29</v>
      </c>
      <c r="H1336" s="1">
        <v>613</v>
      </c>
      <c r="K1336" s="1" t="s">
        <v>63</v>
      </c>
      <c r="L1336" s="1" t="s">
        <v>242</v>
      </c>
      <c r="M1336" s="1" t="s">
        <v>243</v>
      </c>
      <c r="N1336" s="1" t="s">
        <v>244</v>
      </c>
      <c r="O1336" s="1">
        <v>-1043.46</v>
      </c>
      <c r="P1336" s="1" t="s">
        <v>205</v>
      </c>
    </row>
    <row r="1337" spans="1:16">
      <c r="A1337" s="7">
        <v>40112</v>
      </c>
      <c r="B1337" s="1">
        <v>1481</v>
      </c>
      <c r="C1337" s="1" t="s">
        <v>235</v>
      </c>
      <c r="D1337" s="1">
        <v>4</v>
      </c>
      <c r="E1337" s="1">
        <v>250.8</v>
      </c>
      <c r="F1337" s="1">
        <v>23</v>
      </c>
      <c r="G1337" s="1" t="s">
        <v>3</v>
      </c>
      <c r="H1337" s="1">
        <v>1340</v>
      </c>
      <c r="K1337" s="1" t="s">
        <v>63</v>
      </c>
      <c r="L1337" s="1" t="s">
        <v>242</v>
      </c>
      <c r="M1337" s="1" t="s">
        <v>243</v>
      </c>
      <c r="N1337" s="1" t="s">
        <v>244</v>
      </c>
      <c r="O1337" s="1">
        <v>31586.1</v>
      </c>
      <c r="P1337" s="1" t="s">
        <v>205</v>
      </c>
    </row>
    <row r="1338" spans="1:16">
      <c r="A1338" s="7">
        <v>40112</v>
      </c>
      <c r="B1338" s="1">
        <v>1486</v>
      </c>
      <c r="C1338" s="1" t="s">
        <v>235</v>
      </c>
      <c r="D1338" s="1">
        <v>1</v>
      </c>
      <c r="E1338" s="1">
        <v>4.5</v>
      </c>
      <c r="F1338" s="1">
        <v>23</v>
      </c>
      <c r="G1338" s="1" t="s">
        <v>37</v>
      </c>
      <c r="H1338" s="1">
        <v>717</v>
      </c>
      <c r="K1338" s="1" t="s">
        <v>63</v>
      </c>
      <c r="L1338" s="1" t="s">
        <v>242</v>
      </c>
      <c r="M1338" s="1" t="s">
        <v>243</v>
      </c>
      <c r="N1338" s="1" t="s">
        <v>244</v>
      </c>
      <c r="O1338" s="1">
        <v>10308.07</v>
      </c>
      <c r="P1338" s="1" t="s">
        <v>205</v>
      </c>
    </row>
    <row r="1339" spans="1:16">
      <c r="A1339" s="7">
        <v>39840</v>
      </c>
      <c r="B1339" s="1">
        <v>56</v>
      </c>
      <c r="C1339" s="1" t="s">
        <v>235</v>
      </c>
      <c r="D1339" s="1">
        <v>4</v>
      </c>
      <c r="E1339" s="1">
        <v>590</v>
      </c>
      <c r="F1339" s="1">
        <v>23</v>
      </c>
      <c r="G1339" s="1" t="s">
        <v>12</v>
      </c>
      <c r="H1339" s="1">
        <v>401</v>
      </c>
      <c r="K1339" s="1" t="s">
        <v>65</v>
      </c>
      <c r="L1339" s="1" t="s">
        <v>242</v>
      </c>
      <c r="M1339" s="1" t="s">
        <v>243</v>
      </c>
      <c r="N1339" s="1" t="s">
        <v>244</v>
      </c>
      <c r="O1339" s="1">
        <v>9221.1200000000008</v>
      </c>
      <c r="P1339" s="1" t="s">
        <v>205</v>
      </c>
    </row>
    <row r="1340" spans="1:16">
      <c r="A1340" s="7">
        <v>39840</v>
      </c>
      <c r="B1340" s="1">
        <v>55</v>
      </c>
      <c r="C1340" s="1" t="s">
        <v>235</v>
      </c>
      <c r="D1340" s="1">
        <v>1</v>
      </c>
      <c r="E1340" s="1">
        <v>266.5</v>
      </c>
      <c r="F1340" s="1">
        <v>23</v>
      </c>
      <c r="G1340" s="1" t="s">
        <v>28</v>
      </c>
      <c r="H1340" s="1">
        <v>1763</v>
      </c>
      <c r="K1340" s="1" t="s">
        <v>66</v>
      </c>
      <c r="L1340" s="1" t="s">
        <v>242</v>
      </c>
      <c r="M1340" s="1" t="s">
        <v>243</v>
      </c>
      <c r="N1340" s="1" t="s">
        <v>244</v>
      </c>
      <c r="O1340" s="1">
        <v>7155.74</v>
      </c>
      <c r="P1340" s="1" t="s">
        <v>205</v>
      </c>
    </row>
    <row r="1341" spans="1:16">
      <c r="A1341" s="7">
        <v>39840</v>
      </c>
      <c r="B1341" s="1">
        <v>51</v>
      </c>
      <c r="C1341" s="1" t="s">
        <v>234</v>
      </c>
      <c r="D1341" s="1">
        <v>2</v>
      </c>
      <c r="E1341" s="1">
        <v>75</v>
      </c>
      <c r="F1341" s="1">
        <v>23</v>
      </c>
      <c r="G1341" s="1" t="s">
        <v>21</v>
      </c>
      <c r="H1341" s="1">
        <v>1589</v>
      </c>
      <c r="K1341" s="1" t="s">
        <v>66</v>
      </c>
      <c r="L1341" s="1" t="s">
        <v>242</v>
      </c>
      <c r="M1341" s="1" t="s">
        <v>243</v>
      </c>
      <c r="N1341" s="1" t="s">
        <v>244</v>
      </c>
      <c r="O1341" s="1">
        <v>9897.6299999999992</v>
      </c>
      <c r="P1341" s="1" t="s">
        <v>205</v>
      </c>
    </row>
    <row r="1342" spans="1:16">
      <c r="A1342" s="7">
        <v>39840</v>
      </c>
      <c r="B1342" s="1">
        <v>54</v>
      </c>
      <c r="C1342" s="1" t="s">
        <v>234</v>
      </c>
      <c r="D1342" s="1">
        <v>4</v>
      </c>
      <c r="E1342" s="1">
        <v>150</v>
      </c>
      <c r="F1342" s="1">
        <v>23</v>
      </c>
      <c r="G1342" s="1" t="s">
        <v>41</v>
      </c>
      <c r="H1342" s="1">
        <v>2002</v>
      </c>
      <c r="K1342" s="1" t="s">
        <v>66</v>
      </c>
      <c r="L1342" s="1" t="s">
        <v>242</v>
      </c>
      <c r="M1342" s="1" t="s">
        <v>243</v>
      </c>
      <c r="N1342" s="1" t="s">
        <v>244</v>
      </c>
      <c r="O1342" s="1">
        <v>9941.51</v>
      </c>
      <c r="P1342" s="1" t="s">
        <v>205</v>
      </c>
    </row>
    <row r="1343" spans="1:16">
      <c r="A1343" s="7">
        <v>40205</v>
      </c>
      <c r="B1343" s="1">
        <v>1263</v>
      </c>
      <c r="C1343" s="1" t="s">
        <v>234</v>
      </c>
      <c r="D1343" s="1">
        <v>2</v>
      </c>
      <c r="E1343" s="1">
        <v>244.88</v>
      </c>
      <c r="F1343" s="1">
        <v>23</v>
      </c>
      <c r="G1343" s="1" t="s">
        <v>7</v>
      </c>
      <c r="H1343" s="1">
        <v>2142</v>
      </c>
      <c r="K1343" s="1" t="s">
        <v>66</v>
      </c>
      <c r="L1343" s="1" t="s">
        <v>242</v>
      </c>
      <c r="M1343" s="1" t="s">
        <v>243</v>
      </c>
      <c r="N1343" s="1" t="s">
        <v>244</v>
      </c>
      <c r="O1343" s="1">
        <v>375.68</v>
      </c>
      <c r="P1343" s="1" t="s">
        <v>205</v>
      </c>
    </row>
    <row r="1344" spans="1:16">
      <c r="A1344" s="7">
        <v>40205</v>
      </c>
      <c r="B1344" s="1">
        <v>1283</v>
      </c>
      <c r="C1344" s="1" t="s">
        <v>234</v>
      </c>
      <c r="D1344" s="1">
        <v>2</v>
      </c>
      <c r="E1344" s="1">
        <v>244.87</v>
      </c>
      <c r="F1344" s="1">
        <v>23</v>
      </c>
      <c r="G1344" s="1" t="s">
        <v>7</v>
      </c>
      <c r="H1344" s="1">
        <v>2142</v>
      </c>
      <c r="K1344" s="1" t="s">
        <v>67</v>
      </c>
      <c r="L1344" s="1" t="s">
        <v>242</v>
      </c>
      <c r="M1344" s="1" t="s">
        <v>243</v>
      </c>
      <c r="N1344" s="1" t="s">
        <v>244</v>
      </c>
      <c r="O1344" s="1">
        <v>1885.47</v>
      </c>
      <c r="P1344" s="1" t="s">
        <v>205</v>
      </c>
    </row>
    <row r="1345" spans="1:16">
      <c r="A1345" s="7">
        <v>39871</v>
      </c>
      <c r="B1345" s="1">
        <v>445</v>
      </c>
      <c r="C1345" s="1" t="s">
        <v>239</v>
      </c>
      <c r="D1345" s="1">
        <v>99</v>
      </c>
      <c r="E1345" s="1">
        <v>85.4</v>
      </c>
      <c r="F1345" s="1">
        <v>23</v>
      </c>
      <c r="G1345" s="1" t="s">
        <v>16</v>
      </c>
      <c r="H1345" s="1">
        <v>0</v>
      </c>
      <c r="K1345" s="1" t="s">
        <v>67</v>
      </c>
      <c r="L1345" s="1" t="s">
        <v>242</v>
      </c>
      <c r="M1345" s="1" t="s">
        <v>243</v>
      </c>
      <c r="N1345" s="1" t="s">
        <v>244</v>
      </c>
      <c r="O1345" s="1">
        <v>1052.69</v>
      </c>
      <c r="P1345" s="1" t="s">
        <v>205</v>
      </c>
    </row>
    <row r="1346" spans="1:16">
      <c r="A1346" s="7">
        <v>39871</v>
      </c>
      <c r="B1346" s="1">
        <v>389</v>
      </c>
      <c r="C1346" s="1" t="s">
        <v>234</v>
      </c>
      <c r="D1346" s="1">
        <v>1</v>
      </c>
      <c r="E1346" s="1">
        <v>651.51</v>
      </c>
      <c r="F1346" s="1">
        <v>23</v>
      </c>
      <c r="G1346" s="1" t="s">
        <v>28</v>
      </c>
      <c r="H1346" s="1">
        <v>355</v>
      </c>
      <c r="K1346" s="1" t="s">
        <v>67</v>
      </c>
      <c r="L1346" s="1" t="s">
        <v>242</v>
      </c>
      <c r="M1346" s="1" t="s">
        <v>243</v>
      </c>
      <c r="N1346" s="1" t="s">
        <v>244</v>
      </c>
      <c r="O1346" s="1">
        <v>-44.98</v>
      </c>
      <c r="P1346" s="1" t="s">
        <v>205</v>
      </c>
    </row>
    <row r="1347" spans="1:16">
      <c r="A1347" s="7">
        <v>39871</v>
      </c>
      <c r="B1347" s="1">
        <v>441</v>
      </c>
      <c r="C1347" s="1" t="s">
        <v>234</v>
      </c>
      <c r="D1347" s="1">
        <v>2</v>
      </c>
      <c r="E1347" s="1">
        <v>467.14</v>
      </c>
      <c r="F1347" s="1">
        <v>23</v>
      </c>
      <c r="G1347" s="1" t="s">
        <v>29</v>
      </c>
      <c r="H1347" s="1">
        <v>116</v>
      </c>
      <c r="K1347" s="1" t="s">
        <v>67</v>
      </c>
      <c r="L1347" s="1" t="s">
        <v>242</v>
      </c>
      <c r="M1347" s="1" t="s">
        <v>243</v>
      </c>
      <c r="N1347" s="1" t="s">
        <v>244</v>
      </c>
      <c r="O1347" s="1">
        <v>4241.6499999999996</v>
      </c>
      <c r="P1347" s="1" t="s">
        <v>205</v>
      </c>
    </row>
    <row r="1348" spans="1:16">
      <c r="A1348" s="7">
        <v>39871</v>
      </c>
      <c r="B1348" s="1">
        <v>444</v>
      </c>
      <c r="C1348" s="1" t="s">
        <v>234</v>
      </c>
      <c r="D1348" s="1">
        <v>3</v>
      </c>
      <c r="E1348" s="1">
        <v>202.78</v>
      </c>
      <c r="F1348" s="1">
        <v>23</v>
      </c>
      <c r="G1348" s="1" t="s">
        <v>29</v>
      </c>
      <c r="H1348" s="1">
        <v>89</v>
      </c>
      <c r="K1348" s="1" t="s">
        <v>67</v>
      </c>
      <c r="L1348" s="1" t="s">
        <v>242</v>
      </c>
      <c r="M1348" s="1" t="s">
        <v>243</v>
      </c>
      <c r="N1348" s="1" t="s">
        <v>244</v>
      </c>
      <c r="O1348" s="1">
        <v>466.9</v>
      </c>
      <c r="P1348" s="1" t="s">
        <v>205</v>
      </c>
    </row>
    <row r="1349" spans="1:16">
      <c r="A1349" s="7">
        <v>39871</v>
      </c>
      <c r="B1349" s="1">
        <v>446</v>
      </c>
      <c r="C1349" s="1" t="s">
        <v>235</v>
      </c>
      <c r="D1349" s="1">
        <v>1</v>
      </c>
      <c r="E1349" s="1">
        <v>755.73</v>
      </c>
      <c r="F1349" s="1">
        <v>23</v>
      </c>
      <c r="G1349" s="1" t="s">
        <v>29</v>
      </c>
      <c r="H1349" s="1">
        <v>1391</v>
      </c>
      <c r="K1349" s="1" t="s">
        <v>68</v>
      </c>
      <c r="L1349" s="1" t="s">
        <v>242</v>
      </c>
      <c r="M1349" s="1" t="s">
        <v>243</v>
      </c>
      <c r="N1349" s="1" t="s">
        <v>244</v>
      </c>
      <c r="O1349" s="1">
        <v>3247.28</v>
      </c>
      <c r="P1349" s="1" t="s">
        <v>205</v>
      </c>
    </row>
    <row r="1350" spans="1:16">
      <c r="A1350" s="7">
        <v>39871</v>
      </c>
      <c r="B1350" s="1">
        <v>447</v>
      </c>
      <c r="C1350" s="1" t="s">
        <v>234</v>
      </c>
      <c r="D1350" s="1">
        <v>4</v>
      </c>
      <c r="E1350" s="1">
        <v>950</v>
      </c>
      <c r="F1350" s="1">
        <v>23</v>
      </c>
      <c r="G1350" s="1" t="s">
        <v>29</v>
      </c>
      <c r="H1350" s="1">
        <v>354</v>
      </c>
      <c r="K1350" s="1" t="s">
        <v>68</v>
      </c>
      <c r="L1350" s="1" t="s">
        <v>242</v>
      </c>
      <c r="M1350" s="1" t="s">
        <v>243</v>
      </c>
      <c r="N1350" s="1" t="s">
        <v>244</v>
      </c>
      <c r="O1350" s="1">
        <v>1625.93</v>
      </c>
      <c r="P1350" s="1" t="s">
        <v>205</v>
      </c>
    </row>
    <row r="1351" spans="1:16">
      <c r="A1351" s="7">
        <v>39871</v>
      </c>
      <c r="B1351" s="1">
        <v>449</v>
      </c>
      <c r="C1351" s="1" t="s">
        <v>235</v>
      </c>
      <c r="D1351" s="1">
        <v>1</v>
      </c>
      <c r="E1351" s="1">
        <v>216.91</v>
      </c>
      <c r="F1351" s="1">
        <v>23</v>
      </c>
      <c r="G1351" s="1" t="s">
        <v>29</v>
      </c>
      <c r="H1351" s="1">
        <v>1508</v>
      </c>
      <c r="K1351" s="1" t="s">
        <v>68</v>
      </c>
      <c r="L1351" s="1" t="s">
        <v>242</v>
      </c>
      <c r="M1351" s="1" t="s">
        <v>243</v>
      </c>
      <c r="N1351" s="1" t="s">
        <v>244</v>
      </c>
      <c r="O1351" s="1">
        <v>4657.72</v>
      </c>
      <c r="P1351" s="1" t="s">
        <v>205</v>
      </c>
    </row>
    <row r="1352" spans="1:16">
      <c r="A1352" s="7">
        <v>39871</v>
      </c>
      <c r="B1352" s="1">
        <v>450</v>
      </c>
      <c r="C1352" s="1" t="s">
        <v>234</v>
      </c>
      <c r="D1352" s="1">
        <v>4</v>
      </c>
      <c r="E1352" s="1">
        <v>514.82000000000005</v>
      </c>
      <c r="F1352" s="1">
        <v>23</v>
      </c>
      <c r="G1352" s="1" t="s">
        <v>29</v>
      </c>
      <c r="H1352" s="1">
        <v>1277</v>
      </c>
      <c r="K1352" s="1" t="s">
        <v>68</v>
      </c>
      <c r="L1352" s="1" t="s">
        <v>242</v>
      </c>
      <c r="M1352" s="1" t="s">
        <v>243</v>
      </c>
      <c r="N1352" s="1" t="s">
        <v>244</v>
      </c>
      <c r="O1352" s="1">
        <v>1400.79</v>
      </c>
      <c r="P1352" s="1" t="s">
        <v>205</v>
      </c>
    </row>
    <row r="1353" spans="1:16">
      <c r="A1353" s="7">
        <v>39871</v>
      </c>
      <c r="B1353" s="1">
        <v>451</v>
      </c>
      <c r="C1353" s="1" t="s">
        <v>234</v>
      </c>
      <c r="D1353" s="1">
        <v>4</v>
      </c>
      <c r="E1353" s="1">
        <v>202.78</v>
      </c>
      <c r="F1353" s="1">
        <v>23</v>
      </c>
      <c r="G1353" s="1" t="s">
        <v>29</v>
      </c>
      <c r="H1353" s="1">
        <v>92</v>
      </c>
      <c r="K1353" s="1" t="s">
        <v>69</v>
      </c>
      <c r="L1353" s="1" t="s">
        <v>242</v>
      </c>
      <c r="M1353" s="1" t="s">
        <v>243</v>
      </c>
      <c r="N1353" s="1" t="s">
        <v>244</v>
      </c>
      <c r="O1353" s="1">
        <v>1198.77</v>
      </c>
      <c r="P1353" s="1" t="s">
        <v>205</v>
      </c>
    </row>
    <row r="1354" spans="1:16">
      <c r="A1354" s="7">
        <v>39871</v>
      </c>
      <c r="B1354" s="1">
        <v>453</v>
      </c>
      <c r="C1354" s="1" t="s">
        <v>234</v>
      </c>
      <c r="D1354" s="1">
        <v>3</v>
      </c>
      <c r="E1354" s="1">
        <v>258.73</v>
      </c>
      <c r="F1354" s="1">
        <v>23</v>
      </c>
      <c r="G1354" s="1" t="s">
        <v>29</v>
      </c>
      <c r="H1354" s="1">
        <v>140</v>
      </c>
      <c r="K1354" s="1" t="s">
        <v>70</v>
      </c>
      <c r="L1354" s="1" t="s">
        <v>242</v>
      </c>
      <c r="M1354" s="1" t="s">
        <v>243</v>
      </c>
      <c r="N1354" s="1" t="s">
        <v>244</v>
      </c>
      <c r="O1354" s="1">
        <v>930.32</v>
      </c>
      <c r="P1354" s="1" t="s">
        <v>205</v>
      </c>
    </row>
    <row r="1355" spans="1:16">
      <c r="A1355" s="7">
        <v>39871</v>
      </c>
      <c r="B1355" s="1">
        <v>448</v>
      </c>
      <c r="C1355" s="1" t="s">
        <v>234</v>
      </c>
      <c r="D1355" s="1">
        <v>1</v>
      </c>
      <c r="E1355" s="1">
        <v>144.4</v>
      </c>
      <c r="F1355" s="1">
        <v>23</v>
      </c>
      <c r="G1355" s="1" t="s">
        <v>30</v>
      </c>
      <c r="H1355" s="1">
        <v>0</v>
      </c>
      <c r="K1355" s="1" t="s">
        <v>70</v>
      </c>
      <c r="L1355" s="1" t="s">
        <v>242</v>
      </c>
      <c r="M1355" s="1" t="s">
        <v>243</v>
      </c>
      <c r="N1355" s="1" t="s">
        <v>244</v>
      </c>
      <c r="O1355" s="1">
        <v>1286.73</v>
      </c>
      <c r="P1355" s="1" t="s">
        <v>205</v>
      </c>
    </row>
    <row r="1356" spans="1:16">
      <c r="A1356" s="7">
        <v>39871</v>
      </c>
      <c r="B1356" s="1">
        <v>452</v>
      </c>
      <c r="C1356" s="1" t="s">
        <v>234</v>
      </c>
      <c r="D1356" s="1">
        <v>4</v>
      </c>
      <c r="E1356" s="1">
        <v>111.9</v>
      </c>
      <c r="F1356" s="1">
        <v>23</v>
      </c>
      <c r="G1356" s="1" t="s">
        <v>30</v>
      </c>
      <c r="H1356" s="1">
        <v>0</v>
      </c>
      <c r="K1356" s="1" t="s">
        <v>70</v>
      </c>
      <c r="L1356" s="1" t="s">
        <v>242</v>
      </c>
      <c r="M1356" s="1" t="s">
        <v>243</v>
      </c>
      <c r="N1356" s="1" t="s">
        <v>244</v>
      </c>
      <c r="O1356" s="1">
        <v>1292.46</v>
      </c>
      <c r="P1356" s="1" t="s">
        <v>205</v>
      </c>
    </row>
    <row r="1357" spans="1:16">
      <c r="A1357" s="7">
        <v>39871</v>
      </c>
      <c r="B1357" s="1">
        <v>443</v>
      </c>
      <c r="C1357" s="1" t="s">
        <v>234</v>
      </c>
      <c r="D1357" s="1">
        <v>2</v>
      </c>
      <c r="E1357" s="1">
        <v>75</v>
      </c>
      <c r="F1357" s="1">
        <v>23</v>
      </c>
      <c r="G1357" s="1" t="s">
        <v>21</v>
      </c>
      <c r="H1357" s="1">
        <v>2028</v>
      </c>
      <c r="K1357" s="1" t="s">
        <v>70</v>
      </c>
      <c r="L1357" s="1" t="s">
        <v>242</v>
      </c>
      <c r="M1357" s="1" t="s">
        <v>243</v>
      </c>
      <c r="N1357" s="1" t="s">
        <v>244</v>
      </c>
      <c r="O1357" s="1">
        <v>48.84</v>
      </c>
      <c r="P1357" s="1" t="s">
        <v>205</v>
      </c>
    </row>
    <row r="1358" spans="1:16">
      <c r="A1358" s="7">
        <v>39899</v>
      </c>
      <c r="B1358" s="1">
        <v>519</v>
      </c>
      <c r="C1358" s="1" t="s">
        <v>234</v>
      </c>
      <c r="D1358" s="1">
        <v>1</v>
      </c>
      <c r="E1358" s="1">
        <v>34</v>
      </c>
      <c r="F1358" s="1">
        <v>23</v>
      </c>
      <c r="G1358" s="1" t="s">
        <v>32</v>
      </c>
      <c r="H1358" s="1">
        <v>2007</v>
      </c>
      <c r="K1358" s="1" t="s">
        <v>71</v>
      </c>
      <c r="L1358" s="1" t="s">
        <v>242</v>
      </c>
      <c r="M1358" s="1" t="s">
        <v>243</v>
      </c>
      <c r="N1358" s="1" t="s">
        <v>244</v>
      </c>
      <c r="O1358" s="1">
        <v>341.94</v>
      </c>
      <c r="P1358" s="1" t="s">
        <v>205</v>
      </c>
    </row>
    <row r="1359" spans="1:16">
      <c r="A1359" s="7">
        <v>39930</v>
      </c>
      <c r="B1359" s="1">
        <v>550</v>
      </c>
      <c r="C1359" s="1" t="s">
        <v>234</v>
      </c>
      <c r="D1359" s="1">
        <v>3</v>
      </c>
      <c r="E1359" s="1">
        <v>200</v>
      </c>
      <c r="F1359" s="1">
        <v>23</v>
      </c>
      <c r="G1359" s="1" t="s">
        <v>35</v>
      </c>
      <c r="H1359" s="1">
        <v>1645</v>
      </c>
      <c r="K1359" s="1" t="s">
        <v>71</v>
      </c>
      <c r="L1359" s="1" t="s">
        <v>242</v>
      </c>
      <c r="M1359" s="1" t="s">
        <v>243</v>
      </c>
      <c r="N1359" s="1" t="s">
        <v>244</v>
      </c>
      <c r="O1359" s="1">
        <v>125.04</v>
      </c>
      <c r="P1359" s="1" t="s">
        <v>205</v>
      </c>
    </row>
    <row r="1360" spans="1:16">
      <c r="A1360" s="7">
        <v>40021</v>
      </c>
      <c r="B1360" s="1">
        <v>828</v>
      </c>
      <c r="C1360" s="1" t="s">
        <v>234</v>
      </c>
      <c r="D1360" s="1">
        <v>1</v>
      </c>
      <c r="E1360" s="1">
        <v>401.29</v>
      </c>
      <c r="F1360" s="1">
        <v>23</v>
      </c>
      <c r="G1360" s="1" t="s">
        <v>6</v>
      </c>
      <c r="H1360" s="1">
        <v>345</v>
      </c>
      <c r="K1360" s="1" t="s">
        <v>71</v>
      </c>
      <c r="L1360" s="1" t="s">
        <v>242</v>
      </c>
      <c r="M1360" s="1" t="s">
        <v>243</v>
      </c>
      <c r="N1360" s="1" t="s">
        <v>244</v>
      </c>
      <c r="O1360" s="1">
        <v>358.23</v>
      </c>
      <c r="P1360" s="1" t="s">
        <v>205</v>
      </c>
    </row>
    <row r="1361" spans="1:16">
      <c r="A1361" s="7">
        <v>40021</v>
      </c>
      <c r="B1361" s="1">
        <v>834</v>
      </c>
      <c r="C1361" s="1" t="s">
        <v>234</v>
      </c>
      <c r="D1361" s="1">
        <v>4</v>
      </c>
      <c r="E1361" s="1">
        <v>414.46</v>
      </c>
      <c r="F1361" s="1">
        <v>23</v>
      </c>
      <c r="G1361" s="1" t="s">
        <v>6</v>
      </c>
      <c r="H1361" s="1">
        <v>1809</v>
      </c>
      <c r="K1361" s="1" t="s">
        <v>71</v>
      </c>
      <c r="L1361" s="1" t="s">
        <v>242</v>
      </c>
      <c r="M1361" s="1" t="s">
        <v>243</v>
      </c>
      <c r="N1361" s="1" t="s">
        <v>244</v>
      </c>
      <c r="O1361" s="1">
        <v>107.72</v>
      </c>
      <c r="P1361" s="1" t="s">
        <v>205</v>
      </c>
    </row>
    <row r="1362" spans="1:16">
      <c r="A1362" s="7">
        <v>40113</v>
      </c>
      <c r="B1362" s="1">
        <v>1265</v>
      </c>
      <c r="C1362" s="1" t="s">
        <v>234</v>
      </c>
      <c r="D1362" s="1">
        <v>4</v>
      </c>
      <c r="E1362" s="1">
        <v>489.75</v>
      </c>
      <c r="F1362" s="1">
        <v>23</v>
      </c>
      <c r="G1362" s="1" t="s">
        <v>7</v>
      </c>
      <c r="H1362" s="1">
        <v>2143</v>
      </c>
      <c r="K1362" s="1" t="s">
        <v>169</v>
      </c>
      <c r="L1362" s="1" t="s">
        <v>242</v>
      </c>
      <c r="M1362" s="1" t="s">
        <v>243</v>
      </c>
      <c r="N1362" s="1" t="s">
        <v>244</v>
      </c>
      <c r="O1362" s="1">
        <v>582.58000000000004</v>
      </c>
      <c r="P1362" s="1" t="s">
        <v>205</v>
      </c>
    </row>
    <row r="1363" spans="1:16">
      <c r="A1363" s="7">
        <v>40144</v>
      </c>
      <c r="B1363" s="1">
        <v>1285</v>
      </c>
      <c r="C1363" s="1" t="s">
        <v>234</v>
      </c>
      <c r="D1363" s="1">
        <v>4</v>
      </c>
      <c r="E1363" s="1">
        <v>489.75</v>
      </c>
      <c r="F1363" s="1">
        <v>23</v>
      </c>
      <c r="G1363" s="1" t="s">
        <v>7</v>
      </c>
      <c r="H1363" s="1">
        <v>2143</v>
      </c>
      <c r="K1363" s="1" t="s">
        <v>90</v>
      </c>
      <c r="L1363" s="1" t="s">
        <v>245</v>
      </c>
      <c r="M1363" s="1" t="s">
        <v>246</v>
      </c>
      <c r="N1363" s="1" t="s">
        <v>255</v>
      </c>
      <c r="O1363" s="1">
        <v>442.1</v>
      </c>
      <c r="P1363" s="1" t="s">
        <v>206</v>
      </c>
    </row>
    <row r="1364" spans="1:16">
      <c r="A1364" s="7">
        <v>40144</v>
      </c>
      <c r="B1364" s="1">
        <v>1289</v>
      </c>
      <c r="C1364" s="1" t="s">
        <v>234</v>
      </c>
      <c r="D1364" s="1">
        <v>1</v>
      </c>
      <c r="E1364" s="1">
        <v>489.75</v>
      </c>
      <c r="F1364" s="1">
        <v>23</v>
      </c>
      <c r="G1364" s="1" t="s">
        <v>7</v>
      </c>
      <c r="H1364" s="1">
        <v>0</v>
      </c>
      <c r="K1364" s="1" t="s">
        <v>92</v>
      </c>
      <c r="L1364" s="1" t="s">
        <v>245</v>
      </c>
      <c r="M1364" s="1" t="s">
        <v>246</v>
      </c>
      <c r="N1364" s="1" t="s">
        <v>255</v>
      </c>
      <c r="O1364" s="1">
        <v>4125.25</v>
      </c>
      <c r="P1364" s="1" t="s">
        <v>206</v>
      </c>
    </row>
    <row r="1365" spans="1:16">
      <c r="A1365" s="7">
        <v>40144</v>
      </c>
      <c r="B1365" s="1">
        <v>1367</v>
      </c>
      <c r="C1365" s="1" t="s">
        <v>234</v>
      </c>
      <c r="D1365" s="1">
        <v>4</v>
      </c>
      <c r="E1365" s="1">
        <v>489.75</v>
      </c>
      <c r="F1365" s="1">
        <v>23</v>
      </c>
      <c r="G1365" s="1" t="s">
        <v>9</v>
      </c>
      <c r="H1365" s="1">
        <v>0</v>
      </c>
      <c r="K1365" s="1" t="s">
        <v>94</v>
      </c>
      <c r="L1365" s="1" t="s">
        <v>245</v>
      </c>
      <c r="M1365" s="1" t="s">
        <v>246</v>
      </c>
      <c r="N1365" s="1" t="s">
        <v>255</v>
      </c>
      <c r="O1365" s="1">
        <v>978.9</v>
      </c>
      <c r="P1365" s="1" t="s">
        <v>207</v>
      </c>
    </row>
    <row r="1366" spans="1:16">
      <c r="A1366" s="7">
        <v>40144</v>
      </c>
      <c r="B1366" s="1">
        <v>1370</v>
      </c>
      <c r="C1366" s="1" t="s">
        <v>234</v>
      </c>
      <c r="D1366" s="1">
        <v>4</v>
      </c>
      <c r="E1366" s="1">
        <v>489.75</v>
      </c>
      <c r="F1366" s="1">
        <v>23</v>
      </c>
      <c r="G1366" s="1" t="s">
        <v>9</v>
      </c>
      <c r="H1366" s="1">
        <v>1496</v>
      </c>
      <c r="K1366" s="1" t="s">
        <v>90</v>
      </c>
      <c r="L1366" s="1" t="s">
        <v>245</v>
      </c>
      <c r="M1366" s="1" t="s">
        <v>246</v>
      </c>
      <c r="N1366" s="1" t="s">
        <v>255</v>
      </c>
      <c r="O1366" s="1">
        <v>312.13</v>
      </c>
      <c r="P1366" s="1" t="s">
        <v>208</v>
      </c>
    </row>
    <row r="1367" spans="1:16">
      <c r="A1367" s="7">
        <v>40144</v>
      </c>
      <c r="B1367" s="1">
        <v>1522</v>
      </c>
      <c r="C1367" s="1" t="s">
        <v>235</v>
      </c>
      <c r="D1367" s="1">
        <v>3</v>
      </c>
      <c r="E1367" s="1">
        <v>102</v>
      </c>
      <c r="F1367" s="1">
        <v>23</v>
      </c>
      <c r="G1367" s="1" t="s">
        <v>11</v>
      </c>
      <c r="H1367" s="1">
        <v>1827</v>
      </c>
      <c r="K1367" s="1" t="s">
        <v>100</v>
      </c>
      <c r="L1367" s="1" t="s">
        <v>245</v>
      </c>
      <c r="M1367" s="1" t="s">
        <v>246</v>
      </c>
      <c r="N1367" s="1" t="s">
        <v>252</v>
      </c>
      <c r="O1367" s="1">
        <v>216.75</v>
      </c>
      <c r="P1367" s="1" t="s">
        <v>209</v>
      </c>
    </row>
    <row r="1368" spans="1:16">
      <c r="A1368" s="7">
        <v>40144</v>
      </c>
      <c r="B1368" s="1">
        <v>1455</v>
      </c>
      <c r="C1368" s="1" t="s">
        <v>234</v>
      </c>
      <c r="D1368" s="1">
        <v>2</v>
      </c>
      <c r="E1368" s="1">
        <v>575</v>
      </c>
      <c r="F1368" s="1">
        <v>23</v>
      </c>
      <c r="G1368" s="1" t="s">
        <v>17</v>
      </c>
      <c r="H1368" s="1">
        <v>2181</v>
      </c>
      <c r="K1368" s="1" t="s">
        <v>83</v>
      </c>
      <c r="L1368" s="1" t="s">
        <v>245</v>
      </c>
      <c r="M1368" s="1" t="s">
        <v>246</v>
      </c>
      <c r="N1368" s="1" t="s">
        <v>252</v>
      </c>
      <c r="O1368" s="1">
        <v>395.53</v>
      </c>
      <c r="P1368" s="1" t="s">
        <v>209</v>
      </c>
    </row>
    <row r="1369" spans="1:16">
      <c r="A1369" s="7">
        <v>39841</v>
      </c>
      <c r="B1369" s="1">
        <v>57</v>
      </c>
      <c r="C1369" s="1" t="s">
        <v>234</v>
      </c>
      <c r="D1369" s="1">
        <v>1</v>
      </c>
      <c r="E1369" s="1">
        <v>184.66</v>
      </c>
      <c r="F1369" s="1">
        <v>23</v>
      </c>
      <c r="G1369" s="1" t="s">
        <v>13</v>
      </c>
      <c r="H1369" s="1">
        <v>214</v>
      </c>
      <c r="K1369" s="1" t="s">
        <v>168</v>
      </c>
      <c r="L1369" s="1" t="s">
        <v>245</v>
      </c>
      <c r="M1369" s="1" t="s">
        <v>246</v>
      </c>
      <c r="N1369" s="1" t="s">
        <v>252</v>
      </c>
      <c r="O1369" s="1">
        <v>76.25</v>
      </c>
      <c r="P1369" s="1" t="s">
        <v>209</v>
      </c>
    </row>
    <row r="1370" spans="1:16">
      <c r="A1370" s="7">
        <v>39841</v>
      </c>
      <c r="B1370" s="1">
        <v>65</v>
      </c>
      <c r="C1370" s="1" t="s">
        <v>235</v>
      </c>
      <c r="D1370" s="1">
        <v>4</v>
      </c>
      <c r="E1370" s="1">
        <v>376.2</v>
      </c>
      <c r="F1370" s="1">
        <v>23</v>
      </c>
      <c r="G1370" s="1" t="s">
        <v>13</v>
      </c>
      <c r="H1370" s="1">
        <v>0</v>
      </c>
      <c r="K1370" s="1" t="s">
        <v>100</v>
      </c>
      <c r="L1370" s="1" t="s">
        <v>245</v>
      </c>
      <c r="M1370" s="1" t="s">
        <v>246</v>
      </c>
      <c r="N1370" s="1" t="s">
        <v>252</v>
      </c>
      <c r="O1370" s="1">
        <v>82.8</v>
      </c>
      <c r="P1370" s="1" t="s">
        <v>209</v>
      </c>
    </row>
    <row r="1371" spans="1:16">
      <c r="A1371" s="7">
        <v>39841</v>
      </c>
      <c r="B1371" s="1">
        <v>59</v>
      </c>
      <c r="C1371" s="1" t="s">
        <v>234</v>
      </c>
      <c r="D1371" s="1">
        <v>4</v>
      </c>
      <c r="E1371" s="1">
        <v>318.92</v>
      </c>
      <c r="F1371" s="1">
        <v>23</v>
      </c>
      <c r="G1371" s="1" t="s">
        <v>28</v>
      </c>
      <c r="H1371" s="1">
        <v>1975</v>
      </c>
      <c r="K1371" s="1" t="s">
        <v>88</v>
      </c>
      <c r="L1371" s="1" t="s">
        <v>245</v>
      </c>
      <c r="M1371" s="1" t="s">
        <v>246</v>
      </c>
      <c r="N1371" s="1" t="s">
        <v>252</v>
      </c>
      <c r="O1371" s="1">
        <v>37.82</v>
      </c>
      <c r="P1371" s="1" t="s">
        <v>209</v>
      </c>
    </row>
    <row r="1372" spans="1:16">
      <c r="A1372" s="7">
        <v>39841</v>
      </c>
      <c r="B1372" s="1">
        <v>58</v>
      </c>
      <c r="C1372" s="1" t="s">
        <v>234</v>
      </c>
      <c r="D1372" s="1">
        <v>3</v>
      </c>
      <c r="E1372" s="1">
        <v>150</v>
      </c>
      <c r="F1372" s="1">
        <v>23</v>
      </c>
      <c r="G1372" s="1" t="s">
        <v>41</v>
      </c>
      <c r="H1372" s="1">
        <v>2003</v>
      </c>
      <c r="K1372" s="1" t="s">
        <v>80</v>
      </c>
      <c r="L1372" s="1" t="s">
        <v>248</v>
      </c>
      <c r="M1372" s="1" t="s">
        <v>249</v>
      </c>
      <c r="N1372" s="1" t="s">
        <v>252</v>
      </c>
      <c r="O1372" s="1">
        <v>161.5</v>
      </c>
      <c r="P1372" s="1" t="s">
        <v>209</v>
      </c>
    </row>
    <row r="1373" spans="1:16">
      <c r="A1373" s="7">
        <v>39841</v>
      </c>
      <c r="B1373" s="1">
        <v>60</v>
      </c>
      <c r="C1373" s="1" t="s">
        <v>234</v>
      </c>
      <c r="D1373" s="1">
        <v>4</v>
      </c>
      <c r="E1373" s="1">
        <v>150</v>
      </c>
      <c r="F1373" s="1">
        <v>23</v>
      </c>
      <c r="G1373" s="1" t="s">
        <v>41</v>
      </c>
      <c r="H1373" s="1">
        <v>2004</v>
      </c>
      <c r="K1373" s="1" t="s">
        <v>88</v>
      </c>
      <c r="L1373" s="1" t="s">
        <v>248</v>
      </c>
      <c r="M1373" s="1" t="s">
        <v>249</v>
      </c>
      <c r="N1373" s="1" t="s">
        <v>252</v>
      </c>
      <c r="O1373" s="1">
        <v>29.2</v>
      </c>
      <c r="P1373" s="1" t="s">
        <v>209</v>
      </c>
    </row>
    <row r="1374" spans="1:16">
      <c r="A1374" s="7">
        <v>39872</v>
      </c>
      <c r="B1374" s="1">
        <v>429</v>
      </c>
      <c r="C1374" s="1" t="s">
        <v>234</v>
      </c>
      <c r="D1374" s="1">
        <v>4</v>
      </c>
      <c r="E1374" s="1">
        <v>52126.58</v>
      </c>
      <c r="F1374" s="1">
        <v>23</v>
      </c>
      <c r="G1374" s="1" t="s">
        <v>26</v>
      </c>
      <c r="H1374" s="1">
        <v>254</v>
      </c>
      <c r="K1374" s="1" t="s">
        <v>83</v>
      </c>
      <c r="L1374" s="1" t="s">
        <v>262</v>
      </c>
      <c r="M1374" s="1" t="s">
        <v>263</v>
      </c>
      <c r="N1374" s="1" t="s">
        <v>247</v>
      </c>
      <c r="O1374" s="1">
        <v>3060</v>
      </c>
      <c r="P1374" s="1" t="s">
        <v>210</v>
      </c>
    </row>
    <row r="1375" spans="1:16">
      <c r="A1375" s="7">
        <v>39872</v>
      </c>
      <c r="B1375" s="1">
        <v>430</v>
      </c>
      <c r="C1375" s="1" t="s">
        <v>234</v>
      </c>
      <c r="D1375" s="1">
        <v>4</v>
      </c>
      <c r="E1375" s="1">
        <v>101391.41</v>
      </c>
      <c r="F1375" s="1">
        <v>23</v>
      </c>
      <c r="G1375" s="1" t="s">
        <v>26</v>
      </c>
      <c r="H1375" s="1">
        <v>253</v>
      </c>
      <c r="K1375" s="1" t="s">
        <v>80</v>
      </c>
      <c r="L1375" s="1" t="s">
        <v>262</v>
      </c>
      <c r="M1375" s="1" t="s">
        <v>263</v>
      </c>
      <c r="N1375" s="1" t="s">
        <v>247</v>
      </c>
      <c r="O1375" s="1">
        <v>350</v>
      </c>
      <c r="P1375" s="1" t="s">
        <v>210</v>
      </c>
    </row>
    <row r="1376" spans="1:16">
      <c r="A1376" s="7">
        <v>39872</v>
      </c>
      <c r="B1376" s="1">
        <v>497</v>
      </c>
      <c r="C1376" s="1" t="s">
        <v>234</v>
      </c>
      <c r="D1376" s="1">
        <v>4</v>
      </c>
      <c r="E1376" s="1">
        <v>724.47</v>
      </c>
      <c r="F1376" s="1">
        <v>23</v>
      </c>
      <c r="G1376" s="1" t="s">
        <v>48</v>
      </c>
      <c r="H1376" s="1">
        <v>156</v>
      </c>
      <c r="K1376" s="1" t="s">
        <v>143</v>
      </c>
      <c r="L1376" s="1" t="s">
        <v>262</v>
      </c>
      <c r="M1376" s="1" t="s">
        <v>263</v>
      </c>
      <c r="N1376" s="1" t="s">
        <v>247</v>
      </c>
      <c r="O1376" s="1">
        <v>675</v>
      </c>
      <c r="P1376" s="1" t="s">
        <v>210</v>
      </c>
    </row>
    <row r="1377" spans="1:16">
      <c r="A1377" s="7">
        <v>39900</v>
      </c>
      <c r="B1377" s="1">
        <v>512</v>
      </c>
      <c r="C1377" s="1" t="s">
        <v>234</v>
      </c>
      <c r="D1377" s="1">
        <v>4</v>
      </c>
      <c r="E1377" s="1">
        <v>111950.89</v>
      </c>
      <c r="F1377" s="1">
        <v>23</v>
      </c>
      <c r="G1377" s="1" t="s">
        <v>26</v>
      </c>
      <c r="H1377" s="1">
        <v>254</v>
      </c>
      <c r="K1377" s="1" t="s">
        <v>143</v>
      </c>
      <c r="L1377" s="1" t="s">
        <v>262</v>
      </c>
      <c r="M1377" s="1" t="s">
        <v>263</v>
      </c>
      <c r="N1377" s="1" t="s">
        <v>247</v>
      </c>
      <c r="O1377" s="1">
        <v>315</v>
      </c>
      <c r="P1377" s="1" t="s">
        <v>210</v>
      </c>
    </row>
    <row r="1378" spans="1:16">
      <c r="A1378" s="7">
        <v>39931</v>
      </c>
      <c r="B1378" s="1">
        <v>551</v>
      </c>
      <c r="C1378" s="1" t="s">
        <v>234</v>
      </c>
      <c r="D1378" s="1">
        <v>3</v>
      </c>
      <c r="E1378" s="1">
        <v>200</v>
      </c>
      <c r="F1378" s="1">
        <v>23</v>
      </c>
      <c r="G1378" s="1" t="s">
        <v>35</v>
      </c>
      <c r="H1378" s="1">
        <v>2037</v>
      </c>
      <c r="K1378" s="1" t="s">
        <v>100</v>
      </c>
      <c r="L1378" s="1" t="s">
        <v>262</v>
      </c>
      <c r="M1378" s="1" t="s">
        <v>263</v>
      </c>
      <c r="N1378" s="1" t="s">
        <v>247</v>
      </c>
      <c r="O1378" s="1">
        <v>300</v>
      </c>
      <c r="P1378" s="1" t="s">
        <v>210</v>
      </c>
    </row>
    <row r="1379" spans="1:16">
      <c r="A1379" s="7">
        <v>39961</v>
      </c>
      <c r="B1379" s="1">
        <v>583</v>
      </c>
      <c r="C1379" s="1" t="s">
        <v>234</v>
      </c>
      <c r="D1379" s="1">
        <v>4</v>
      </c>
      <c r="E1379" s="1">
        <v>555.98</v>
      </c>
      <c r="F1379" s="1">
        <v>23</v>
      </c>
      <c r="G1379" s="1" t="s">
        <v>5</v>
      </c>
      <c r="H1379" s="1">
        <v>2041</v>
      </c>
      <c r="K1379" s="1" t="s">
        <v>80</v>
      </c>
      <c r="L1379" s="1" t="s">
        <v>262</v>
      </c>
      <c r="M1379" s="1" t="s">
        <v>263</v>
      </c>
      <c r="N1379" s="1" t="s">
        <v>247</v>
      </c>
      <c r="O1379" s="1">
        <v>140</v>
      </c>
      <c r="P1379" s="1" t="s">
        <v>210</v>
      </c>
    </row>
    <row r="1380" spans="1:16">
      <c r="A1380" s="7">
        <v>40022</v>
      </c>
      <c r="B1380" s="1">
        <v>829</v>
      </c>
      <c r="C1380" s="1" t="s">
        <v>234</v>
      </c>
      <c r="D1380" s="1">
        <v>1</v>
      </c>
      <c r="E1380" s="1">
        <v>374.95</v>
      </c>
      <c r="F1380" s="1">
        <v>23</v>
      </c>
      <c r="G1380" s="1" t="s">
        <v>6</v>
      </c>
      <c r="H1380" s="1">
        <v>779</v>
      </c>
      <c r="K1380" s="1" t="s">
        <v>76</v>
      </c>
      <c r="L1380" s="1" t="s">
        <v>262</v>
      </c>
      <c r="M1380" s="1" t="s">
        <v>263</v>
      </c>
      <c r="N1380" s="1" t="s">
        <v>247</v>
      </c>
      <c r="O1380" s="1">
        <v>220</v>
      </c>
      <c r="P1380" s="1" t="s">
        <v>210</v>
      </c>
    </row>
    <row r="1381" spans="1:16">
      <c r="A1381" s="7">
        <v>40022</v>
      </c>
      <c r="B1381" s="1">
        <v>830</v>
      </c>
      <c r="C1381" s="1" t="s">
        <v>234</v>
      </c>
      <c r="D1381" s="1">
        <v>1</v>
      </c>
      <c r="E1381" s="1">
        <v>770.05</v>
      </c>
      <c r="F1381" s="1">
        <v>23</v>
      </c>
      <c r="G1381" s="1" t="s">
        <v>6</v>
      </c>
      <c r="H1381" s="1">
        <v>355</v>
      </c>
      <c r="K1381" s="1" t="s">
        <v>126</v>
      </c>
      <c r="L1381" s="1" t="s">
        <v>262</v>
      </c>
      <c r="M1381" s="1" t="s">
        <v>263</v>
      </c>
      <c r="N1381" s="1" t="s">
        <v>247</v>
      </c>
      <c r="O1381" s="1">
        <v>2032</v>
      </c>
      <c r="P1381" s="1" t="s">
        <v>210</v>
      </c>
    </row>
    <row r="1382" spans="1:16">
      <c r="A1382" s="7">
        <v>40022</v>
      </c>
      <c r="B1382" s="1">
        <v>831</v>
      </c>
      <c r="C1382" s="1" t="s">
        <v>234</v>
      </c>
      <c r="D1382" s="1">
        <v>1</v>
      </c>
      <c r="E1382" s="1">
        <v>526.36</v>
      </c>
      <c r="F1382" s="1">
        <v>23</v>
      </c>
      <c r="G1382" s="1" t="s">
        <v>6</v>
      </c>
      <c r="H1382" s="1">
        <v>742</v>
      </c>
      <c r="K1382" s="1" t="s">
        <v>104</v>
      </c>
      <c r="L1382" s="1" t="s">
        <v>262</v>
      </c>
      <c r="M1382" s="1" t="s">
        <v>263</v>
      </c>
      <c r="N1382" s="1" t="s">
        <v>247</v>
      </c>
      <c r="O1382" s="1">
        <v>97.54</v>
      </c>
      <c r="P1382" s="1" t="s">
        <v>210</v>
      </c>
    </row>
    <row r="1383" spans="1:16">
      <c r="A1383" s="7">
        <v>40022</v>
      </c>
      <c r="B1383" s="1">
        <v>835</v>
      </c>
      <c r="C1383" s="1" t="s">
        <v>234</v>
      </c>
      <c r="D1383" s="1">
        <v>4</v>
      </c>
      <c r="E1383" s="1">
        <v>853.9</v>
      </c>
      <c r="F1383" s="1">
        <v>23</v>
      </c>
      <c r="G1383" s="1" t="s">
        <v>6</v>
      </c>
      <c r="H1383" s="1">
        <v>1289</v>
      </c>
      <c r="K1383" s="1" t="s">
        <v>76</v>
      </c>
      <c r="L1383" s="1" t="s">
        <v>248</v>
      </c>
      <c r="M1383" s="1" t="s">
        <v>249</v>
      </c>
      <c r="N1383" s="1" t="s">
        <v>250</v>
      </c>
      <c r="O1383" s="1">
        <v>1300</v>
      </c>
      <c r="P1383" s="1" t="s">
        <v>210</v>
      </c>
    </row>
    <row r="1384" spans="1:16">
      <c r="A1384" s="7">
        <v>40022</v>
      </c>
      <c r="B1384" s="1">
        <v>842</v>
      </c>
      <c r="C1384" s="1" t="s">
        <v>234</v>
      </c>
      <c r="D1384" s="1">
        <v>3</v>
      </c>
      <c r="E1384" s="1">
        <v>519.82000000000005</v>
      </c>
      <c r="F1384" s="1">
        <v>23</v>
      </c>
      <c r="G1384" s="1" t="s">
        <v>6</v>
      </c>
      <c r="H1384" s="1">
        <v>969</v>
      </c>
      <c r="K1384" s="1" t="s">
        <v>76</v>
      </c>
      <c r="L1384" s="1" t="s">
        <v>248</v>
      </c>
      <c r="M1384" s="1" t="s">
        <v>249</v>
      </c>
      <c r="N1384" s="1" t="s">
        <v>250</v>
      </c>
      <c r="O1384" s="1">
        <v>276.5</v>
      </c>
      <c r="P1384" s="1" t="s">
        <v>210</v>
      </c>
    </row>
    <row r="1385" spans="1:16">
      <c r="A1385" s="7">
        <v>40084</v>
      </c>
      <c r="B1385" s="1">
        <v>1255</v>
      </c>
      <c r="C1385" s="1" t="s">
        <v>234</v>
      </c>
      <c r="D1385" s="1">
        <v>4</v>
      </c>
      <c r="E1385" s="1">
        <v>63.61</v>
      </c>
      <c r="F1385" s="1">
        <v>23</v>
      </c>
      <c r="G1385" s="1" t="s">
        <v>48</v>
      </c>
      <c r="H1385" s="1">
        <v>156</v>
      </c>
      <c r="K1385" s="1" t="s">
        <v>76</v>
      </c>
      <c r="L1385" s="1" t="s">
        <v>245</v>
      </c>
      <c r="M1385" s="1" t="s">
        <v>246</v>
      </c>
      <c r="N1385" s="1" t="s">
        <v>250</v>
      </c>
      <c r="O1385" s="1">
        <v>1040.0999999999999</v>
      </c>
      <c r="P1385" s="1" t="s">
        <v>210</v>
      </c>
    </row>
    <row r="1386" spans="1:16">
      <c r="A1386" s="7">
        <v>40084</v>
      </c>
      <c r="B1386" s="1">
        <v>1189</v>
      </c>
      <c r="C1386" s="1" t="s">
        <v>234</v>
      </c>
      <c r="D1386" s="1">
        <v>8</v>
      </c>
      <c r="E1386" s="1">
        <v>940.5</v>
      </c>
      <c r="F1386" s="1">
        <v>23</v>
      </c>
      <c r="G1386" s="1" t="s">
        <v>3</v>
      </c>
      <c r="H1386" s="1">
        <v>0</v>
      </c>
      <c r="K1386" s="1" t="s">
        <v>76</v>
      </c>
      <c r="L1386" s="1" t="s">
        <v>245</v>
      </c>
      <c r="M1386" s="1" t="s">
        <v>246</v>
      </c>
      <c r="N1386" s="1" t="s">
        <v>250</v>
      </c>
      <c r="O1386" s="1">
        <v>208.02</v>
      </c>
      <c r="P1386" s="1" t="s">
        <v>210</v>
      </c>
    </row>
    <row r="1387" spans="1:16">
      <c r="A1387" s="7">
        <v>40084</v>
      </c>
      <c r="B1387" s="1">
        <v>1240</v>
      </c>
      <c r="C1387" s="1" t="s">
        <v>235</v>
      </c>
      <c r="D1387" s="1">
        <v>4</v>
      </c>
      <c r="E1387" s="1">
        <v>391.87</v>
      </c>
      <c r="F1387" s="1">
        <v>23</v>
      </c>
      <c r="G1387" s="1" t="s">
        <v>3</v>
      </c>
      <c r="H1387" s="1">
        <v>1478</v>
      </c>
      <c r="K1387" s="1" t="s">
        <v>76</v>
      </c>
      <c r="L1387" s="1" t="s">
        <v>245</v>
      </c>
      <c r="M1387" s="1" t="s">
        <v>246</v>
      </c>
      <c r="N1387" s="1" t="s">
        <v>250</v>
      </c>
      <c r="O1387" s="1">
        <v>520</v>
      </c>
      <c r="P1387" s="1" t="s">
        <v>210</v>
      </c>
    </row>
    <row r="1388" spans="1:16">
      <c r="A1388" s="7">
        <v>40084</v>
      </c>
      <c r="B1388" s="1">
        <v>1251</v>
      </c>
      <c r="C1388" s="1" t="s">
        <v>234</v>
      </c>
      <c r="D1388" s="1">
        <v>1</v>
      </c>
      <c r="E1388" s="1">
        <v>6</v>
      </c>
      <c r="F1388" s="1">
        <v>23</v>
      </c>
      <c r="G1388" s="1" t="s">
        <v>6</v>
      </c>
      <c r="H1388" s="1">
        <v>44</v>
      </c>
      <c r="K1388" s="1" t="s">
        <v>122</v>
      </c>
      <c r="L1388" s="1" t="s">
        <v>245</v>
      </c>
      <c r="M1388" s="1" t="s">
        <v>246</v>
      </c>
      <c r="N1388" s="1" t="s">
        <v>250</v>
      </c>
      <c r="O1388" s="1">
        <v>164.38</v>
      </c>
      <c r="P1388" s="1" t="s">
        <v>210</v>
      </c>
    </row>
    <row r="1389" spans="1:16">
      <c r="A1389" s="7">
        <v>40084</v>
      </c>
      <c r="B1389" s="1">
        <v>1243</v>
      </c>
      <c r="C1389" s="1" t="s">
        <v>234</v>
      </c>
      <c r="D1389" s="1">
        <v>4</v>
      </c>
      <c r="E1389" s="1">
        <v>970</v>
      </c>
      <c r="F1389" s="1">
        <v>23</v>
      </c>
      <c r="G1389" s="1" t="s">
        <v>39</v>
      </c>
      <c r="H1389" s="1">
        <v>0</v>
      </c>
      <c r="K1389" s="1" t="s">
        <v>76</v>
      </c>
      <c r="L1389" s="1" t="s">
        <v>245</v>
      </c>
      <c r="M1389" s="1" t="s">
        <v>246</v>
      </c>
      <c r="N1389" s="1" t="s">
        <v>250</v>
      </c>
      <c r="O1389" s="1">
        <v>1431.08</v>
      </c>
      <c r="P1389" s="1" t="s">
        <v>210</v>
      </c>
    </row>
    <row r="1390" spans="1:16">
      <c r="A1390" s="7">
        <v>40084</v>
      </c>
      <c r="B1390" s="1">
        <v>1244</v>
      </c>
      <c r="C1390" s="1" t="s">
        <v>234</v>
      </c>
      <c r="D1390" s="1">
        <v>4</v>
      </c>
      <c r="E1390" s="1">
        <v>80</v>
      </c>
      <c r="F1390" s="1">
        <v>23</v>
      </c>
      <c r="G1390" s="1" t="s">
        <v>18</v>
      </c>
      <c r="H1390" s="1">
        <v>992</v>
      </c>
      <c r="K1390" s="1" t="s">
        <v>72</v>
      </c>
      <c r="L1390" s="1" t="s">
        <v>245</v>
      </c>
      <c r="M1390" s="1" t="s">
        <v>246</v>
      </c>
      <c r="N1390" s="1" t="s">
        <v>250</v>
      </c>
      <c r="O1390" s="1">
        <v>520</v>
      </c>
      <c r="P1390" s="1" t="s">
        <v>210</v>
      </c>
    </row>
    <row r="1391" spans="1:16">
      <c r="A1391" s="7">
        <v>40084</v>
      </c>
      <c r="B1391" s="1">
        <v>1245</v>
      </c>
      <c r="C1391" s="1" t="s">
        <v>234</v>
      </c>
      <c r="D1391" s="1">
        <v>4</v>
      </c>
      <c r="E1391" s="1">
        <v>80</v>
      </c>
      <c r="F1391" s="1">
        <v>23</v>
      </c>
      <c r="G1391" s="1" t="s">
        <v>18</v>
      </c>
      <c r="H1391" s="1">
        <v>1938</v>
      </c>
      <c r="K1391" s="1" t="s">
        <v>76</v>
      </c>
      <c r="L1391" s="1" t="s">
        <v>245</v>
      </c>
      <c r="M1391" s="1" t="s">
        <v>246</v>
      </c>
      <c r="N1391" s="1" t="s">
        <v>250</v>
      </c>
      <c r="O1391" s="1">
        <v>600</v>
      </c>
      <c r="P1391" s="1" t="s">
        <v>210</v>
      </c>
    </row>
    <row r="1392" spans="1:16">
      <c r="A1392" s="7">
        <v>40084</v>
      </c>
      <c r="B1392" s="1">
        <v>1246</v>
      </c>
      <c r="C1392" s="1" t="s">
        <v>234</v>
      </c>
      <c r="D1392" s="1">
        <v>4</v>
      </c>
      <c r="E1392" s="1">
        <v>80</v>
      </c>
      <c r="F1392" s="1">
        <v>23</v>
      </c>
      <c r="G1392" s="1" t="s">
        <v>18</v>
      </c>
      <c r="H1392" s="1">
        <v>2140</v>
      </c>
      <c r="K1392" s="1" t="s">
        <v>81</v>
      </c>
      <c r="L1392" s="1" t="s">
        <v>245</v>
      </c>
      <c r="M1392" s="1" t="s">
        <v>246</v>
      </c>
      <c r="N1392" s="1" t="s">
        <v>250</v>
      </c>
      <c r="O1392" s="1">
        <v>218</v>
      </c>
      <c r="P1392" s="1" t="s">
        <v>210</v>
      </c>
    </row>
    <row r="1393" spans="1:16">
      <c r="A1393" s="7">
        <v>40084</v>
      </c>
      <c r="B1393" s="1">
        <v>1247</v>
      </c>
      <c r="C1393" s="1" t="s">
        <v>234</v>
      </c>
      <c r="D1393" s="1">
        <v>4</v>
      </c>
      <c r="E1393" s="1">
        <v>80</v>
      </c>
      <c r="F1393" s="1">
        <v>23</v>
      </c>
      <c r="G1393" s="1" t="s">
        <v>18</v>
      </c>
      <c r="H1393" s="1">
        <v>2141</v>
      </c>
      <c r="K1393" s="1" t="s">
        <v>76</v>
      </c>
      <c r="L1393" s="1" t="s">
        <v>245</v>
      </c>
      <c r="M1393" s="1" t="s">
        <v>246</v>
      </c>
      <c r="N1393" s="1" t="s">
        <v>250</v>
      </c>
      <c r="O1393" s="1">
        <v>856</v>
      </c>
      <c r="P1393" s="1" t="s">
        <v>210</v>
      </c>
    </row>
    <row r="1394" spans="1:16">
      <c r="A1394" s="7">
        <v>40084</v>
      </c>
      <c r="B1394" s="1">
        <v>1242</v>
      </c>
      <c r="C1394" s="1" t="s">
        <v>235</v>
      </c>
      <c r="D1394" s="1">
        <v>1</v>
      </c>
      <c r="E1394" s="1">
        <v>34</v>
      </c>
      <c r="F1394" s="1">
        <v>23</v>
      </c>
      <c r="G1394" s="1" t="s">
        <v>32</v>
      </c>
      <c r="H1394" s="1">
        <v>672</v>
      </c>
      <c r="K1394" s="1" t="s">
        <v>79</v>
      </c>
      <c r="L1394" s="1" t="s">
        <v>256</v>
      </c>
      <c r="M1394" s="1" t="s">
        <v>257</v>
      </c>
      <c r="N1394" s="1" t="s">
        <v>251</v>
      </c>
      <c r="O1394" s="1">
        <v>18</v>
      </c>
      <c r="P1394" s="1" t="s">
        <v>210</v>
      </c>
    </row>
    <row r="1395" spans="1:16">
      <c r="A1395" s="7">
        <v>40084</v>
      </c>
      <c r="B1395" s="1">
        <v>1248</v>
      </c>
      <c r="C1395" s="1" t="s">
        <v>234</v>
      </c>
      <c r="D1395" s="1">
        <v>4</v>
      </c>
      <c r="E1395" s="1">
        <v>34</v>
      </c>
      <c r="F1395" s="1">
        <v>23</v>
      </c>
      <c r="G1395" s="1" t="s">
        <v>32</v>
      </c>
      <c r="H1395" s="1">
        <v>424</v>
      </c>
      <c r="K1395" s="1" t="s">
        <v>79</v>
      </c>
      <c r="L1395" s="1" t="s">
        <v>256</v>
      </c>
      <c r="M1395" s="1" t="s">
        <v>257</v>
      </c>
      <c r="N1395" s="1" t="s">
        <v>251</v>
      </c>
      <c r="O1395" s="1">
        <v>0.3</v>
      </c>
      <c r="P1395" s="1" t="s">
        <v>210</v>
      </c>
    </row>
    <row r="1396" spans="1:16">
      <c r="A1396" s="7">
        <v>40084</v>
      </c>
      <c r="B1396" s="1">
        <v>1250</v>
      </c>
      <c r="C1396" s="1" t="s">
        <v>234</v>
      </c>
      <c r="D1396" s="1">
        <v>1</v>
      </c>
      <c r="E1396" s="1">
        <v>34</v>
      </c>
      <c r="F1396" s="1">
        <v>23</v>
      </c>
      <c r="G1396" s="1" t="s">
        <v>32</v>
      </c>
      <c r="H1396" s="1">
        <v>44</v>
      </c>
      <c r="K1396" s="1" t="s">
        <v>79</v>
      </c>
      <c r="L1396" s="1" t="s">
        <v>262</v>
      </c>
      <c r="M1396" s="1" t="s">
        <v>263</v>
      </c>
      <c r="N1396" s="1" t="s">
        <v>251</v>
      </c>
      <c r="O1396" s="1">
        <v>4</v>
      </c>
      <c r="P1396" s="1" t="s">
        <v>210</v>
      </c>
    </row>
    <row r="1397" spans="1:16">
      <c r="A1397" s="7">
        <v>40084</v>
      </c>
      <c r="B1397" s="1">
        <v>1254</v>
      </c>
      <c r="C1397" s="1" t="s">
        <v>235</v>
      </c>
      <c r="D1397" s="1">
        <v>1</v>
      </c>
      <c r="E1397" s="1">
        <v>34</v>
      </c>
      <c r="F1397" s="1">
        <v>23</v>
      </c>
      <c r="G1397" s="1" t="s">
        <v>32</v>
      </c>
      <c r="H1397" s="1">
        <v>557</v>
      </c>
      <c r="K1397" s="1" t="s">
        <v>90</v>
      </c>
      <c r="L1397" s="1" t="s">
        <v>245</v>
      </c>
      <c r="M1397" s="1" t="s">
        <v>246</v>
      </c>
      <c r="N1397" s="1" t="s">
        <v>255</v>
      </c>
      <c r="O1397" s="1">
        <v>150</v>
      </c>
      <c r="P1397" s="1" t="s">
        <v>210</v>
      </c>
    </row>
    <row r="1398" spans="1:16">
      <c r="A1398" s="7">
        <v>40084</v>
      </c>
      <c r="B1398" s="1">
        <v>568</v>
      </c>
      <c r="C1398" s="1" t="s">
        <v>234</v>
      </c>
      <c r="D1398" s="1">
        <v>4</v>
      </c>
      <c r="E1398" s="1">
        <v>2498</v>
      </c>
      <c r="F1398" s="1">
        <v>23</v>
      </c>
      <c r="G1398" s="1" t="s">
        <v>43</v>
      </c>
      <c r="H1398" s="1">
        <v>0</v>
      </c>
      <c r="K1398" s="1" t="s">
        <v>168</v>
      </c>
      <c r="L1398" s="1" t="s">
        <v>245</v>
      </c>
      <c r="M1398" s="1" t="s">
        <v>246</v>
      </c>
      <c r="N1398" s="1" t="s">
        <v>252</v>
      </c>
      <c r="O1398" s="1">
        <v>192.8</v>
      </c>
      <c r="P1398" s="1" t="s">
        <v>210</v>
      </c>
    </row>
    <row r="1399" spans="1:16">
      <c r="A1399" s="7">
        <v>40114</v>
      </c>
      <c r="B1399" s="1">
        <v>1462</v>
      </c>
      <c r="C1399" s="1" t="s">
        <v>234</v>
      </c>
      <c r="D1399" s="1">
        <v>4</v>
      </c>
      <c r="E1399" s="1">
        <v>9251.8799999999992</v>
      </c>
      <c r="F1399" s="1">
        <v>23</v>
      </c>
      <c r="G1399" s="1" t="s">
        <v>46</v>
      </c>
      <c r="H1399" s="1">
        <v>0</v>
      </c>
      <c r="K1399" s="1" t="s">
        <v>88</v>
      </c>
      <c r="L1399" s="1" t="s">
        <v>245</v>
      </c>
      <c r="M1399" s="1" t="s">
        <v>246</v>
      </c>
      <c r="N1399" s="1" t="s">
        <v>252</v>
      </c>
      <c r="O1399" s="1">
        <v>17.3</v>
      </c>
      <c r="P1399" s="1" t="s">
        <v>210</v>
      </c>
    </row>
    <row r="1400" spans="1:16">
      <c r="A1400" s="7">
        <v>40175</v>
      </c>
      <c r="B1400" s="1">
        <v>1524</v>
      </c>
      <c r="C1400" s="1" t="s">
        <v>237</v>
      </c>
      <c r="D1400" s="1">
        <v>4</v>
      </c>
      <c r="E1400" s="1">
        <v>1.5</v>
      </c>
      <c r="F1400" s="1">
        <v>23</v>
      </c>
      <c r="G1400" s="1" t="s">
        <v>52</v>
      </c>
      <c r="H1400" s="1">
        <v>0</v>
      </c>
      <c r="K1400" s="1" t="s">
        <v>82</v>
      </c>
      <c r="L1400" s="1" t="s">
        <v>245</v>
      </c>
      <c r="M1400" s="1" t="s">
        <v>246</v>
      </c>
      <c r="N1400" s="1" t="s">
        <v>252</v>
      </c>
      <c r="O1400" s="1">
        <v>20.9</v>
      </c>
      <c r="P1400" s="1" t="s">
        <v>210</v>
      </c>
    </row>
    <row r="1401" spans="1:16">
      <c r="A1401" s="7">
        <v>39842</v>
      </c>
      <c r="B1401" s="1">
        <v>67</v>
      </c>
      <c r="C1401" s="1" t="s">
        <v>235</v>
      </c>
      <c r="D1401" s="1">
        <v>4</v>
      </c>
      <c r="E1401" s="1">
        <v>360.52</v>
      </c>
      <c r="F1401" s="1">
        <v>23</v>
      </c>
      <c r="G1401" s="1" t="s">
        <v>13</v>
      </c>
      <c r="H1401" s="1">
        <v>395</v>
      </c>
      <c r="K1401" s="1" t="s">
        <v>80</v>
      </c>
      <c r="L1401" s="1" t="s">
        <v>245</v>
      </c>
      <c r="M1401" s="1" t="s">
        <v>246</v>
      </c>
      <c r="N1401" s="1" t="s">
        <v>253</v>
      </c>
      <c r="O1401" s="1">
        <v>43.51</v>
      </c>
      <c r="P1401" s="1" t="s">
        <v>210</v>
      </c>
    </row>
    <row r="1402" spans="1:16">
      <c r="A1402" s="7">
        <v>39842</v>
      </c>
      <c r="B1402" s="1">
        <v>68</v>
      </c>
      <c r="C1402" s="1" t="s">
        <v>234</v>
      </c>
      <c r="D1402" s="1">
        <v>4</v>
      </c>
      <c r="E1402" s="1">
        <v>150</v>
      </c>
      <c r="F1402" s="1">
        <v>23</v>
      </c>
      <c r="G1402" s="1" t="s">
        <v>41</v>
      </c>
      <c r="H1402" s="1">
        <v>2005</v>
      </c>
      <c r="K1402" s="1" t="s">
        <v>110</v>
      </c>
      <c r="L1402" s="1" t="s">
        <v>245</v>
      </c>
      <c r="M1402" s="1" t="s">
        <v>246</v>
      </c>
      <c r="N1402" s="1" t="s">
        <v>253</v>
      </c>
      <c r="O1402" s="1">
        <v>1511.12</v>
      </c>
      <c r="P1402" s="1" t="s">
        <v>210</v>
      </c>
    </row>
    <row r="1403" spans="1:16">
      <c r="A1403" s="7">
        <v>39842</v>
      </c>
      <c r="B1403" s="1">
        <v>69</v>
      </c>
      <c r="C1403" s="1" t="s">
        <v>234</v>
      </c>
      <c r="D1403" s="1">
        <v>1</v>
      </c>
      <c r="E1403" s="1">
        <v>150</v>
      </c>
      <c r="F1403" s="1">
        <v>23</v>
      </c>
      <c r="G1403" s="1" t="s">
        <v>41</v>
      </c>
      <c r="H1403" s="1">
        <v>0</v>
      </c>
      <c r="K1403" s="1" t="s">
        <v>110</v>
      </c>
      <c r="L1403" s="1" t="s">
        <v>258</v>
      </c>
      <c r="M1403" s="1" t="s">
        <v>259</v>
      </c>
      <c r="N1403" s="1" t="s">
        <v>253</v>
      </c>
      <c r="O1403" s="1">
        <v>1969.55</v>
      </c>
      <c r="P1403" s="1" t="s">
        <v>210</v>
      </c>
    </row>
    <row r="1404" spans="1:16">
      <c r="A1404" s="7">
        <v>39962</v>
      </c>
      <c r="B1404" s="1">
        <v>585</v>
      </c>
      <c r="C1404" s="1" t="s">
        <v>239</v>
      </c>
      <c r="D1404" s="1">
        <v>99</v>
      </c>
      <c r="E1404" s="1">
        <v>109.9</v>
      </c>
      <c r="F1404" s="1">
        <v>23</v>
      </c>
      <c r="G1404" s="1" t="s">
        <v>16</v>
      </c>
      <c r="H1404" s="1">
        <v>0</v>
      </c>
      <c r="K1404" s="1" t="s">
        <v>101</v>
      </c>
      <c r="L1404" s="1" t="s">
        <v>256</v>
      </c>
      <c r="M1404" s="1" t="s">
        <v>257</v>
      </c>
      <c r="N1404" s="1" t="s">
        <v>253</v>
      </c>
      <c r="O1404" s="1">
        <v>3115.98</v>
      </c>
      <c r="P1404" s="1" t="s">
        <v>210</v>
      </c>
    </row>
    <row r="1405" spans="1:16">
      <c r="A1405" s="7">
        <v>39962</v>
      </c>
      <c r="B1405" s="1">
        <v>590</v>
      </c>
      <c r="C1405" s="1" t="s">
        <v>234</v>
      </c>
      <c r="D1405" s="1">
        <v>4</v>
      </c>
      <c r="E1405" s="1">
        <v>297.72000000000003</v>
      </c>
      <c r="F1405" s="1">
        <v>23</v>
      </c>
      <c r="G1405" s="1" t="s">
        <v>48</v>
      </c>
      <c r="H1405" s="1">
        <v>156</v>
      </c>
      <c r="K1405" s="1" t="s">
        <v>81</v>
      </c>
      <c r="L1405" s="1" t="s">
        <v>245</v>
      </c>
      <c r="M1405" s="1" t="s">
        <v>246</v>
      </c>
      <c r="N1405" s="1" t="s">
        <v>253</v>
      </c>
      <c r="O1405" s="1">
        <v>90.73</v>
      </c>
      <c r="P1405" s="1" t="s">
        <v>210</v>
      </c>
    </row>
    <row r="1406" spans="1:16">
      <c r="A1406" s="7">
        <v>39993</v>
      </c>
      <c r="B1406" s="1">
        <v>571</v>
      </c>
      <c r="C1406" s="1" t="s">
        <v>234</v>
      </c>
      <c r="D1406" s="1">
        <v>4</v>
      </c>
      <c r="E1406" s="1">
        <v>3500</v>
      </c>
      <c r="F1406" s="1">
        <v>23</v>
      </c>
      <c r="G1406" s="1" t="s">
        <v>46</v>
      </c>
      <c r="H1406" s="1">
        <v>705</v>
      </c>
      <c r="K1406" s="1" t="s">
        <v>82</v>
      </c>
      <c r="L1406" s="1" t="s">
        <v>245</v>
      </c>
      <c r="M1406" s="1" t="s">
        <v>246</v>
      </c>
      <c r="N1406" s="1" t="s">
        <v>253</v>
      </c>
      <c r="O1406" s="1">
        <v>747.05</v>
      </c>
      <c r="P1406" s="1" t="s">
        <v>210</v>
      </c>
    </row>
    <row r="1407" spans="1:16">
      <c r="A1407" s="7">
        <v>39993</v>
      </c>
      <c r="B1407" s="1">
        <v>569</v>
      </c>
      <c r="C1407" s="1" t="s">
        <v>234</v>
      </c>
      <c r="D1407" s="1">
        <v>4</v>
      </c>
      <c r="E1407" s="1">
        <v>7000</v>
      </c>
      <c r="F1407" s="1">
        <v>23</v>
      </c>
      <c r="G1407" s="1" t="s">
        <v>43</v>
      </c>
      <c r="H1407" s="1">
        <v>0</v>
      </c>
      <c r="K1407" s="1" t="s">
        <v>86</v>
      </c>
      <c r="L1407" s="1" t="s">
        <v>248</v>
      </c>
      <c r="M1407" s="1" t="s">
        <v>249</v>
      </c>
      <c r="N1407" s="1" t="s">
        <v>253</v>
      </c>
      <c r="O1407" s="1">
        <v>1022.77</v>
      </c>
      <c r="P1407" s="1" t="s">
        <v>210</v>
      </c>
    </row>
    <row r="1408" spans="1:16">
      <c r="A1408" s="7">
        <v>39993</v>
      </c>
      <c r="B1408" s="1">
        <v>570</v>
      </c>
      <c r="C1408" s="1" t="s">
        <v>234</v>
      </c>
      <c r="D1408" s="1">
        <v>4</v>
      </c>
      <c r="E1408" s="1">
        <v>2998</v>
      </c>
      <c r="F1408" s="1">
        <v>23</v>
      </c>
      <c r="G1408" s="1" t="s">
        <v>43</v>
      </c>
      <c r="H1408" s="1">
        <v>0</v>
      </c>
      <c r="K1408" s="1" t="s">
        <v>86</v>
      </c>
      <c r="L1408" s="1" t="s">
        <v>248</v>
      </c>
      <c r="M1408" s="1" t="s">
        <v>249</v>
      </c>
      <c r="N1408" s="1" t="s">
        <v>253</v>
      </c>
      <c r="O1408" s="1">
        <v>154.54</v>
      </c>
      <c r="P1408" s="1" t="s">
        <v>210</v>
      </c>
    </row>
    <row r="1409" spans="1:16">
      <c r="A1409" s="7">
        <v>40023</v>
      </c>
      <c r="B1409" s="1">
        <v>840</v>
      </c>
      <c r="C1409" s="1" t="s">
        <v>234</v>
      </c>
      <c r="D1409" s="1">
        <v>8</v>
      </c>
      <c r="E1409" s="1">
        <v>256.42</v>
      </c>
      <c r="F1409" s="1">
        <v>23</v>
      </c>
      <c r="G1409" s="1" t="s">
        <v>5</v>
      </c>
      <c r="H1409" s="1">
        <v>1487</v>
      </c>
      <c r="K1409" s="1" t="s">
        <v>103</v>
      </c>
      <c r="L1409" s="1" t="s">
        <v>245</v>
      </c>
      <c r="M1409" s="1" t="s">
        <v>246</v>
      </c>
      <c r="N1409" s="1" t="s">
        <v>253</v>
      </c>
      <c r="O1409" s="1">
        <v>341.07</v>
      </c>
      <c r="P1409" s="1" t="s">
        <v>210</v>
      </c>
    </row>
    <row r="1410" spans="1:16">
      <c r="A1410" s="7">
        <v>40023</v>
      </c>
      <c r="B1410" s="1">
        <v>843</v>
      </c>
      <c r="C1410" s="1" t="s">
        <v>234</v>
      </c>
      <c r="D1410" s="1">
        <v>3</v>
      </c>
      <c r="E1410" s="1">
        <v>453.96</v>
      </c>
      <c r="F1410" s="1">
        <v>23</v>
      </c>
      <c r="G1410" s="1" t="s">
        <v>5</v>
      </c>
      <c r="H1410" s="1">
        <v>771</v>
      </c>
      <c r="K1410" s="1" t="s">
        <v>103</v>
      </c>
      <c r="L1410" s="1" t="s">
        <v>245</v>
      </c>
      <c r="M1410" s="1" t="s">
        <v>246</v>
      </c>
      <c r="N1410" s="1" t="s">
        <v>253</v>
      </c>
      <c r="O1410" s="1">
        <v>39.24</v>
      </c>
      <c r="P1410" s="1" t="s">
        <v>210</v>
      </c>
    </row>
    <row r="1411" spans="1:16">
      <c r="A1411" s="7">
        <v>40023</v>
      </c>
      <c r="B1411" s="1">
        <v>821</v>
      </c>
      <c r="C1411" s="1" t="s">
        <v>235</v>
      </c>
      <c r="D1411" s="1">
        <v>1</v>
      </c>
      <c r="E1411" s="1">
        <v>532.99</v>
      </c>
      <c r="F1411" s="1">
        <v>23</v>
      </c>
      <c r="G1411" s="1" t="s">
        <v>6</v>
      </c>
      <c r="H1411" s="1">
        <v>46</v>
      </c>
      <c r="K1411" s="1" t="s">
        <v>77</v>
      </c>
      <c r="L1411" s="1" t="s">
        <v>245</v>
      </c>
      <c r="M1411" s="1" t="s">
        <v>246</v>
      </c>
      <c r="N1411" s="1" t="s">
        <v>253</v>
      </c>
      <c r="O1411" s="1">
        <v>14.04</v>
      </c>
      <c r="P1411" s="1" t="s">
        <v>210</v>
      </c>
    </row>
    <row r="1412" spans="1:16">
      <c r="A1412" s="7">
        <v>40023</v>
      </c>
      <c r="B1412" s="1">
        <v>832</v>
      </c>
      <c r="C1412" s="1" t="s">
        <v>234</v>
      </c>
      <c r="D1412" s="1">
        <v>1</v>
      </c>
      <c r="E1412" s="1">
        <v>651.5</v>
      </c>
      <c r="F1412" s="1">
        <v>23</v>
      </c>
      <c r="G1412" s="1" t="s">
        <v>6</v>
      </c>
      <c r="H1412" s="1">
        <v>1067</v>
      </c>
      <c r="K1412" s="1" t="s">
        <v>77</v>
      </c>
      <c r="L1412" s="1" t="s">
        <v>245</v>
      </c>
      <c r="M1412" s="1" t="s">
        <v>246</v>
      </c>
      <c r="N1412" s="1" t="s">
        <v>253</v>
      </c>
      <c r="O1412" s="1">
        <v>338.22</v>
      </c>
      <c r="P1412" s="1" t="s">
        <v>210</v>
      </c>
    </row>
    <row r="1413" spans="1:16">
      <c r="A1413" s="7">
        <v>40023</v>
      </c>
      <c r="B1413" s="1">
        <v>841</v>
      </c>
      <c r="C1413" s="1" t="s">
        <v>234</v>
      </c>
      <c r="D1413" s="1">
        <v>8</v>
      </c>
      <c r="E1413" s="1">
        <v>835.9</v>
      </c>
      <c r="F1413" s="1">
        <v>23</v>
      </c>
      <c r="G1413" s="1" t="s">
        <v>6</v>
      </c>
      <c r="H1413" s="1">
        <v>56</v>
      </c>
      <c r="K1413" s="1" t="s">
        <v>77</v>
      </c>
      <c r="L1413" s="1" t="s">
        <v>248</v>
      </c>
      <c r="M1413" s="1" t="s">
        <v>249</v>
      </c>
      <c r="N1413" s="1" t="s">
        <v>253</v>
      </c>
      <c r="O1413" s="1">
        <v>1105.45</v>
      </c>
      <c r="P1413" s="1" t="s">
        <v>210</v>
      </c>
    </row>
    <row r="1414" spans="1:16">
      <c r="A1414" s="7">
        <v>40023</v>
      </c>
      <c r="B1414" s="1">
        <v>844</v>
      </c>
      <c r="C1414" s="1" t="s">
        <v>234</v>
      </c>
      <c r="D1414" s="1">
        <v>3</v>
      </c>
      <c r="E1414" s="1">
        <v>361.78</v>
      </c>
      <c r="F1414" s="1">
        <v>23</v>
      </c>
      <c r="G1414" s="1" t="s">
        <v>6</v>
      </c>
      <c r="H1414" s="1">
        <v>394</v>
      </c>
      <c r="K1414" s="1" t="s">
        <v>155</v>
      </c>
      <c r="L1414" s="1" t="s">
        <v>258</v>
      </c>
      <c r="M1414" s="1" t="s">
        <v>259</v>
      </c>
      <c r="N1414" s="1" t="s">
        <v>253</v>
      </c>
      <c r="O1414" s="1">
        <v>936</v>
      </c>
      <c r="P1414" s="1" t="s">
        <v>210</v>
      </c>
    </row>
    <row r="1415" spans="1:16">
      <c r="A1415" s="7">
        <v>40085</v>
      </c>
      <c r="B1415" s="1">
        <v>594</v>
      </c>
      <c r="C1415" s="1" t="s">
        <v>234</v>
      </c>
      <c r="D1415" s="1">
        <v>4</v>
      </c>
      <c r="E1415" s="1">
        <v>116</v>
      </c>
      <c r="F1415" s="1">
        <v>23</v>
      </c>
      <c r="G1415" s="1" t="s">
        <v>16</v>
      </c>
      <c r="H1415" s="1">
        <v>846</v>
      </c>
      <c r="K1415" s="1" t="s">
        <v>88</v>
      </c>
      <c r="L1415" s="1" t="s">
        <v>245</v>
      </c>
      <c r="M1415" s="1" t="s">
        <v>246</v>
      </c>
      <c r="N1415" s="1" t="s">
        <v>253</v>
      </c>
      <c r="O1415" s="1">
        <v>264.89999999999998</v>
      </c>
      <c r="P1415" s="1" t="s">
        <v>210</v>
      </c>
    </row>
    <row r="1416" spans="1:16">
      <c r="A1416" s="7">
        <v>40085</v>
      </c>
      <c r="B1416" s="1">
        <v>1301</v>
      </c>
      <c r="C1416" s="1" t="s">
        <v>234</v>
      </c>
      <c r="D1416" s="1">
        <v>4</v>
      </c>
      <c r="E1416" s="1">
        <v>979.5</v>
      </c>
      <c r="F1416" s="1">
        <v>23</v>
      </c>
      <c r="G1416" s="1" t="s">
        <v>9</v>
      </c>
      <c r="H1416" s="1">
        <v>1423</v>
      </c>
      <c r="K1416" s="1" t="s">
        <v>88</v>
      </c>
      <c r="L1416" s="1" t="s">
        <v>245</v>
      </c>
      <c r="M1416" s="1" t="s">
        <v>246</v>
      </c>
      <c r="N1416" s="1" t="s">
        <v>253</v>
      </c>
      <c r="O1416" s="1">
        <v>268</v>
      </c>
      <c r="P1416" s="1" t="s">
        <v>210</v>
      </c>
    </row>
    <row r="1417" spans="1:16">
      <c r="A1417" s="7">
        <v>40085</v>
      </c>
      <c r="B1417" s="1">
        <v>1166</v>
      </c>
      <c r="C1417" s="1" t="s">
        <v>235</v>
      </c>
      <c r="D1417" s="1">
        <v>4</v>
      </c>
      <c r="E1417" s="1">
        <v>70.540000000000006</v>
      </c>
      <c r="F1417" s="1">
        <v>23</v>
      </c>
      <c r="G1417" s="1" t="s">
        <v>13</v>
      </c>
      <c r="H1417" s="1">
        <v>1093</v>
      </c>
      <c r="K1417" s="1" t="s">
        <v>78</v>
      </c>
      <c r="L1417" s="1" t="s">
        <v>258</v>
      </c>
      <c r="M1417" s="1" t="s">
        <v>259</v>
      </c>
      <c r="N1417" s="1" t="s">
        <v>253</v>
      </c>
      <c r="O1417" s="1">
        <v>1674.45</v>
      </c>
      <c r="P1417" s="1" t="s">
        <v>210</v>
      </c>
    </row>
    <row r="1418" spans="1:16">
      <c r="A1418" s="7">
        <v>40085</v>
      </c>
      <c r="B1418" s="1">
        <v>1160</v>
      </c>
      <c r="C1418" s="1" t="s">
        <v>234</v>
      </c>
      <c r="D1418" s="1">
        <v>1</v>
      </c>
      <c r="E1418" s="1">
        <v>45</v>
      </c>
      <c r="F1418" s="1">
        <v>23</v>
      </c>
      <c r="G1418" s="1" t="s">
        <v>15</v>
      </c>
      <c r="H1418" s="1">
        <v>0</v>
      </c>
      <c r="K1418" s="1" t="s">
        <v>104</v>
      </c>
      <c r="L1418" s="1" t="s">
        <v>245</v>
      </c>
      <c r="M1418" s="1" t="s">
        <v>246</v>
      </c>
      <c r="N1418" s="1" t="s">
        <v>253</v>
      </c>
      <c r="O1418" s="1">
        <v>41.66</v>
      </c>
      <c r="P1418" s="1" t="s">
        <v>210</v>
      </c>
    </row>
    <row r="1419" spans="1:16">
      <c r="A1419" s="7">
        <v>40085</v>
      </c>
      <c r="B1419" s="1">
        <v>1300</v>
      </c>
      <c r="C1419" s="1" t="s">
        <v>234</v>
      </c>
      <c r="D1419" s="1">
        <v>8</v>
      </c>
      <c r="E1419" s="1">
        <v>674.51</v>
      </c>
      <c r="F1419" s="1">
        <v>23</v>
      </c>
      <c r="G1419" s="1" t="s">
        <v>5</v>
      </c>
      <c r="H1419" s="1">
        <v>2146</v>
      </c>
      <c r="K1419" s="1" t="s">
        <v>105</v>
      </c>
      <c r="L1419" s="1" t="s">
        <v>262</v>
      </c>
      <c r="M1419" s="1" t="s">
        <v>263</v>
      </c>
      <c r="N1419" s="1" t="s">
        <v>253</v>
      </c>
      <c r="O1419" s="1">
        <v>2285.4</v>
      </c>
      <c r="P1419" s="1" t="s">
        <v>210</v>
      </c>
    </row>
    <row r="1420" spans="1:16">
      <c r="A1420" s="7">
        <v>40085</v>
      </c>
      <c r="B1420" s="1">
        <v>1346</v>
      </c>
      <c r="C1420" s="1" t="s">
        <v>234</v>
      </c>
      <c r="D1420" s="1">
        <v>8</v>
      </c>
      <c r="E1420" s="1">
        <v>575</v>
      </c>
      <c r="F1420" s="1">
        <v>23</v>
      </c>
      <c r="G1420" s="1" t="s">
        <v>17</v>
      </c>
      <c r="H1420" s="1">
        <v>697</v>
      </c>
      <c r="K1420" s="1" t="s">
        <v>105</v>
      </c>
      <c r="L1420" s="1" t="s">
        <v>262</v>
      </c>
      <c r="M1420" s="1" t="s">
        <v>263</v>
      </c>
      <c r="N1420" s="1" t="s">
        <v>253</v>
      </c>
      <c r="O1420" s="1">
        <v>3106.82</v>
      </c>
      <c r="P1420" s="1" t="s">
        <v>210</v>
      </c>
    </row>
    <row r="1421" spans="1:16">
      <c r="A1421" s="7">
        <v>40085</v>
      </c>
      <c r="B1421" s="1">
        <v>1299</v>
      </c>
      <c r="C1421" s="1" t="s">
        <v>234</v>
      </c>
      <c r="D1421" s="1">
        <v>1</v>
      </c>
      <c r="E1421" s="1">
        <v>111.9</v>
      </c>
      <c r="F1421" s="1">
        <v>23</v>
      </c>
      <c r="G1421" s="1" t="s">
        <v>30</v>
      </c>
      <c r="H1421" s="1">
        <v>2015</v>
      </c>
      <c r="K1421" s="1" t="s">
        <v>105</v>
      </c>
      <c r="L1421" s="1" t="s">
        <v>262</v>
      </c>
      <c r="M1421" s="1" t="s">
        <v>263</v>
      </c>
      <c r="N1421" s="1" t="s">
        <v>253</v>
      </c>
      <c r="O1421" s="1">
        <v>2393.04</v>
      </c>
      <c r="P1421" s="1" t="s">
        <v>210</v>
      </c>
    </row>
    <row r="1422" spans="1:16">
      <c r="A1422" s="7">
        <v>40085</v>
      </c>
      <c r="B1422" s="1">
        <v>1345</v>
      </c>
      <c r="C1422" s="1" t="s">
        <v>234</v>
      </c>
      <c r="D1422" s="1">
        <v>2</v>
      </c>
      <c r="E1422" s="1">
        <v>300</v>
      </c>
      <c r="F1422" s="1">
        <v>23</v>
      </c>
      <c r="G1422" s="1" t="s">
        <v>20</v>
      </c>
      <c r="H1422" s="1">
        <v>2147</v>
      </c>
      <c r="K1422" s="1" t="s">
        <v>100</v>
      </c>
      <c r="L1422" s="1" t="s">
        <v>245</v>
      </c>
      <c r="M1422" s="1" t="s">
        <v>246</v>
      </c>
      <c r="N1422" s="1" t="s">
        <v>253</v>
      </c>
      <c r="O1422" s="1">
        <v>34.840000000000003</v>
      </c>
      <c r="P1422" s="1" t="s">
        <v>210</v>
      </c>
    </row>
    <row r="1423" spans="1:16">
      <c r="A1423" s="7">
        <v>40085</v>
      </c>
      <c r="B1423" s="1">
        <v>1256</v>
      </c>
      <c r="C1423" s="1" t="s">
        <v>234</v>
      </c>
      <c r="D1423" s="1">
        <v>4</v>
      </c>
      <c r="E1423" s="1">
        <v>34</v>
      </c>
      <c r="F1423" s="1">
        <v>23</v>
      </c>
      <c r="G1423" s="1" t="s">
        <v>32</v>
      </c>
      <c r="H1423" s="1">
        <v>1249</v>
      </c>
      <c r="K1423" s="1" t="s">
        <v>155</v>
      </c>
      <c r="L1423" s="1" t="s">
        <v>245</v>
      </c>
      <c r="M1423" s="1" t="s">
        <v>246</v>
      </c>
      <c r="N1423" s="1" t="s">
        <v>253</v>
      </c>
      <c r="O1423" s="1">
        <v>959.2</v>
      </c>
      <c r="P1423" s="1" t="s">
        <v>210</v>
      </c>
    </row>
    <row r="1424" spans="1:16">
      <c r="A1424" s="7">
        <v>40085</v>
      </c>
      <c r="B1424" s="1">
        <v>1350</v>
      </c>
      <c r="C1424" s="1" t="s">
        <v>235</v>
      </c>
      <c r="D1424" s="1">
        <v>1</v>
      </c>
      <c r="E1424" s="1">
        <v>34</v>
      </c>
      <c r="F1424" s="1">
        <v>23</v>
      </c>
      <c r="G1424" s="1" t="s">
        <v>32</v>
      </c>
      <c r="H1424" s="1">
        <v>1039</v>
      </c>
      <c r="K1424" s="1" t="s">
        <v>168</v>
      </c>
      <c r="L1424" s="1" t="s">
        <v>245</v>
      </c>
      <c r="M1424" s="1" t="s">
        <v>246</v>
      </c>
      <c r="N1424" s="1" t="s">
        <v>253</v>
      </c>
      <c r="O1424" s="1">
        <v>14.74</v>
      </c>
      <c r="P1424" s="1" t="s">
        <v>210</v>
      </c>
    </row>
    <row r="1425" spans="1:16">
      <c r="A1425" s="7">
        <v>40115</v>
      </c>
      <c r="B1425" s="1">
        <v>1489</v>
      </c>
      <c r="C1425" s="1" t="s">
        <v>235</v>
      </c>
      <c r="D1425" s="1">
        <v>4</v>
      </c>
      <c r="E1425" s="1">
        <v>4.5</v>
      </c>
      <c r="F1425" s="1">
        <v>23</v>
      </c>
      <c r="G1425" s="1" t="s">
        <v>55</v>
      </c>
      <c r="H1425" s="1">
        <v>764</v>
      </c>
      <c r="K1425" s="1" t="s">
        <v>82</v>
      </c>
      <c r="L1425" s="1" t="s">
        <v>245</v>
      </c>
      <c r="M1425" s="1" t="s">
        <v>246</v>
      </c>
      <c r="N1425" s="1" t="s">
        <v>253</v>
      </c>
      <c r="O1425" s="1">
        <v>237.74</v>
      </c>
      <c r="P1425" s="1" t="s">
        <v>210</v>
      </c>
    </row>
    <row r="1426" spans="1:16">
      <c r="A1426" s="7">
        <v>40115</v>
      </c>
      <c r="B1426" s="1">
        <v>1490</v>
      </c>
      <c r="C1426" s="1" t="s">
        <v>235</v>
      </c>
      <c r="D1426" s="1">
        <v>4</v>
      </c>
      <c r="E1426" s="1">
        <v>4.5</v>
      </c>
      <c r="F1426" s="1">
        <v>23</v>
      </c>
      <c r="G1426" s="1" t="s">
        <v>14</v>
      </c>
      <c r="H1426" s="1">
        <v>1847</v>
      </c>
      <c r="K1426" s="1" t="s">
        <v>81</v>
      </c>
      <c r="L1426" s="1" t="s">
        <v>245</v>
      </c>
      <c r="M1426" s="1" t="s">
        <v>246</v>
      </c>
      <c r="N1426" s="1" t="s">
        <v>253</v>
      </c>
      <c r="O1426" s="1">
        <v>154.72</v>
      </c>
      <c r="P1426" s="1" t="s">
        <v>210</v>
      </c>
    </row>
    <row r="1427" spans="1:16">
      <c r="A1427" s="7">
        <v>40176</v>
      </c>
      <c r="B1427" s="1">
        <v>1562</v>
      </c>
      <c r="C1427" s="1" t="s">
        <v>239</v>
      </c>
      <c r="D1427" s="1">
        <v>99</v>
      </c>
      <c r="E1427" s="1">
        <v>20</v>
      </c>
      <c r="F1427" s="1">
        <v>23</v>
      </c>
      <c r="G1427" s="1" t="s">
        <v>16</v>
      </c>
      <c r="H1427" s="1">
        <v>0</v>
      </c>
      <c r="K1427" s="1" t="s">
        <v>81</v>
      </c>
      <c r="L1427" s="1" t="s">
        <v>245</v>
      </c>
      <c r="M1427" s="1" t="s">
        <v>246</v>
      </c>
      <c r="N1427" s="1" t="s">
        <v>253</v>
      </c>
      <c r="O1427" s="1">
        <v>36</v>
      </c>
      <c r="P1427" s="1" t="s">
        <v>210</v>
      </c>
    </row>
    <row r="1428" spans="1:16">
      <c r="A1428" s="7">
        <v>40176</v>
      </c>
      <c r="B1428" s="1">
        <v>1584</v>
      </c>
      <c r="C1428" s="1" t="s">
        <v>239</v>
      </c>
      <c r="D1428" s="1">
        <v>99</v>
      </c>
      <c r="E1428" s="1">
        <v>10</v>
      </c>
      <c r="F1428" s="1">
        <v>23</v>
      </c>
      <c r="G1428" s="1" t="s">
        <v>16</v>
      </c>
      <c r="H1428" s="1">
        <v>0</v>
      </c>
      <c r="K1428" s="1" t="s">
        <v>104</v>
      </c>
      <c r="L1428" s="1" t="s">
        <v>245</v>
      </c>
      <c r="M1428" s="1" t="s">
        <v>246</v>
      </c>
      <c r="N1428" s="1" t="s">
        <v>253</v>
      </c>
      <c r="O1428" s="1">
        <v>57.3</v>
      </c>
      <c r="P1428" s="1" t="s">
        <v>210</v>
      </c>
    </row>
    <row r="1429" spans="1:16">
      <c r="A1429" s="7">
        <v>39843</v>
      </c>
      <c r="B1429" s="1">
        <v>71</v>
      </c>
      <c r="C1429" s="1" t="s">
        <v>239</v>
      </c>
      <c r="D1429" s="1">
        <v>99</v>
      </c>
      <c r="E1429" s="1">
        <v>58.8</v>
      </c>
      <c r="F1429" s="1">
        <v>23</v>
      </c>
      <c r="G1429" s="1" t="s">
        <v>16</v>
      </c>
      <c r="H1429" s="1">
        <v>0</v>
      </c>
      <c r="K1429" s="1" t="s">
        <v>104</v>
      </c>
      <c r="L1429" s="1" t="s">
        <v>245</v>
      </c>
      <c r="M1429" s="1" t="s">
        <v>246</v>
      </c>
      <c r="N1429" s="1" t="s">
        <v>253</v>
      </c>
      <c r="O1429" s="1">
        <v>19.100000000000001</v>
      </c>
      <c r="P1429" s="1" t="s">
        <v>210</v>
      </c>
    </row>
    <row r="1430" spans="1:16">
      <c r="A1430" s="7">
        <v>39843</v>
      </c>
      <c r="B1430" s="1">
        <v>135</v>
      </c>
      <c r="C1430" s="1" t="s">
        <v>234</v>
      </c>
      <c r="D1430" s="1">
        <v>4</v>
      </c>
      <c r="E1430" s="1">
        <v>3069.27</v>
      </c>
      <c r="F1430" s="1">
        <v>23</v>
      </c>
      <c r="G1430" s="1" t="s">
        <v>16</v>
      </c>
      <c r="H1430" s="1">
        <v>0</v>
      </c>
      <c r="K1430" s="1" t="s">
        <v>88</v>
      </c>
      <c r="L1430" s="1" t="s">
        <v>245</v>
      </c>
      <c r="M1430" s="1" t="s">
        <v>246</v>
      </c>
      <c r="N1430" s="1" t="s">
        <v>253</v>
      </c>
      <c r="O1430" s="1">
        <v>299.77999999999997</v>
      </c>
      <c r="P1430" s="1" t="s">
        <v>210</v>
      </c>
    </row>
    <row r="1431" spans="1:16">
      <c r="A1431" s="7">
        <v>39843</v>
      </c>
      <c r="B1431" s="1">
        <v>72</v>
      </c>
      <c r="C1431" s="1" t="s">
        <v>235</v>
      </c>
      <c r="D1431" s="1">
        <v>1</v>
      </c>
      <c r="E1431" s="1">
        <v>437.44</v>
      </c>
      <c r="F1431" s="1">
        <v>23</v>
      </c>
      <c r="G1431" s="1" t="s">
        <v>28</v>
      </c>
      <c r="H1431" s="1">
        <v>2006</v>
      </c>
      <c r="K1431" s="1" t="s">
        <v>88</v>
      </c>
      <c r="L1431" s="1" t="s">
        <v>258</v>
      </c>
      <c r="M1431" s="1" t="s">
        <v>259</v>
      </c>
      <c r="N1431" s="1" t="s">
        <v>253</v>
      </c>
      <c r="O1431" s="1">
        <v>12.45</v>
      </c>
      <c r="P1431" s="1" t="s">
        <v>210</v>
      </c>
    </row>
    <row r="1432" spans="1:16">
      <c r="A1432" s="7">
        <v>39902</v>
      </c>
      <c r="B1432" s="1">
        <v>517</v>
      </c>
      <c r="C1432" s="1" t="s">
        <v>234</v>
      </c>
      <c r="D1432" s="1">
        <v>4</v>
      </c>
      <c r="E1432" s="1">
        <v>225</v>
      </c>
      <c r="F1432" s="1">
        <v>23</v>
      </c>
      <c r="G1432" s="1" t="s">
        <v>4</v>
      </c>
      <c r="H1432" s="1">
        <v>0</v>
      </c>
      <c r="K1432" s="1" t="s">
        <v>88</v>
      </c>
      <c r="L1432" s="1" t="s">
        <v>258</v>
      </c>
      <c r="M1432" s="1" t="s">
        <v>259</v>
      </c>
      <c r="N1432" s="1" t="s">
        <v>253</v>
      </c>
      <c r="O1432" s="1">
        <v>37.75</v>
      </c>
      <c r="P1432" s="1" t="s">
        <v>210</v>
      </c>
    </row>
    <row r="1433" spans="1:16">
      <c r="A1433" s="7">
        <v>39902</v>
      </c>
      <c r="B1433" s="1">
        <v>264</v>
      </c>
      <c r="C1433" s="1" t="s">
        <v>236</v>
      </c>
      <c r="D1433" s="1">
        <v>1</v>
      </c>
      <c r="E1433" s="1">
        <v>-53.83</v>
      </c>
      <c r="F1433" s="1">
        <v>23</v>
      </c>
      <c r="G1433" s="1" t="s">
        <v>29</v>
      </c>
      <c r="H1433" s="1">
        <v>665</v>
      </c>
      <c r="K1433" s="1" t="s">
        <v>80</v>
      </c>
      <c r="L1433" s="1" t="s">
        <v>258</v>
      </c>
      <c r="M1433" s="1" t="s">
        <v>259</v>
      </c>
      <c r="N1433" s="1" t="s">
        <v>253</v>
      </c>
      <c r="O1433" s="1">
        <v>158.1</v>
      </c>
      <c r="P1433" s="1" t="s">
        <v>210</v>
      </c>
    </row>
    <row r="1434" spans="1:16">
      <c r="A1434" s="7">
        <v>39902</v>
      </c>
      <c r="B1434" s="1">
        <v>321</v>
      </c>
      <c r="C1434" s="1" t="s">
        <v>236</v>
      </c>
      <c r="D1434" s="1">
        <v>1</v>
      </c>
      <c r="E1434" s="1">
        <v>-38.450000000000003</v>
      </c>
      <c r="F1434" s="1">
        <v>23</v>
      </c>
      <c r="G1434" s="1" t="s">
        <v>29</v>
      </c>
      <c r="H1434" s="1">
        <v>1330</v>
      </c>
      <c r="K1434" s="1" t="s">
        <v>80</v>
      </c>
      <c r="L1434" s="1" t="s">
        <v>258</v>
      </c>
      <c r="M1434" s="1" t="s">
        <v>259</v>
      </c>
      <c r="N1434" s="1" t="s">
        <v>253</v>
      </c>
      <c r="O1434" s="1">
        <v>174.12</v>
      </c>
      <c r="P1434" s="1" t="s">
        <v>210</v>
      </c>
    </row>
    <row r="1435" spans="1:16">
      <c r="A1435" s="7">
        <v>39902</v>
      </c>
      <c r="B1435" s="1">
        <v>326</v>
      </c>
      <c r="C1435" s="1" t="s">
        <v>236</v>
      </c>
      <c r="D1435" s="1">
        <v>1</v>
      </c>
      <c r="E1435" s="1">
        <v>-158.04</v>
      </c>
      <c r="F1435" s="1">
        <v>23</v>
      </c>
      <c r="G1435" s="1" t="s">
        <v>29</v>
      </c>
      <c r="H1435" s="1">
        <v>1844</v>
      </c>
      <c r="K1435" s="1" t="s">
        <v>76</v>
      </c>
      <c r="L1435" s="1" t="s">
        <v>245</v>
      </c>
      <c r="M1435" s="1" t="s">
        <v>246</v>
      </c>
      <c r="N1435" s="1" t="s">
        <v>253</v>
      </c>
      <c r="O1435" s="1">
        <v>2609</v>
      </c>
      <c r="P1435" s="1" t="s">
        <v>210</v>
      </c>
    </row>
    <row r="1436" spans="1:16">
      <c r="A1436" s="7">
        <v>39902</v>
      </c>
      <c r="B1436" s="1">
        <v>402</v>
      </c>
      <c r="C1436" s="1" t="s">
        <v>236</v>
      </c>
      <c r="D1436" s="1">
        <v>1</v>
      </c>
      <c r="E1436" s="1">
        <v>-46.14</v>
      </c>
      <c r="F1436" s="1">
        <v>23</v>
      </c>
      <c r="G1436" s="1" t="s">
        <v>29</v>
      </c>
      <c r="H1436" s="1">
        <v>966</v>
      </c>
      <c r="K1436" s="1" t="s">
        <v>106</v>
      </c>
      <c r="L1436" s="1" t="s">
        <v>264</v>
      </c>
      <c r="M1436" s="1" t="s">
        <v>265</v>
      </c>
      <c r="N1436" s="1" t="s">
        <v>253</v>
      </c>
      <c r="O1436" s="1">
        <v>130.32</v>
      </c>
      <c r="P1436" s="1" t="s">
        <v>210</v>
      </c>
    </row>
    <row r="1437" spans="1:16">
      <c r="A1437" s="7">
        <v>39933</v>
      </c>
      <c r="B1437" s="1">
        <v>549</v>
      </c>
      <c r="C1437" s="1" t="s">
        <v>239</v>
      </c>
      <c r="D1437" s="1">
        <v>99</v>
      </c>
      <c r="E1437" s="1">
        <v>36.75</v>
      </c>
      <c r="F1437" s="1">
        <v>23</v>
      </c>
      <c r="G1437" s="1" t="s">
        <v>16</v>
      </c>
      <c r="H1437" s="1">
        <v>0</v>
      </c>
      <c r="K1437" s="1" t="s">
        <v>126</v>
      </c>
      <c r="L1437" s="1" t="s">
        <v>264</v>
      </c>
      <c r="M1437" s="1" t="s">
        <v>265</v>
      </c>
      <c r="N1437" s="1" t="s">
        <v>253</v>
      </c>
      <c r="O1437" s="1">
        <v>3681.25</v>
      </c>
      <c r="P1437" s="1" t="s">
        <v>210</v>
      </c>
    </row>
    <row r="1438" spans="1:16">
      <c r="A1438" s="7">
        <v>39933</v>
      </c>
      <c r="B1438" s="1">
        <v>563</v>
      </c>
      <c r="C1438" s="1" t="s">
        <v>234</v>
      </c>
      <c r="D1438" s="1">
        <v>4</v>
      </c>
      <c r="E1438" s="1">
        <v>440.24</v>
      </c>
      <c r="F1438" s="1">
        <v>23</v>
      </c>
      <c r="G1438" s="1" t="s">
        <v>48</v>
      </c>
      <c r="H1438" s="1">
        <v>156</v>
      </c>
      <c r="K1438" s="1" t="s">
        <v>107</v>
      </c>
      <c r="L1438" s="1" t="s">
        <v>245</v>
      </c>
      <c r="M1438" s="1" t="s">
        <v>246</v>
      </c>
      <c r="N1438" s="1" t="s">
        <v>253</v>
      </c>
      <c r="O1438" s="1">
        <v>65.7</v>
      </c>
      <c r="P1438" s="1" t="s">
        <v>210</v>
      </c>
    </row>
    <row r="1439" spans="1:16">
      <c r="A1439" s="7">
        <v>39933</v>
      </c>
      <c r="B1439" s="1">
        <v>564</v>
      </c>
      <c r="C1439" s="1" t="s">
        <v>234</v>
      </c>
      <c r="D1439" s="1">
        <v>4</v>
      </c>
      <c r="E1439" s="1">
        <v>16.62</v>
      </c>
      <c r="F1439" s="1">
        <v>23</v>
      </c>
      <c r="G1439" s="1" t="s">
        <v>48</v>
      </c>
      <c r="H1439" s="1">
        <v>156</v>
      </c>
      <c r="K1439" s="1" t="s">
        <v>103</v>
      </c>
      <c r="L1439" s="1" t="s">
        <v>264</v>
      </c>
      <c r="M1439" s="1" t="s">
        <v>265</v>
      </c>
      <c r="N1439" s="1" t="s">
        <v>253</v>
      </c>
      <c r="O1439" s="1">
        <v>63.2</v>
      </c>
      <c r="P1439" s="1" t="s">
        <v>210</v>
      </c>
    </row>
    <row r="1440" spans="1:16">
      <c r="A1440" s="7">
        <v>39933</v>
      </c>
      <c r="B1440" s="1">
        <v>483</v>
      </c>
      <c r="C1440" s="1" t="s">
        <v>234</v>
      </c>
      <c r="D1440" s="1">
        <v>4</v>
      </c>
      <c r="E1440" s="1">
        <v>493.48</v>
      </c>
      <c r="F1440" s="1">
        <v>23</v>
      </c>
      <c r="G1440" s="1" t="s">
        <v>29</v>
      </c>
      <c r="H1440" s="1">
        <v>282</v>
      </c>
      <c r="K1440" s="1" t="s">
        <v>108</v>
      </c>
      <c r="L1440" s="1" t="s">
        <v>258</v>
      </c>
      <c r="M1440" s="1" t="s">
        <v>259</v>
      </c>
      <c r="N1440" s="1" t="s">
        <v>253</v>
      </c>
      <c r="O1440" s="1">
        <v>82.86</v>
      </c>
      <c r="P1440" s="1" t="s">
        <v>210</v>
      </c>
    </row>
    <row r="1441" spans="1:16">
      <c r="A1441" s="7">
        <v>39933</v>
      </c>
      <c r="B1441" s="1">
        <v>523</v>
      </c>
      <c r="C1441" s="1" t="s">
        <v>234</v>
      </c>
      <c r="D1441" s="1">
        <v>3</v>
      </c>
      <c r="E1441" s="1">
        <v>191.88</v>
      </c>
      <c r="F1441" s="1">
        <v>23</v>
      </c>
      <c r="G1441" s="1" t="s">
        <v>29</v>
      </c>
      <c r="H1441" s="1">
        <v>645</v>
      </c>
      <c r="K1441" s="1" t="s">
        <v>89</v>
      </c>
      <c r="L1441" s="1" t="s">
        <v>258</v>
      </c>
      <c r="M1441" s="1" t="s">
        <v>259</v>
      </c>
      <c r="N1441" s="1" t="s">
        <v>253</v>
      </c>
      <c r="O1441" s="1">
        <v>49.35</v>
      </c>
      <c r="P1441" s="1" t="s">
        <v>210</v>
      </c>
    </row>
    <row r="1442" spans="1:16">
      <c r="A1442" s="7">
        <v>39933</v>
      </c>
      <c r="B1442" s="1">
        <v>556</v>
      </c>
      <c r="C1442" s="1" t="s">
        <v>235</v>
      </c>
      <c r="D1442" s="1">
        <v>1</v>
      </c>
      <c r="E1442" s="1">
        <v>4.5</v>
      </c>
      <c r="F1442" s="1">
        <v>23</v>
      </c>
      <c r="G1442" s="1" t="s">
        <v>37</v>
      </c>
      <c r="H1442" s="1">
        <v>338</v>
      </c>
      <c r="K1442" s="1" t="s">
        <v>109</v>
      </c>
      <c r="L1442" s="1" t="s">
        <v>245</v>
      </c>
      <c r="M1442" s="1" t="s">
        <v>246</v>
      </c>
      <c r="N1442" s="1" t="s">
        <v>253</v>
      </c>
      <c r="O1442" s="1">
        <v>20.149999999999999</v>
      </c>
      <c r="P1442" s="1" t="s">
        <v>210</v>
      </c>
    </row>
    <row r="1443" spans="1:16">
      <c r="A1443" s="7">
        <v>39994</v>
      </c>
      <c r="B1443" s="1">
        <v>614</v>
      </c>
      <c r="C1443" s="1" t="s">
        <v>239</v>
      </c>
      <c r="D1443" s="1">
        <v>99</v>
      </c>
      <c r="E1443" s="1">
        <v>65.099999999999994</v>
      </c>
      <c r="F1443" s="1">
        <v>23</v>
      </c>
      <c r="G1443" s="1" t="s">
        <v>16</v>
      </c>
      <c r="H1443" s="1">
        <v>0</v>
      </c>
      <c r="K1443" s="1" t="s">
        <v>100</v>
      </c>
      <c r="L1443" s="1" t="s">
        <v>245</v>
      </c>
      <c r="M1443" s="1" t="s">
        <v>246</v>
      </c>
      <c r="N1443" s="1" t="s">
        <v>253</v>
      </c>
      <c r="O1443" s="1">
        <v>30</v>
      </c>
      <c r="P1443" s="1" t="s">
        <v>210</v>
      </c>
    </row>
    <row r="1444" spans="1:16">
      <c r="A1444" s="7">
        <v>39994</v>
      </c>
      <c r="B1444" s="1">
        <v>616</v>
      </c>
      <c r="C1444" s="1" t="s">
        <v>234</v>
      </c>
      <c r="D1444" s="1">
        <v>1</v>
      </c>
      <c r="E1444" s="1">
        <v>34.96</v>
      </c>
      <c r="F1444" s="1">
        <v>23</v>
      </c>
      <c r="G1444" s="1" t="s">
        <v>48</v>
      </c>
      <c r="H1444" s="1">
        <v>0</v>
      </c>
      <c r="K1444" s="1" t="s">
        <v>86</v>
      </c>
      <c r="L1444" s="1" t="s">
        <v>248</v>
      </c>
      <c r="M1444" s="1" t="s">
        <v>249</v>
      </c>
      <c r="N1444" s="1" t="s">
        <v>253</v>
      </c>
      <c r="O1444" s="1">
        <v>35.46</v>
      </c>
      <c r="P1444" s="1" t="s">
        <v>210</v>
      </c>
    </row>
    <row r="1445" spans="1:16">
      <c r="A1445" s="7">
        <v>39994</v>
      </c>
      <c r="B1445" s="1">
        <v>643</v>
      </c>
      <c r="C1445" s="1" t="s">
        <v>234</v>
      </c>
      <c r="D1445" s="1">
        <v>4</v>
      </c>
      <c r="E1445" s="1">
        <v>603.5</v>
      </c>
      <c r="F1445" s="1">
        <v>23</v>
      </c>
      <c r="G1445" s="1" t="s">
        <v>48</v>
      </c>
      <c r="H1445" s="1">
        <v>156</v>
      </c>
      <c r="K1445" s="1" t="s">
        <v>110</v>
      </c>
      <c r="L1445" s="1" t="s">
        <v>256</v>
      </c>
      <c r="M1445" s="1" t="s">
        <v>257</v>
      </c>
      <c r="N1445" s="1" t="s">
        <v>253</v>
      </c>
      <c r="O1445" s="1">
        <v>2017.5</v>
      </c>
      <c r="P1445" s="1" t="s">
        <v>210</v>
      </c>
    </row>
    <row r="1446" spans="1:16">
      <c r="A1446" s="7">
        <v>39994</v>
      </c>
      <c r="B1446" s="1">
        <v>615</v>
      </c>
      <c r="C1446" s="1" t="s">
        <v>235</v>
      </c>
      <c r="D1446" s="1">
        <v>1</v>
      </c>
      <c r="E1446" s="1">
        <v>674.51</v>
      </c>
      <c r="F1446" s="1">
        <v>23</v>
      </c>
      <c r="G1446" s="1" t="s">
        <v>5</v>
      </c>
      <c r="H1446" s="1">
        <v>1693</v>
      </c>
      <c r="K1446" s="1" t="s">
        <v>77</v>
      </c>
      <c r="L1446" s="1" t="s">
        <v>258</v>
      </c>
      <c r="M1446" s="1" t="s">
        <v>259</v>
      </c>
      <c r="N1446" s="1" t="s">
        <v>253</v>
      </c>
      <c r="O1446" s="1">
        <v>36.409999999999997</v>
      </c>
      <c r="P1446" s="1" t="s">
        <v>210</v>
      </c>
    </row>
    <row r="1447" spans="1:16">
      <c r="A1447" s="7">
        <v>39994</v>
      </c>
      <c r="B1447" s="1">
        <v>623</v>
      </c>
      <c r="C1447" s="1" t="s">
        <v>234</v>
      </c>
      <c r="D1447" s="1">
        <v>2</v>
      </c>
      <c r="E1447" s="1">
        <v>300</v>
      </c>
      <c r="F1447" s="1">
        <v>23</v>
      </c>
      <c r="G1447" s="1" t="s">
        <v>20</v>
      </c>
      <c r="H1447" s="1">
        <v>2046</v>
      </c>
      <c r="K1447" s="1" t="s">
        <v>77</v>
      </c>
      <c r="L1447" s="1" t="s">
        <v>258</v>
      </c>
      <c r="M1447" s="1" t="s">
        <v>259</v>
      </c>
      <c r="N1447" s="1" t="s">
        <v>253</v>
      </c>
      <c r="O1447" s="1">
        <v>44.89</v>
      </c>
      <c r="P1447" s="1" t="s">
        <v>210</v>
      </c>
    </row>
    <row r="1448" spans="1:16">
      <c r="A1448" s="7">
        <v>39994</v>
      </c>
      <c r="B1448" s="1">
        <v>624</v>
      </c>
      <c r="C1448" s="1" t="s">
        <v>234</v>
      </c>
      <c r="D1448" s="1">
        <v>2</v>
      </c>
      <c r="E1448" s="1">
        <v>300</v>
      </c>
      <c r="F1448" s="1">
        <v>23</v>
      </c>
      <c r="G1448" s="1" t="s">
        <v>20</v>
      </c>
      <c r="H1448" s="1">
        <v>2047</v>
      </c>
      <c r="K1448" s="1" t="s">
        <v>109</v>
      </c>
      <c r="L1448" s="1" t="s">
        <v>245</v>
      </c>
      <c r="M1448" s="1" t="s">
        <v>246</v>
      </c>
      <c r="N1448" s="1" t="s">
        <v>253</v>
      </c>
      <c r="O1448" s="1">
        <v>46.06</v>
      </c>
      <c r="P1448" s="1" t="s">
        <v>210</v>
      </c>
    </row>
    <row r="1449" spans="1:16">
      <c r="A1449" s="7">
        <v>39994</v>
      </c>
      <c r="B1449" s="1">
        <v>625</v>
      </c>
      <c r="C1449" s="1" t="s">
        <v>234</v>
      </c>
      <c r="D1449" s="1">
        <v>2</v>
      </c>
      <c r="E1449" s="1">
        <v>300</v>
      </c>
      <c r="F1449" s="1">
        <v>23</v>
      </c>
      <c r="G1449" s="1" t="s">
        <v>20</v>
      </c>
      <c r="H1449" s="1">
        <v>91</v>
      </c>
      <c r="K1449" s="1" t="s">
        <v>77</v>
      </c>
      <c r="L1449" s="1" t="s">
        <v>262</v>
      </c>
      <c r="M1449" s="1" t="s">
        <v>263</v>
      </c>
      <c r="N1449" s="1" t="s">
        <v>253</v>
      </c>
      <c r="O1449" s="1">
        <v>2592.38</v>
      </c>
      <c r="P1449" s="1" t="s">
        <v>210</v>
      </c>
    </row>
    <row r="1450" spans="1:16">
      <c r="A1450" s="7">
        <v>40024</v>
      </c>
      <c r="B1450" s="1">
        <v>849</v>
      </c>
      <c r="C1450" s="1" t="s">
        <v>234</v>
      </c>
      <c r="D1450" s="1">
        <v>3</v>
      </c>
      <c r="E1450" s="1">
        <v>556.46</v>
      </c>
      <c r="F1450" s="1">
        <v>23</v>
      </c>
      <c r="G1450" s="1" t="s">
        <v>3</v>
      </c>
      <c r="H1450" s="1">
        <v>1813</v>
      </c>
      <c r="K1450" s="1" t="s">
        <v>77</v>
      </c>
      <c r="L1450" s="1" t="s">
        <v>262</v>
      </c>
      <c r="M1450" s="1" t="s">
        <v>263</v>
      </c>
      <c r="N1450" s="1" t="s">
        <v>253</v>
      </c>
      <c r="O1450" s="1">
        <v>2245.5</v>
      </c>
      <c r="P1450" s="1" t="s">
        <v>210</v>
      </c>
    </row>
    <row r="1451" spans="1:16">
      <c r="A1451" s="7">
        <v>40024</v>
      </c>
      <c r="B1451" s="1">
        <v>850</v>
      </c>
      <c r="C1451" s="1" t="s">
        <v>234</v>
      </c>
      <c r="D1451" s="1">
        <v>2</v>
      </c>
      <c r="E1451" s="1">
        <v>344.85</v>
      </c>
      <c r="F1451" s="1">
        <v>23</v>
      </c>
      <c r="G1451" s="1" t="s">
        <v>3</v>
      </c>
      <c r="H1451" s="1">
        <v>1841</v>
      </c>
      <c r="K1451" s="1" t="s">
        <v>78</v>
      </c>
      <c r="L1451" s="1" t="s">
        <v>256</v>
      </c>
      <c r="M1451" s="1" t="s">
        <v>257</v>
      </c>
      <c r="N1451" s="1" t="s">
        <v>253</v>
      </c>
      <c r="O1451" s="1">
        <v>710</v>
      </c>
      <c r="P1451" s="1" t="s">
        <v>210</v>
      </c>
    </row>
    <row r="1452" spans="1:16">
      <c r="A1452" s="7">
        <v>40024</v>
      </c>
      <c r="B1452" s="1">
        <v>851</v>
      </c>
      <c r="C1452" s="1" t="s">
        <v>235</v>
      </c>
      <c r="D1452" s="1">
        <v>1</v>
      </c>
      <c r="E1452" s="1">
        <v>414.46</v>
      </c>
      <c r="F1452" s="1">
        <v>23</v>
      </c>
      <c r="G1452" s="1" t="s">
        <v>5</v>
      </c>
      <c r="H1452" s="1">
        <v>765</v>
      </c>
      <c r="K1452" s="1" t="s">
        <v>155</v>
      </c>
      <c r="L1452" s="1" t="s">
        <v>256</v>
      </c>
      <c r="M1452" s="1" t="s">
        <v>257</v>
      </c>
      <c r="N1452" s="1" t="s">
        <v>253</v>
      </c>
      <c r="O1452" s="1">
        <v>440</v>
      </c>
      <c r="P1452" s="1" t="s">
        <v>210</v>
      </c>
    </row>
    <row r="1453" spans="1:16">
      <c r="A1453" s="7">
        <v>40024</v>
      </c>
      <c r="B1453" s="1">
        <v>822</v>
      </c>
      <c r="C1453" s="1" t="s">
        <v>235</v>
      </c>
      <c r="D1453" s="1">
        <v>1</v>
      </c>
      <c r="E1453" s="1">
        <v>414.46</v>
      </c>
      <c r="F1453" s="1">
        <v>23</v>
      </c>
      <c r="G1453" s="1" t="s">
        <v>6</v>
      </c>
      <c r="H1453" s="1">
        <v>1968</v>
      </c>
      <c r="K1453" s="1" t="s">
        <v>78</v>
      </c>
      <c r="L1453" s="1" t="s">
        <v>256</v>
      </c>
      <c r="M1453" s="1" t="s">
        <v>257</v>
      </c>
      <c r="N1453" s="1" t="s">
        <v>253</v>
      </c>
      <c r="O1453" s="1">
        <v>475</v>
      </c>
      <c r="P1453" s="1" t="s">
        <v>210</v>
      </c>
    </row>
    <row r="1454" spans="1:16">
      <c r="A1454" s="7">
        <v>40024</v>
      </c>
      <c r="B1454" s="1">
        <v>823</v>
      </c>
      <c r="C1454" s="1" t="s">
        <v>235</v>
      </c>
      <c r="D1454" s="1">
        <v>1</v>
      </c>
      <c r="E1454" s="1">
        <v>1152.31</v>
      </c>
      <c r="F1454" s="1">
        <v>23</v>
      </c>
      <c r="G1454" s="1" t="s">
        <v>6</v>
      </c>
      <c r="H1454" s="1">
        <v>1330</v>
      </c>
      <c r="K1454" s="1" t="s">
        <v>78</v>
      </c>
      <c r="L1454" s="1" t="s">
        <v>256</v>
      </c>
      <c r="M1454" s="1" t="s">
        <v>257</v>
      </c>
      <c r="N1454" s="1" t="s">
        <v>253</v>
      </c>
      <c r="O1454" s="1">
        <v>1800</v>
      </c>
      <c r="P1454" s="1" t="s">
        <v>210</v>
      </c>
    </row>
    <row r="1455" spans="1:16">
      <c r="A1455" s="7">
        <v>40024</v>
      </c>
      <c r="B1455" s="1">
        <v>824</v>
      </c>
      <c r="C1455" s="1" t="s">
        <v>235</v>
      </c>
      <c r="D1455" s="1">
        <v>1</v>
      </c>
      <c r="E1455" s="1">
        <v>519.82000000000005</v>
      </c>
      <c r="F1455" s="1">
        <v>23</v>
      </c>
      <c r="G1455" s="1" t="s">
        <v>6</v>
      </c>
      <c r="H1455" s="1">
        <v>484</v>
      </c>
      <c r="K1455" s="1" t="s">
        <v>98</v>
      </c>
      <c r="L1455" s="1" t="s">
        <v>245</v>
      </c>
      <c r="M1455" s="1" t="s">
        <v>246</v>
      </c>
      <c r="N1455" s="1" t="s">
        <v>253</v>
      </c>
      <c r="O1455" s="1">
        <v>669.24</v>
      </c>
      <c r="P1455" s="1" t="s">
        <v>210</v>
      </c>
    </row>
    <row r="1456" spans="1:16">
      <c r="A1456" s="7">
        <v>40024</v>
      </c>
      <c r="B1456" s="1">
        <v>837</v>
      </c>
      <c r="C1456" s="1" t="s">
        <v>234</v>
      </c>
      <c r="D1456" s="1">
        <v>4</v>
      </c>
      <c r="E1456" s="1">
        <v>564.14</v>
      </c>
      <c r="F1456" s="1">
        <v>23</v>
      </c>
      <c r="G1456" s="1" t="s">
        <v>6</v>
      </c>
      <c r="H1456" s="1">
        <v>152</v>
      </c>
      <c r="K1456" s="1" t="s">
        <v>82</v>
      </c>
      <c r="L1456" s="1" t="s">
        <v>245</v>
      </c>
      <c r="M1456" s="1" t="s">
        <v>246</v>
      </c>
      <c r="N1456" s="1" t="s">
        <v>253</v>
      </c>
      <c r="O1456" s="1">
        <v>25</v>
      </c>
      <c r="P1456" s="1" t="s">
        <v>210</v>
      </c>
    </row>
    <row r="1457" spans="1:16">
      <c r="A1457" s="7">
        <v>40024</v>
      </c>
      <c r="B1457" s="1">
        <v>838</v>
      </c>
      <c r="C1457" s="1" t="s">
        <v>234</v>
      </c>
      <c r="D1457" s="1">
        <v>4</v>
      </c>
      <c r="E1457" s="1">
        <v>537.89</v>
      </c>
      <c r="F1457" s="1">
        <v>23</v>
      </c>
      <c r="G1457" s="1" t="s">
        <v>6</v>
      </c>
      <c r="H1457" s="1">
        <v>1782</v>
      </c>
      <c r="K1457" s="1" t="s">
        <v>127</v>
      </c>
      <c r="L1457" s="1" t="s">
        <v>245</v>
      </c>
      <c r="M1457" s="1" t="s">
        <v>246</v>
      </c>
      <c r="N1457" s="1" t="s">
        <v>253</v>
      </c>
      <c r="O1457" s="1">
        <v>780</v>
      </c>
      <c r="P1457" s="1" t="s">
        <v>210</v>
      </c>
    </row>
    <row r="1458" spans="1:16">
      <c r="A1458" s="7">
        <v>40024</v>
      </c>
      <c r="B1458" s="1">
        <v>845</v>
      </c>
      <c r="C1458" s="1" t="s">
        <v>234</v>
      </c>
      <c r="D1458" s="1">
        <v>3</v>
      </c>
      <c r="E1458" s="1">
        <v>501.18</v>
      </c>
      <c r="F1458" s="1">
        <v>23</v>
      </c>
      <c r="G1458" s="1" t="s">
        <v>6</v>
      </c>
      <c r="H1458" s="1">
        <v>970</v>
      </c>
      <c r="K1458" s="1" t="s">
        <v>110</v>
      </c>
      <c r="L1458" s="1" t="s">
        <v>264</v>
      </c>
      <c r="M1458" s="1" t="s">
        <v>265</v>
      </c>
      <c r="N1458" s="1" t="s">
        <v>253</v>
      </c>
      <c r="O1458" s="1">
        <v>208.02</v>
      </c>
      <c r="P1458" s="1" t="s">
        <v>210</v>
      </c>
    </row>
    <row r="1459" spans="1:16">
      <c r="A1459" s="7">
        <v>40024</v>
      </c>
      <c r="B1459" s="1">
        <v>836</v>
      </c>
      <c r="C1459" s="1" t="s">
        <v>234</v>
      </c>
      <c r="D1459" s="1">
        <v>4</v>
      </c>
      <c r="E1459" s="1">
        <v>575</v>
      </c>
      <c r="F1459" s="1">
        <v>23</v>
      </c>
      <c r="G1459" s="1" t="s">
        <v>17</v>
      </c>
      <c r="H1459" s="1">
        <v>2076</v>
      </c>
      <c r="K1459" s="1" t="s">
        <v>110</v>
      </c>
      <c r="L1459" s="1" t="s">
        <v>264</v>
      </c>
      <c r="M1459" s="1" t="s">
        <v>265</v>
      </c>
      <c r="N1459" s="1" t="s">
        <v>253</v>
      </c>
      <c r="O1459" s="1">
        <v>832.08</v>
      </c>
      <c r="P1459" s="1" t="s">
        <v>210</v>
      </c>
    </row>
    <row r="1460" spans="1:16">
      <c r="A1460" s="7">
        <v>40024</v>
      </c>
      <c r="B1460" s="1">
        <v>637</v>
      </c>
      <c r="C1460" s="1" t="s">
        <v>234</v>
      </c>
      <c r="D1460" s="1">
        <v>1</v>
      </c>
      <c r="E1460" s="1">
        <v>2400</v>
      </c>
      <c r="F1460" s="1">
        <v>23</v>
      </c>
      <c r="G1460" s="1" t="s">
        <v>27</v>
      </c>
      <c r="H1460" s="1">
        <v>0</v>
      </c>
      <c r="K1460" s="1" t="s">
        <v>88</v>
      </c>
      <c r="L1460" s="1" t="s">
        <v>248</v>
      </c>
      <c r="M1460" s="1" t="s">
        <v>249</v>
      </c>
      <c r="N1460" s="1" t="s">
        <v>253</v>
      </c>
      <c r="O1460" s="1">
        <v>259.10000000000002</v>
      </c>
      <c r="P1460" s="1" t="s">
        <v>210</v>
      </c>
    </row>
    <row r="1461" spans="1:16">
      <c r="A1461" s="7">
        <v>40086</v>
      </c>
      <c r="B1461" s="1">
        <v>1377</v>
      </c>
      <c r="C1461" s="1" t="s">
        <v>234</v>
      </c>
      <c r="D1461" s="1">
        <v>1</v>
      </c>
      <c r="E1461" s="1">
        <v>230.5</v>
      </c>
      <c r="F1461" s="1">
        <v>23</v>
      </c>
      <c r="G1461" s="1" t="s">
        <v>42</v>
      </c>
      <c r="H1461" s="1">
        <v>2151</v>
      </c>
      <c r="K1461" s="1" t="s">
        <v>98</v>
      </c>
      <c r="L1461" s="1" t="s">
        <v>245</v>
      </c>
      <c r="M1461" s="1" t="s">
        <v>246</v>
      </c>
      <c r="N1461" s="1" t="s">
        <v>253</v>
      </c>
      <c r="O1461" s="1">
        <v>5.2</v>
      </c>
      <c r="P1461" s="1" t="s">
        <v>210</v>
      </c>
    </row>
    <row r="1462" spans="1:16">
      <c r="A1462" s="7">
        <v>40086</v>
      </c>
      <c r="B1462" s="1">
        <v>1372</v>
      </c>
      <c r="C1462" s="1" t="s">
        <v>239</v>
      </c>
      <c r="D1462" s="1">
        <v>99</v>
      </c>
      <c r="E1462" s="1">
        <v>43.65</v>
      </c>
      <c r="F1462" s="1">
        <v>23</v>
      </c>
      <c r="G1462" s="1" t="s">
        <v>16</v>
      </c>
      <c r="H1462" s="1">
        <v>0</v>
      </c>
      <c r="K1462" s="1" t="s">
        <v>86</v>
      </c>
      <c r="L1462" s="1" t="s">
        <v>248</v>
      </c>
      <c r="M1462" s="1" t="s">
        <v>249</v>
      </c>
      <c r="N1462" s="1" t="s">
        <v>253</v>
      </c>
      <c r="O1462" s="1">
        <v>2.86</v>
      </c>
      <c r="P1462" s="1" t="s">
        <v>210</v>
      </c>
    </row>
    <row r="1463" spans="1:16">
      <c r="A1463" s="7">
        <v>40086</v>
      </c>
      <c r="B1463" s="1">
        <v>1379</v>
      </c>
      <c r="C1463" s="1" t="s">
        <v>234</v>
      </c>
      <c r="D1463" s="1">
        <v>1</v>
      </c>
      <c r="E1463" s="1">
        <v>-0.08</v>
      </c>
      <c r="F1463" s="1">
        <v>23</v>
      </c>
      <c r="G1463" s="1" t="s">
        <v>48</v>
      </c>
      <c r="H1463" s="1">
        <v>0</v>
      </c>
      <c r="K1463" s="1" t="s">
        <v>86</v>
      </c>
      <c r="L1463" s="1" t="s">
        <v>258</v>
      </c>
      <c r="M1463" s="1" t="s">
        <v>259</v>
      </c>
      <c r="N1463" s="1" t="s">
        <v>253</v>
      </c>
      <c r="O1463" s="1">
        <v>62.4</v>
      </c>
      <c r="P1463" s="1" t="s">
        <v>210</v>
      </c>
    </row>
    <row r="1464" spans="1:16">
      <c r="A1464" s="7">
        <v>40086</v>
      </c>
      <c r="B1464" s="1">
        <v>1379</v>
      </c>
      <c r="C1464" s="1" t="s">
        <v>234</v>
      </c>
      <c r="D1464" s="1">
        <v>1</v>
      </c>
      <c r="E1464" s="1">
        <v>44.2</v>
      </c>
      <c r="F1464" s="1">
        <v>23</v>
      </c>
      <c r="G1464" s="1" t="s">
        <v>48</v>
      </c>
      <c r="H1464" s="1">
        <v>0</v>
      </c>
      <c r="K1464" s="1" t="s">
        <v>86</v>
      </c>
      <c r="L1464" s="1" t="s">
        <v>258</v>
      </c>
      <c r="M1464" s="1" t="s">
        <v>259</v>
      </c>
      <c r="N1464" s="1" t="s">
        <v>253</v>
      </c>
      <c r="O1464" s="1">
        <v>77.17</v>
      </c>
      <c r="P1464" s="1" t="s">
        <v>210</v>
      </c>
    </row>
    <row r="1465" spans="1:16">
      <c r="A1465" s="7">
        <v>40086</v>
      </c>
      <c r="B1465" s="1">
        <v>1437</v>
      </c>
      <c r="C1465" s="1" t="s">
        <v>234</v>
      </c>
      <c r="D1465" s="1">
        <v>4</v>
      </c>
      <c r="E1465" s="1">
        <v>376.36</v>
      </c>
      <c r="F1465" s="1">
        <v>23</v>
      </c>
      <c r="G1465" s="1" t="s">
        <v>48</v>
      </c>
      <c r="H1465" s="1">
        <v>156</v>
      </c>
      <c r="K1465" s="1" t="s">
        <v>86</v>
      </c>
      <c r="L1465" s="1" t="s">
        <v>258</v>
      </c>
      <c r="M1465" s="1" t="s">
        <v>259</v>
      </c>
      <c r="N1465" s="1" t="s">
        <v>253</v>
      </c>
      <c r="O1465" s="1">
        <v>15.6</v>
      </c>
      <c r="P1465" s="1" t="s">
        <v>210</v>
      </c>
    </row>
    <row r="1466" spans="1:16">
      <c r="A1466" s="7">
        <v>40086</v>
      </c>
      <c r="B1466" s="1">
        <v>1269</v>
      </c>
      <c r="C1466" s="1" t="s">
        <v>234</v>
      </c>
      <c r="D1466" s="1">
        <v>1</v>
      </c>
      <c r="E1466" s="1">
        <v>489.75</v>
      </c>
      <c r="F1466" s="1">
        <v>23</v>
      </c>
      <c r="G1466" s="1" t="s">
        <v>7</v>
      </c>
      <c r="H1466" s="1">
        <v>0</v>
      </c>
      <c r="K1466" s="1" t="s">
        <v>155</v>
      </c>
      <c r="L1466" s="1" t="s">
        <v>258</v>
      </c>
      <c r="M1466" s="1" t="s">
        <v>259</v>
      </c>
      <c r="N1466" s="1" t="s">
        <v>253</v>
      </c>
      <c r="O1466" s="1">
        <v>101.92</v>
      </c>
      <c r="P1466" s="1" t="s">
        <v>210</v>
      </c>
    </row>
    <row r="1467" spans="1:16">
      <c r="A1467" s="7">
        <v>40086</v>
      </c>
      <c r="B1467" s="1">
        <v>1169</v>
      </c>
      <c r="C1467" s="1" t="s">
        <v>234</v>
      </c>
      <c r="D1467" s="1">
        <v>3</v>
      </c>
      <c r="E1467" s="1">
        <v>62.7</v>
      </c>
      <c r="F1467" s="1">
        <v>23</v>
      </c>
      <c r="G1467" s="1" t="s">
        <v>13</v>
      </c>
      <c r="H1467" s="1">
        <v>1428</v>
      </c>
      <c r="K1467" s="1" t="s">
        <v>100</v>
      </c>
      <c r="L1467" s="1" t="s">
        <v>258</v>
      </c>
      <c r="M1467" s="1" t="s">
        <v>259</v>
      </c>
      <c r="N1467" s="1" t="s">
        <v>253</v>
      </c>
      <c r="O1467" s="1">
        <v>22.88</v>
      </c>
      <c r="P1467" s="1" t="s">
        <v>210</v>
      </c>
    </row>
    <row r="1468" spans="1:16">
      <c r="A1468" s="7">
        <v>40086</v>
      </c>
      <c r="B1468" s="1">
        <v>1352</v>
      </c>
      <c r="C1468" s="1" t="s">
        <v>235</v>
      </c>
      <c r="D1468" s="1">
        <v>4</v>
      </c>
      <c r="E1468" s="1">
        <v>4.5</v>
      </c>
      <c r="F1468" s="1">
        <v>23</v>
      </c>
      <c r="G1468" s="1" t="s">
        <v>14</v>
      </c>
      <c r="H1468" s="1">
        <v>1465</v>
      </c>
      <c r="K1468" s="1" t="s">
        <v>86</v>
      </c>
      <c r="L1468" s="1" t="s">
        <v>258</v>
      </c>
      <c r="M1468" s="1" t="s">
        <v>259</v>
      </c>
      <c r="N1468" s="1" t="s">
        <v>253</v>
      </c>
      <c r="O1468" s="1">
        <v>22.88</v>
      </c>
      <c r="P1468" s="1" t="s">
        <v>210</v>
      </c>
    </row>
    <row r="1469" spans="1:16">
      <c r="A1469" s="7">
        <v>40086</v>
      </c>
      <c r="B1469" s="1">
        <v>1054</v>
      </c>
      <c r="C1469" s="1" t="s">
        <v>236</v>
      </c>
      <c r="D1469" s="1">
        <v>4</v>
      </c>
      <c r="E1469" s="1">
        <v>-635</v>
      </c>
      <c r="F1469" s="1">
        <v>23</v>
      </c>
      <c r="G1469" s="1" t="s">
        <v>5</v>
      </c>
      <c r="H1469" s="1">
        <v>2100</v>
      </c>
      <c r="K1469" s="1" t="s">
        <v>76</v>
      </c>
      <c r="L1469" s="1" t="s">
        <v>245</v>
      </c>
      <c r="M1469" s="1" t="s">
        <v>246</v>
      </c>
      <c r="N1469" s="1" t="s">
        <v>253</v>
      </c>
      <c r="O1469" s="1">
        <v>901.42</v>
      </c>
      <c r="P1469" s="1" t="s">
        <v>210</v>
      </c>
    </row>
    <row r="1470" spans="1:16">
      <c r="A1470" s="7">
        <v>40086</v>
      </c>
      <c r="B1470" s="1">
        <v>1351</v>
      </c>
      <c r="C1470" s="1" t="s">
        <v>234</v>
      </c>
      <c r="D1470" s="1">
        <v>2</v>
      </c>
      <c r="E1470" s="1">
        <v>555.96</v>
      </c>
      <c r="F1470" s="1">
        <v>23</v>
      </c>
      <c r="G1470" s="1" t="s">
        <v>5</v>
      </c>
      <c r="H1470" s="1">
        <v>2150</v>
      </c>
      <c r="K1470" s="1" t="s">
        <v>100</v>
      </c>
      <c r="L1470" s="1" t="s">
        <v>264</v>
      </c>
      <c r="M1470" s="1" t="s">
        <v>265</v>
      </c>
      <c r="N1470" s="1" t="s">
        <v>253</v>
      </c>
      <c r="O1470" s="1">
        <v>910</v>
      </c>
      <c r="P1470" s="1" t="s">
        <v>210</v>
      </c>
    </row>
    <row r="1471" spans="1:16">
      <c r="A1471" s="7">
        <v>40086</v>
      </c>
      <c r="B1471" s="1">
        <v>667</v>
      </c>
      <c r="C1471" s="1" t="s">
        <v>236</v>
      </c>
      <c r="D1471" s="1">
        <v>4</v>
      </c>
      <c r="E1471" s="1">
        <v>-39.51</v>
      </c>
      <c r="F1471" s="1">
        <v>23</v>
      </c>
      <c r="G1471" s="1" t="s">
        <v>6</v>
      </c>
      <c r="H1471" s="1">
        <v>163</v>
      </c>
      <c r="K1471" s="1" t="s">
        <v>100</v>
      </c>
      <c r="L1471" s="1" t="s">
        <v>264</v>
      </c>
      <c r="M1471" s="1" t="s">
        <v>265</v>
      </c>
      <c r="N1471" s="1" t="s">
        <v>253</v>
      </c>
      <c r="O1471" s="1">
        <v>624</v>
      </c>
      <c r="P1471" s="1" t="s">
        <v>210</v>
      </c>
    </row>
    <row r="1472" spans="1:16">
      <c r="A1472" s="7">
        <v>40086</v>
      </c>
      <c r="B1472" s="1">
        <v>717</v>
      </c>
      <c r="C1472" s="1" t="s">
        <v>236</v>
      </c>
      <c r="D1472" s="1">
        <v>4</v>
      </c>
      <c r="E1472" s="1">
        <v>-46.14</v>
      </c>
      <c r="F1472" s="1">
        <v>23</v>
      </c>
      <c r="G1472" s="1" t="s">
        <v>6</v>
      </c>
      <c r="H1472" s="1">
        <v>326</v>
      </c>
      <c r="K1472" s="1" t="s">
        <v>100</v>
      </c>
      <c r="L1472" s="1" t="s">
        <v>264</v>
      </c>
      <c r="M1472" s="1" t="s">
        <v>265</v>
      </c>
      <c r="N1472" s="1" t="s">
        <v>253</v>
      </c>
      <c r="O1472" s="1">
        <v>416</v>
      </c>
      <c r="P1472" s="1" t="s">
        <v>210</v>
      </c>
    </row>
    <row r="1473" spans="1:16">
      <c r="A1473" s="7">
        <v>40086</v>
      </c>
      <c r="B1473" s="1">
        <v>768</v>
      </c>
      <c r="C1473" s="1" t="s">
        <v>236</v>
      </c>
      <c r="D1473" s="1">
        <v>4</v>
      </c>
      <c r="E1473" s="1">
        <v>-34.61</v>
      </c>
      <c r="F1473" s="1">
        <v>23</v>
      </c>
      <c r="G1473" s="1" t="s">
        <v>6</v>
      </c>
      <c r="H1473" s="1">
        <v>1390</v>
      </c>
      <c r="K1473" s="1" t="s">
        <v>100</v>
      </c>
      <c r="L1473" s="1" t="s">
        <v>245</v>
      </c>
      <c r="M1473" s="1" t="s">
        <v>246</v>
      </c>
      <c r="N1473" s="1" t="s">
        <v>253</v>
      </c>
      <c r="O1473" s="1">
        <v>22.98</v>
      </c>
      <c r="P1473" s="1" t="s">
        <v>210</v>
      </c>
    </row>
    <row r="1474" spans="1:16">
      <c r="A1474" s="7">
        <v>40086</v>
      </c>
      <c r="B1474" s="1">
        <v>770</v>
      </c>
      <c r="C1474" s="1" t="s">
        <v>236</v>
      </c>
      <c r="D1474" s="1">
        <v>4</v>
      </c>
      <c r="E1474" s="1">
        <v>-92.19</v>
      </c>
      <c r="F1474" s="1">
        <v>23</v>
      </c>
      <c r="G1474" s="1" t="s">
        <v>6</v>
      </c>
      <c r="H1474" s="1">
        <v>1779</v>
      </c>
      <c r="K1474" s="1" t="s">
        <v>127</v>
      </c>
      <c r="L1474" s="1" t="s">
        <v>245</v>
      </c>
      <c r="M1474" s="1" t="s">
        <v>246</v>
      </c>
      <c r="N1474" s="1" t="s">
        <v>253</v>
      </c>
      <c r="O1474" s="1">
        <v>667.12</v>
      </c>
      <c r="P1474" s="1" t="s">
        <v>210</v>
      </c>
    </row>
    <row r="1475" spans="1:16">
      <c r="A1475" s="7">
        <v>40086</v>
      </c>
      <c r="B1475" s="1">
        <v>857</v>
      </c>
      <c r="C1475" s="1" t="s">
        <v>236</v>
      </c>
      <c r="D1475" s="1">
        <v>4</v>
      </c>
      <c r="E1475" s="1">
        <v>-197.55</v>
      </c>
      <c r="F1475" s="1">
        <v>23</v>
      </c>
      <c r="G1475" s="1" t="s">
        <v>6</v>
      </c>
      <c r="H1475" s="1">
        <v>282</v>
      </c>
      <c r="K1475" s="1" t="s">
        <v>77</v>
      </c>
      <c r="L1475" s="1" t="s">
        <v>245</v>
      </c>
      <c r="M1475" s="1" t="s">
        <v>246</v>
      </c>
      <c r="N1475" s="1" t="s">
        <v>253</v>
      </c>
      <c r="O1475" s="1">
        <v>317.49</v>
      </c>
      <c r="P1475" s="1" t="s">
        <v>210</v>
      </c>
    </row>
    <row r="1476" spans="1:16">
      <c r="A1476" s="7">
        <v>40086</v>
      </c>
      <c r="B1476" s="1">
        <v>1026</v>
      </c>
      <c r="C1476" s="1" t="s">
        <v>236</v>
      </c>
      <c r="D1476" s="1">
        <v>4</v>
      </c>
      <c r="E1476" s="1">
        <v>-111.9</v>
      </c>
      <c r="F1476" s="1">
        <v>23</v>
      </c>
      <c r="G1476" s="1" t="s">
        <v>6</v>
      </c>
      <c r="H1476" s="1">
        <v>2097</v>
      </c>
      <c r="K1476" s="1" t="s">
        <v>89</v>
      </c>
      <c r="L1476" s="1" t="s">
        <v>245</v>
      </c>
      <c r="M1476" s="1" t="s">
        <v>246</v>
      </c>
      <c r="N1476" s="1" t="s">
        <v>253</v>
      </c>
      <c r="O1476" s="1">
        <v>69</v>
      </c>
      <c r="P1476" s="1" t="s">
        <v>210</v>
      </c>
    </row>
    <row r="1477" spans="1:16">
      <c r="A1477" s="7">
        <v>40086</v>
      </c>
      <c r="B1477" s="1">
        <v>1347</v>
      </c>
      <c r="C1477" s="1" t="s">
        <v>234</v>
      </c>
      <c r="D1477" s="1">
        <v>2</v>
      </c>
      <c r="E1477" s="1">
        <v>575</v>
      </c>
      <c r="F1477" s="1">
        <v>23</v>
      </c>
      <c r="G1477" s="1" t="s">
        <v>17</v>
      </c>
      <c r="H1477" s="1">
        <v>2148</v>
      </c>
      <c r="K1477" s="1" t="s">
        <v>89</v>
      </c>
      <c r="L1477" s="1" t="s">
        <v>245</v>
      </c>
      <c r="M1477" s="1" t="s">
        <v>246</v>
      </c>
      <c r="N1477" s="1" t="s">
        <v>253</v>
      </c>
      <c r="O1477" s="1">
        <v>220.31</v>
      </c>
      <c r="P1477" s="1" t="s">
        <v>210</v>
      </c>
    </row>
    <row r="1478" spans="1:16">
      <c r="A1478" s="7">
        <v>40086</v>
      </c>
      <c r="B1478" s="1">
        <v>1348</v>
      </c>
      <c r="C1478" s="1" t="s">
        <v>234</v>
      </c>
      <c r="D1478" s="1">
        <v>4</v>
      </c>
      <c r="E1478" s="1">
        <v>65</v>
      </c>
      <c r="F1478" s="1">
        <v>23</v>
      </c>
      <c r="G1478" s="1" t="s">
        <v>18</v>
      </c>
      <c r="H1478" s="1">
        <v>2149</v>
      </c>
      <c r="K1478" s="1" t="s">
        <v>110</v>
      </c>
      <c r="L1478" s="1" t="s">
        <v>245</v>
      </c>
      <c r="M1478" s="1" t="s">
        <v>246</v>
      </c>
      <c r="N1478" s="1" t="s">
        <v>253</v>
      </c>
      <c r="O1478" s="1">
        <v>520</v>
      </c>
      <c r="P1478" s="1" t="s">
        <v>210</v>
      </c>
    </row>
    <row r="1479" spans="1:16">
      <c r="A1479" s="7">
        <v>40086</v>
      </c>
      <c r="B1479" s="1">
        <v>1349</v>
      </c>
      <c r="C1479" s="1" t="s">
        <v>234</v>
      </c>
      <c r="D1479" s="1">
        <v>4</v>
      </c>
      <c r="E1479" s="1">
        <v>80</v>
      </c>
      <c r="F1479" s="1">
        <v>23</v>
      </c>
      <c r="G1479" s="1" t="s">
        <v>18</v>
      </c>
      <c r="H1479" s="1">
        <v>1941</v>
      </c>
      <c r="K1479" s="1" t="s">
        <v>155</v>
      </c>
      <c r="L1479" s="1" t="s">
        <v>245</v>
      </c>
      <c r="M1479" s="1" t="s">
        <v>246</v>
      </c>
      <c r="N1479" s="1" t="s">
        <v>253</v>
      </c>
      <c r="O1479" s="1">
        <v>48</v>
      </c>
      <c r="P1479" s="1" t="s">
        <v>210</v>
      </c>
    </row>
    <row r="1480" spans="1:16">
      <c r="A1480" s="7">
        <v>40086</v>
      </c>
      <c r="B1480" s="1">
        <v>1378</v>
      </c>
      <c r="C1480" s="1" t="s">
        <v>234</v>
      </c>
      <c r="D1480" s="1">
        <v>1</v>
      </c>
      <c r="E1480" s="1">
        <v>100</v>
      </c>
      <c r="F1480" s="1">
        <v>23</v>
      </c>
      <c r="G1480" s="1" t="s">
        <v>19</v>
      </c>
      <c r="H1480" s="1">
        <v>1091</v>
      </c>
      <c r="K1480" s="1" t="s">
        <v>126</v>
      </c>
      <c r="L1480" s="1" t="s">
        <v>245</v>
      </c>
      <c r="M1480" s="1" t="s">
        <v>246</v>
      </c>
      <c r="N1480" s="1" t="s">
        <v>253</v>
      </c>
      <c r="O1480" s="1">
        <v>226.42</v>
      </c>
      <c r="P1480" s="1" t="s">
        <v>210</v>
      </c>
    </row>
    <row r="1481" spans="1:16">
      <c r="A1481" s="7">
        <v>40116</v>
      </c>
      <c r="B1481" s="1">
        <v>1491</v>
      </c>
      <c r="C1481" s="1" t="s">
        <v>239</v>
      </c>
      <c r="D1481" s="1">
        <v>99</v>
      </c>
      <c r="E1481" s="1">
        <v>92.1</v>
      </c>
      <c r="F1481" s="1">
        <v>23</v>
      </c>
      <c r="G1481" s="1" t="s">
        <v>16</v>
      </c>
      <c r="H1481" s="1">
        <v>0</v>
      </c>
      <c r="K1481" s="1" t="s">
        <v>110</v>
      </c>
      <c r="L1481" s="1" t="s">
        <v>245</v>
      </c>
      <c r="M1481" s="1" t="s">
        <v>246</v>
      </c>
      <c r="N1481" s="1" t="s">
        <v>253</v>
      </c>
      <c r="O1481" s="1">
        <v>216.34</v>
      </c>
      <c r="P1481" s="1" t="s">
        <v>210</v>
      </c>
    </row>
    <row r="1482" spans="1:16">
      <c r="A1482" s="7">
        <v>40116</v>
      </c>
      <c r="B1482" s="1">
        <v>1506</v>
      </c>
      <c r="C1482" s="1" t="s">
        <v>234</v>
      </c>
      <c r="D1482" s="1">
        <v>4</v>
      </c>
      <c r="E1482" s="1">
        <v>408.68</v>
      </c>
      <c r="F1482" s="1">
        <v>23</v>
      </c>
      <c r="G1482" s="1" t="s">
        <v>48</v>
      </c>
      <c r="H1482" s="1">
        <v>156</v>
      </c>
      <c r="K1482" s="1" t="s">
        <v>104</v>
      </c>
      <c r="L1482" s="1" t="s">
        <v>248</v>
      </c>
      <c r="M1482" s="1" t="s">
        <v>249</v>
      </c>
      <c r="N1482" s="1" t="s">
        <v>253</v>
      </c>
      <c r="O1482" s="1">
        <v>17.420000000000002</v>
      </c>
      <c r="P1482" s="1" t="s">
        <v>210</v>
      </c>
    </row>
    <row r="1483" spans="1:16">
      <c r="A1483" s="7">
        <v>40116</v>
      </c>
      <c r="B1483" s="1">
        <v>1257</v>
      </c>
      <c r="C1483" s="1" t="s">
        <v>238</v>
      </c>
      <c r="D1483" s="1">
        <v>3</v>
      </c>
      <c r="E1483" s="1">
        <v>489.75</v>
      </c>
      <c r="F1483" s="1">
        <v>23</v>
      </c>
      <c r="G1483" s="1" t="s">
        <v>7</v>
      </c>
      <c r="H1483" s="1">
        <v>2112</v>
      </c>
      <c r="K1483" s="1" t="s">
        <v>78</v>
      </c>
      <c r="L1483" s="1" t="s">
        <v>248</v>
      </c>
      <c r="M1483" s="1" t="s">
        <v>249</v>
      </c>
      <c r="N1483" s="1" t="s">
        <v>253</v>
      </c>
      <c r="O1483" s="1">
        <v>1674.4</v>
      </c>
      <c r="P1483" s="1" t="s">
        <v>210</v>
      </c>
    </row>
    <row r="1484" spans="1:16">
      <c r="A1484" s="7">
        <v>40116</v>
      </c>
      <c r="B1484" s="1">
        <v>1258</v>
      </c>
      <c r="C1484" s="1" t="s">
        <v>238</v>
      </c>
      <c r="D1484" s="1">
        <v>3</v>
      </c>
      <c r="E1484" s="1">
        <v>489.75</v>
      </c>
      <c r="F1484" s="1">
        <v>23</v>
      </c>
      <c r="G1484" s="1" t="s">
        <v>7</v>
      </c>
      <c r="H1484" s="1">
        <v>2082</v>
      </c>
      <c r="K1484" s="1" t="s">
        <v>110</v>
      </c>
      <c r="L1484" s="1" t="s">
        <v>262</v>
      </c>
      <c r="M1484" s="1" t="s">
        <v>263</v>
      </c>
      <c r="N1484" s="1" t="s">
        <v>253</v>
      </c>
      <c r="O1484" s="1">
        <v>216.34</v>
      </c>
      <c r="P1484" s="1" t="s">
        <v>210</v>
      </c>
    </row>
    <row r="1485" spans="1:16">
      <c r="A1485" s="7">
        <v>40116</v>
      </c>
      <c r="B1485" s="1">
        <v>1259</v>
      </c>
      <c r="C1485" s="1" t="s">
        <v>238</v>
      </c>
      <c r="D1485" s="1">
        <v>3</v>
      </c>
      <c r="E1485" s="1">
        <v>489.75</v>
      </c>
      <c r="F1485" s="1">
        <v>23</v>
      </c>
      <c r="G1485" s="1" t="s">
        <v>7</v>
      </c>
      <c r="H1485" s="1">
        <v>1277</v>
      </c>
      <c r="K1485" s="1" t="s">
        <v>76</v>
      </c>
      <c r="L1485" s="1" t="s">
        <v>245</v>
      </c>
      <c r="M1485" s="1" t="s">
        <v>246</v>
      </c>
      <c r="N1485" s="1" t="s">
        <v>250</v>
      </c>
      <c r="O1485" s="1">
        <v>367.02</v>
      </c>
      <c r="P1485" s="1" t="s">
        <v>211</v>
      </c>
    </row>
    <row r="1486" spans="1:16">
      <c r="A1486" s="7">
        <v>40116</v>
      </c>
      <c r="B1486" s="1">
        <v>1260</v>
      </c>
      <c r="C1486" s="1" t="s">
        <v>238</v>
      </c>
      <c r="D1486" s="1">
        <v>3</v>
      </c>
      <c r="E1486" s="1">
        <v>464.94</v>
      </c>
      <c r="F1486" s="1">
        <v>23</v>
      </c>
      <c r="G1486" s="1" t="s">
        <v>7</v>
      </c>
      <c r="H1486" s="1">
        <v>0</v>
      </c>
      <c r="K1486" s="1" t="s">
        <v>75</v>
      </c>
      <c r="L1486" s="1" t="s">
        <v>245</v>
      </c>
      <c r="M1486" s="1" t="s">
        <v>246</v>
      </c>
      <c r="N1486" s="1" t="s">
        <v>252</v>
      </c>
      <c r="O1486" s="1">
        <v>13.42</v>
      </c>
      <c r="P1486" s="1" t="s">
        <v>211</v>
      </c>
    </row>
    <row r="1487" spans="1:16">
      <c r="A1487" s="7">
        <v>40116</v>
      </c>
      <c r="B1487" s="1">
        <v>1261</v>
      </c>
      <c r="C1487" s="1" t="s">
        <v>238</v>
      </c>
      <c r="D1487" s="1">
        <v>3</v>
      </c>
      <c r="E1487" s="1">
        <v>489.75</v>
      </c>
      <c r="F1487" s="1">
        <v>23</v>
      </c>
      <c r="G1487" s="1" t="s">
        <v>7</v>
      </c>
      <c r="H1487" s="1">
        <v>0</v>
      </c>
      <c r="K1487" s="1" t="s">
        <v>110</v>
      </c>
      <c r="L1487" s="1" t="s">
        <v>245</v>
      </c>
      <c r="M1487" s="1" t="s">
        <v>246</v>
      </c>
      <c r="N1487" s="1" t="s">
        <v>253</v>
      </c>
      <c r="O1487" s="1">
        <v>216.34</v>
      </c>
      <c r="P1487" s="1" t="s">
        <v>211</v>
      </c>
    </row>
    <row r="1488" spans="1:16">
      <c r="A1488" s="7">
        <v>40116</v>
      </c>
      <c r="B1488" s="1">
        <v>1266</v>
      </c>
      <c r="C1488" s="1" t="s">
        <v>238</v>
      </c>
      <c r="D1488" s="1">
        <v>3</v>
      </c>
      <c r="E1488" s="1">
        <v>529.5</v>
      </c>
      <c r="F1488" s="1">
        <v>23</v>
      </c>
      <c r="G1488" s="1" t="s">
        <v>7</v>
      </c>
      <c r="H1488" s="1">
        <v>2058</v>
      </c>
      <c r="K1488" s="1" t="s">
        <v>86</v>
      </c>
      <c r="L1488" s="1" t="s">
        <v>242</v>
      </c>
      <c r="M1488" s="1" t="s">
        <v>243</v>
      </c>
      <c r="N1488" s="1" t="s">
        <v>254</v>
      </c>
      <c r="O1488" s="1">
        <v>40.380000000000003</v>
      </c>
      <c r="P1488" s="1" t="s">
        <v>212</v>
      </c>
    </row>
    <row r="1489" spans="1:16">
      <c r="A1489" s="7">
        <v>40116</v>
      </c>
      <c r="B1489" s="1">
        <v>1267</v>
      </c>
      <c r="C1489" s="1" t="s">
        <v>238</v>
      </c>
      <c r="D1489" s="1">
        <v>3</v>
      </c>
      <c r="E1489" s="1">
        <v>489.75</v>
      </c>
      <c r="F1489" s="1">
        <v>23</v>
      </c>
      <c r="G1489" s="1" t="s">
        <v>7</v>
      </c>
      <c r="H1489" s="1">
        <v>2089</v>
      </c>
      <c r="K1489" s="1" t="s">
        <v>109</v>
      </c>
      <c r="L1489" s="1" t="s">
        <v>242</v>
      </c>
      <c r="M1489" s="1" t="s">
        <v>243</v>
      </c>
      <c r="N1489" s="1" t="s">
        <v>254</v>
      </c>
      <c r="O1489" s="1">
        <v>10.35</v>
      </c>
      <c r="P1489" s="1" t="s">
        <v>212</v>
      </c>
    </row>
    <row r="1490" spans="1:16">
      <c r="A1490" s="7">
        <v>40116</v>
      </c>
      <c r="B1490" s="1">
        <v>1268</v>
      </c>
      <c r="C1490" s="1" t="s">
        <v>238</v>
      </c>
      <c r="D1490" s="1">
        <v>3</v>
      </c>
      <c r="E1490" s="1">
        <v>489.75</v>
      </c>
      <c r="F1490" s="1">
        <v>23</v>
      </c>
      <c r="G1490" s="1" t="s">
        <v>7</v>
      </c>
      <c r="H1490" s="1">
        <v>1960</v>
      </c>
      <c r="K1490" s="1" t="s">
        <v>76</v>
      </c>
      <c r="L1490" s="1" t="s">
        <v>245</v>
      </c>
      <c r="M1490" s="1" t="s">
        <v>246</v>
      </c>
      <c r="N1490" s="1" t="s">
        <v>250</v>
      </c>
      <c r="O1490" s="1">
        <v>504</v>
      </c>
      <c r="P1490" s="1" t="s">
        <v>212</v>
      </c>
    </row>
    <row r="1491" spans="1:16">
      <c r="A1491" s="7">
        <v>40116</v>
      </c>
      <c r="B1491" s="1">
        <v>1270</v>
      </c>
      <c r="C1491" s="1" t="s">
        <v>234</v>
      </c>
      <c r="D1491" s="1">
        <v>8</v>
      </c>
      <c r="E1491" s="1">
        <v>489.75</v>
      </c>
      <c r="F1491" s="1">
        <v>23</v>
      </c>
      <c r="G1491" s="1" t="s">
        <v>7</v>
      </c>
      <c r="H1491" s="1">
        <v>0</v>
      </c>
      <c r="K1491" s="1" t="s">
        <v>79</v>
      </c>
      <c r="L1491" s="1" t="s">
        <v>256</v>
      </c>
      <c r="M1491" s="1" t="s">
        <v>257</v>
      </c>
      <c r="N1491" s="1" t="s">
        <v>251</v>
      </c>
      <c r="O1491" s="1">
        <v>0.3</v>
      </c>
      <c r="P1491" s="1" t="s">
        <v>212</v>
      </c>
    </row>
    <row r="1492" spans="1:16">
      <c r="A1492" s="7">
        <v>40116</v>
      </c>
      <c r="B1492" s="1">
        <v>1271</v>
      </c>
      <c r="C1492" s="1" t="s">
        <v>238</v>
      </c>
      <c r="D1492" s="1">
        <v>3</v>
      </c>
      <c r="E1492" s="1">
        <v>489.75</v>
      </c>
      <c r="F1492" s="1">
        <v>23</v>
      </c>
      <c r="G1492" s="1" t="s">
        <v>7</v>
      </c>
      <c r="H1492" s="1">
        <v>2079</v>
      </c>
      <c r="K1492" s="1" t="s">
        <v>99</v>
      </c>
      <c r="L1492" s="1" t="s">
        <v>245</v>
      </c>
      <c r="M1492" s="1" t="s">
        <v>246</v>
      </c>
      <c r="N1492" s="1" t="s">
        <v>251</v>
      </c>
      <c r="O1492" s="1">
        <v>28</v>
      </c>
      <c r="P1492" s="1" t="s">
        <v>212</v>
      </c>
    </row>
    <row r="1493" spans="1:16">
      <c r="A1493" s="7">
        <v>40116</v>
      </c>
      <c r="B1493" s="1">
        <v>1272</v>
      </c>
      <c r="C1493" s="1" t="s">
        <v>238</v>
      </c>
      <c r="D1493" s="1">
        <v>3</v>
      </c>
      <c r="E1493" s="1">
        <v>482.66</v>
      </c>
      <c r="F1493" s="1">
        <v>23</v>
      </c>
      <c r="G1493" s="1" t="s">
        <v>7</v>
      </c>
      <c r="H1493" s="1">
        <v>2091</v>
      </c>
      <c r="K1493" s="1" t="s">
        <v>79</v>
      </c>
      <c r="L1493" s="1" t="s">
        <v>262</v>
      </c>
      <c r="M1493" s="1" t="s">
        <v>263</v>
      </c>
      <c r="N1493" s="1" t="s">
        <v>251</v>
      </c>
      <c r="O1493" s="1">
        <v>4</v>
      </c>
      <c r="P1493" s="1" t="s">
        <v>212</v>
      </c>
    </row>
    <row r="1494" spans="1:16">
      <c r="A1494" s="7">
        <v>40116</v>
      </c>
      <c r="B1494" s="1">
        <v>1273</v>
      </c>
      <c r="C1494" s="1" t="s">
        <v>238</v>
      </c>
      <c r="D1494" s="1">
        <v>3</v>
      </c>
      <c r="E1494" s="1">
        <v>482.66</v>
      </c>
      <c r="F1494" s="1">
        <v>23</v>
      </c>
      <c r="G1494" s="1" t="s">
        <v>7</v>
      </c>
      <c r="H1494" s="1">
        <v>2065</v>
      </c>
      <c r="K1494" s="1" t="s">
        <v>63</v>
      </c>
      <c r="L1494" s="1" t="s">
        <v>242</v>
      </c>
      <c r="M1494" s="1" t="s">
        <v>243</v>
      </c>
      <c r="N1494" s="1" t="s">
        <v>244</v>
      </c>
      <c r="O1494" s="1">
        <v>23092.82</v>
      </c>
      <c r="P1494" s="1" t="s">
        <v>213</v>
      </c>
    </row>
    <row r="1495" spans="1:16">
      <c r="A1495" s="7">
        <v>40116</v>
      </c>
      <c r="B1495" s="1">
        <v>1274</v>
      </c>
      <c r="C1495" s="1" t="s">
        <v>238</v>
      </c>
      <c r="D1495" s="1">
        <v>3</v>
      </c>
      <c r="E1495" s="1">
        <v>482.66</v>
      </c>
      <c r="F1495" s="1">
        <v>23</v>
      </c>
      <c r="G1495" s="1" t="s">
        <v>7</v>
      </c>
      <c r="H1495" s="1">
        <v>2145</v>
      </c>
      <c r="K1495" s="1" t="s">
        <v>63</v>
      </c>
      <c r="L1495" s="1" t="s">
        <v>242</v>
      </c>
      <c r="M1495" s="1" t="s">
        <v>243</v>
      </c>
      <c r="N1495" s="1" t="s">
        <v>244</v>
      </c>
      <c r="O1495" s="1">
        <v>-458.65</v>
      </c>
      <c r="P1495" s="1" t="s">
        <v>213</v>
      </c>
    </row>
    <row r="1496" spans="1:16">
      <c r="A1496" s="7">
        <v>40116</v>
      </c>
      <c r="B1496" s="1">
        <v>1275</v>
      </c>
      <c r="C1496" s="1" t="s">
        <v>238</v>
      </c>
      <c r="D1496" s="1">
        <v>3</v>
      </c>
      <c r="E1496" s="1">
        <v>-85.06</v>
      </c>
      <c r="F1496" s="1">
        <v>23</v>
      </c>
      <c r="G1496" s="1" t="s">
        <v>7</v>
      </c>
      <c r="H1496" s="1">
        <v>2123</v>
      </c>
      <c r="K1496" s="1" t="s">
        <v>63</v>
      </c>
      <c r="L1496" s="1" t="s">
        <v>242</v>
      </c>
      <c r="M1496" s="1" t="s">
        <v>243</v>
      </c>
      <c r="N1496" s="1" t="s">
        <v>244</v>
      </c>
      <c r="O1496" s="1">
        <v>12521.45</v>
      </c>
      <c r="P1496" s="1" t="s">
        <v>213</v>
      </c>
    </row>
    <row r="1497" spans="1:16">
      <c r="A1497" s="7">
        <v>40116</v>
      </c>
      <c r="B1497" s="1">
        <v>1275</v>
      </c>
      <c r="C1497" s="1" t="s">
        <v>238</v>
      </c>
      <c r="D1497" s="1">
        <v>3</v>
      </c>
      <c r="E1497" s="1">
        <v>468.49</v>
      </c>
      <c r="F1497" s="1">
        <v>23</v>
      </c>
      <c r="G1497" s="1" t="s">
        <v>7</v>
      </c>
      <c r="H1497" s="1">
        <v>2123</v>
      </c>
      <c r="K1497" s="1" t="s">
        <v>63</v>
      </c>
      <c r="L1497" s="1" t="s">
        <v>242</v>
      </c>
      <c r="M1497" s="1" t="s">
        <v>243</v>
      </c>
      <c r="N1497" s="1" t="s">
        <v>244</v>
      </c>
      <c r="O1497" s="1">
        <v>34940.22</v>
      </c>
      <c r="P1497" s="1" t="s">
        <v>213</v>
      </c>
    </row>
    <row r="1498" spans="1:16">
      <c r="A1498" s="7">
        <v>40116</v>
      </c>
      <c r="B1498" s="1">
        <v>1276</v>
      </c>
      <c r="C1498" s="1" t="s">
        <v>238</v>
      </c>
      <c r="D1498" s="1">
        <v>3</v>
      </c>
      <c r="E1498" s="1">
        <v>489.75</v>
      </c>
      <c r="F1498" s="1">
        <v>23</v>
      </c>
      <c r="G1498" s="1" t="s">
        <v>7</v>
      </c>
      <c r="H1498" s="1">
        <v>2113</v>
      </c>
      <c r="K1498" s="1" t="s">
        <v>63</v>
      </c>
      <c r="L1498" s="1" t="s">
        <v>242</v>
      </c>
      <c r="M1498" s="1" t="s">
        <v>243</v>
      </c>
      <c r="N1498" s="1" t="s">
        <v>244</v>
      </c>
      <c r="O1498" s="1">
        <v>-2474.36</v>
      </c>
      <c r="P1498" s="1" t="s">
        <v>213</v>
      </c>
    </row>
    <row r="1499" spans="1:16">
      <c r="A1499" s="7">
        <v>40116</v>
      </c>
      <c r="B1499" s="1">
        <v>1277</v>
      </c>
      <c r="C1499" s="1" t="s">
        <v>238</v>
      </c>
      <c r="D1499" s="1">
        <v>3</v>
      </c>
      <c r="E1499" s="1">
        <v>489.75</v>
      </c>
      <c r="F1499" s="1">
        <v>23</v>
      </c>
      <c r="G1499" s="1" t="s">
        <v>7</v>
      </c>
      <c r="H1499" s="1">
        <v>1475</v>
      </c>
      <c r="K1499" s="1" t="s">
        <v>63</v>
      </c>
      <c r="L1499" s="1" t="s">
        <v>242</v>
      </c>
      <c r="M1499" s="1" t="s">
        <v>243</v>
      </c>
      <c r="N1499" s="1" t="s">
        <v>244</v>
      </c>
      <c r="O1499" s="1">
        <v>12922.07</v>
      </c>
      <c r="P1499" s="1" t="s">
        <v>213</v>
      </c>
    </row>
    <row r="1500" spans="1:16">
      <c r="A1500" s="7">
        <v>40116</v>
      </c>
      <c r="B1500" s="1">
        <v>1302</v>
      </c>
      <c r="C1500" s="1" t="s">
        <v>238</v>
      </c>
      <c r="D1500" s="1">
        <v>3</v>
      </c>
      <c r="E1500" s="1">
        <v>27.34</v>
      </c>
      <c r="F1500" s="1">
        <v>23</v>
      </c>
      <c r="G1500" s="1" t="s">
        <v>8</v>
      </c>
      <c r="H1500" s="1">
        <v>1358</v>
      </c>
      <c r="K1500" s="1" t="s">
        <v>65</v>
      </c>
      <c r="L1500" s="1" t="s">
        <v>242</v>
      </c>
      <c r="M1500" s="1" t="s">
        <v>243</v>
      </c>
      <c r="N1500" s="1" t="s">
        <v>244</v>
      </c>
      <c r="O1500" s="1">
        <v>9221.1200000000008</v>
      </c>
      <c r="P1500" s="1" t="s">
        <v>213</v>
      </c>
    </row>
    <row r="1501" spans="1:16">
      <c r="A1501" s="7">
        <v>40116</v>
      </c>
      <c r="B1501" s="1">
        <v>1302</v>
      </c>
      <c r="C1501" s="1" t="s">
        <v>238</v>
      </c>
      <c r="D1501" s="1">
        <v>3</v>
      </c>
      <c r="E1501" s="1">
        <v>133.15</v>
      </c>
      <c r="F1501" s="1">
        <v>23</v>
      </c>
      <c r="G1501" s="1" t="s">
        <v>8</v>
      </c>
      <c r="H1501" s="1">
        <v>1358</v>
      </c>
      <c r="K1501" s="1" t="s">
        <v>66</v>
      </c>
      <c r="L1501" s="1" t="s">
        <v>242</v>
      </c>
      <c r="M1501" s="1" t="s">
        <v>243</v>
      </c>
      <c r="N1501" s="1" t="s">
        <v>244</v>
      </c>
      <c r="O1501" s="1">
        <v>7451.22</v>
      </c>
      <c r="P1501" s="1" t="s">
        <v>213</v>
      </c>
    </row>
    <row r="1502" spans="1:16">
      <c r="A1502" s="7">
        <v>40116</v>
      </c>
      <c r="B1502" s="1">
        <v>1303</v>
      </c>
      <c r="C1502" s="1" t="s">
        <v>238</v>
      </c>
      <c r="D1502" s="1">
        <v>3</v>
      </c>
      <c r="E1502" s="1">
        <v>219.35</v>
      </c>
      <c r="F1502" s="1">
        <v>23</v>
      </c>
      <c r="G1502" s="1" t="s">
        <v>8</v>
      </c>
      <c r="H1502" s="1">
        <v>2111</v>
      </c>
      <c r="K1502" s="1" t="s">
        <v>66</v>
      </c>
      <c r="L1502" s="1" t="s">
        <v>242</v>
      </c>
      <c r="M1502" s="1" t="s">
        <v>243</v>
      </c>
      <c r="N1502" s="1" t="s">
        <v>244</v>
      </c>
      <c r="O1502" s="1">
        <v>-305.02</v>
      </c>
      <c r="P1502" s="1" t="s">
        <v>213</v>
      </c>
    </row>
    <row r="1503" spans="1:16">
      <c r="A1503" s="7">
        <v>40116</v>
      </c>
      <c r="B1503" s="1">
        <v>1305</v>
      </c>
      <c r="C1503" s="1" t="s">
        <v>238</v>
      </c>
      <c r="D1503" s="1">
        <v>3</v>
      </c>
      <c r="E1503" s="1">
        <v>489.75</v>
      </c>
      <c r="F1503" s="1">
        <v>23</v>
      </c>
      <c r="G1503" s="1" t="s">
        <v>8</v>
      </c>
      <c r="H1503" s="1">
        <v>1815</v>
      </c>
      <c r="K1503" s="1" t="s">
        <v>66</v>
      </c>
      <c r="L1503" s="1" t="s">
        <v>242</v>
      </c>
      <c r="M1503" s="1" t="s">
        <v>243</v>
      </c>
      <c r="N1503" s="1" t="s">
        <v>244</v>
      </c>
      <c r="O1503" s="1">
        <v>12309.9</v>
      </c>
      <c r="P1503" s="1" t="s">
        <v>213</v>
      </c>
    </row>
    <row r="1504" spans="1:16">
      <c r="A1504" s="7">
        <v>40116</v>
      </c>
      <c r="B1504" s="1">
        <v>1306</v>
      </c>
      <c r="C1504" s="1" t="s">
        <v>238</v>
      </c>
      <c r="D1504" s="1">
        <v>3</v>
      </c>
      <c r="E1504" s="1">
        <v>317.33</v>
      </c>
      <c r="F1504" s="1">
        <v>23</v>
      </c>
      <c r="G1504" s="1" t="s">
        <v>8</v>
      </c>
      <c r="H1504" s="1">
        <v>1745</v>
      </c>
      <c r="K1504" s="1" t="s">
        <v>66</v>
      </c>
      <c r="L1504" s="1" t="s">
        <v>242</v>
      </c>
      <c r="M1504" s="1" t="s">
        <v>243</v>
      </c>
      <c r="N1504" s="1" t="s">
        <v>244</v>
      </c>
      <c r="O1504" s="1">
        <v>16010.85</v>
      </c>
      <c r="P1504" s="1" t="s">
        <v>213</v>
      </c>
    </row>
    <row r="1505" spans="1:16">
      <c r="A1505" s="7">
        <v>40116</v>
      </c>
      <c r="B1505" s="1">
        <v>1307</v>
      </c>
      <c r="C1505" s="1" t="s">
        <v>238</v>
      </c>
      <c r="D1505" s="1">
        <v>3</v>
      </c>
      <c r="E1505" s="1">
        <v>502.25</v>
      </c>
      <c r="F1505" s="1">
        <v>23</v>
      </c>
      <c r="G1505" s="1" t="s">
        <v>8</v>
      </c>
      <c r="H1505" s="1">
        <v>1772</v>
      </c>
      <c r="K1505" s="1" t="s">
        <v>66</v>
      </c>
      <c r="L1505" s="1" t="s">
        <v>242</v>
      </c>
      <c r="M1505" s="1" t="s">
        <v>243</v>
      </c>
      <c r="N1505" s="1" t="s">
        <v>244</v>
      </c>
      <c r="O1505" s="1">
        <v>2844.68</v>
      </c>
      <c r="P1505" s="1" t="s">
        <v>213</v>
      </c>
    </row>
    <row r="1506" spans="1:16">
      <c r="A1506" s="7">
        <v>40116</v>
      </c>
      <c r="B1506" s="1">
        <v>1308</v>
      </c>
      <c r="C1506" s="1" t="s">
        <v>238</v>
      </c>
      <c r="D1506" s="1">
        <v>3</v>
      </c>
      <c r="E1506" s="1">
        <v>489.75</v>
      </c>
      <c r="F1506" s="1">
        <v>23</v>
      </c>
      <c r="G1506" s="1" t="s">
        <v>8</v>
      </c>
      <c r="H1506" s="1">
        <v>1876</v>
      </c>
      <c r="K1506" s="1" t="s">
        <v>67</v>
      </c>
      <c r="L1506" s="1" t="s">
        <v>242</v>
      </c>
      <c r="M1506" s="1" t="s">
        <v>243</v>
      </c>
      <c r="N1506" s="1" t="s">
        <v>244</v>
      </c>
      <c r="O1506" s="1">
        <v>1885.47</v>
      </c>
      <c r="P1506" s="1" t="s">
        <v>213</v>
      </c>
    </row>
    <row r="1507" spans="1:16">
      <c r="A1507" s="7">
        <v>40116</v>
      </c>
      <c r="B1507" s="1">
        <v>1309</v>
      </c>
      <c r="C1507" s="1" t="s">
        <v>238</v>
      </c>
      <c r="D1507" s="1">
        <v>3</v>
      </c>
      <c r="E1507" s="1">
        <v>310.24</v>
      </c>
      <c r="F1507" s="1">
        <v>23</v>
      </c>
      <c r="G1507" s="1" t="s">
        <v>8</v>
      </c>
      <c r="H1507" s="1">
        <v>1759</v>
      </c>
      <c r="K1507" s="1" t="s">
        <v>67</v>
      </c>
      <c r="L1507" s="1" t="s">
        <v>242</v>
      </c>
      <c r="M1507" s="1" t="s">
        <v>243</v>
      </c>
      <c r="N1507" s="1" t="s">
        <v>244</v>
      </c>
      <c r="O1507" s="1">
        <v>-20.76</v>
      </c>
      <c r="P1507" s="1" t="s">
        <v>213</v>
      </c>
    </row>
    <row r="1508" spans="1:16">
      <c r="A1508" s="7">
        <v>40116</v>
      </c>
      <c r="B1508" s="1">
        <v>1311</v>
      </c>
      <c r="C1508" s="1" t="s">
        <v>238</v>
      </c>
      <c r="D1508" s="1">
        <v>3</v>
      </c>
      <c r="E1508" s="1">
        <v>427.05</v>
      </c>
      <c r="F1508" s="1">
        <v>23</v>
      </c>
      <c r="G1508" s="1" t="s">
        <v>8</v>
      </c>
      <c r="H1508" s="1">
        <v>2102</v>
      </c>
      <c r="K1508" s="1" t="s">
        <v>67</v>
      </c>
      <c r="L1508" s="1" t="s">
        <v>242</v>
      </c>
      <c r="M1508" s="1" t="s">
        <v>243</v>
      </c>
      <c r="N1508" s="1" t="s">
        <v>244</v>
      </c>
      <c r="O1508" s="1">
        <v>1052.69</v>
      </c>
      <c r="P1508" s="1" t="s">
        <v>213</v>
      </c>
    </row>
    <row r="1509" spans="1:16">
      <c r="A1509" s="7">
        <v>40116</v>
      </c>
      <c r="B1509" s="1">
        <v>1312</v>
      </c>
      <c r="C1509" s="1" t="s">
        <v>238</v>
      </c>
      <c r="D1509" s="1">
        <v>3</v>
      </c>
      <c r="E1509" s="1">
        <v>489.75</v>
      </c>
      <c r="F1509" s="1">
        <v>23</v>
      </c>
      <c r="G1509" s="1" t="s">
        <v>8</v>
      </c>
      <c r="H1509" s="1">
        <v>1746</v>
      </c>
      <c r="K1509" s="1" t="s">
        <v>67</v>
      </c>
      <c r="L1509" s="1" t="s">
        <v>242</v>
      </c>
      <c r="M1509" s="1" t="s">
        <v>243</v>
      </c>
      <c r="N1509" s="1" t="s">
        <v>244</v>
      </c>
      <c r="O1509" s="1">
        <v>4345.45</v>
      </c>
      <c r="P1509" s="1" t="s">
        <v>213</v>
      </c>
    </row>
    <row r="1510" spans="1:16">
      <c r="A1510" s="7">
        <v>40116</v>
      </c>
      <c r="B1510" s="1">
        <v>1313</v>
      </c>
      <c r="C1510" s="1" t="s">
        <v>238</v>
      </c>
      <c r="D1510" s="1">
        <v>3</v>
      </c>
      <c r="E1510" s="1">
        <v>489.75</v>
      </c>
      <c r="F1510" s="1">
        <v>23</v>
      </c>
      <c r="G1510" s="1" t="s">
        <v>8</v>
      </c>
      <c r="H1510" s="1">
        <v>1749</v>
      </c>
      <c r="K1510" s="1" t="s">
        <v>67</v>
      </c>
      <c r="L1510" s="1" t="s">
        <v>242</v>
      </c>
      <c r="M1510" s="1" t="s">
        <v>243</v>
      </c>
      <c r="N1510" s="1" t="s">
        <v>244</v>
      </c>
      <c r="O1510" s="1">
        <v>-236.36</v>
      </c>
      <c r="P1510" s="1" t="s">
        <v>213</v>
      </c>
    </row>
    <row r="1511" spans="1:16">
      <c r="A1511" s="7">
        <v>40116</v>
      </c>
      <c r="B1511" s="1">
        <v>1314</v>
      </c>
      <c r="C1511" s="1" t="s">
        <v>238</v>
      </c>
      <c r="D1511" s="1">
        <v>3</v>
      </c>
      <c r="E1511" s="1">
        <v>258.58999999999997</v>
      </c>
      <c r="F1511" s="1">
        <v>23</v>
      </c>
      <c r="G1511" s="1" t="s">
        <v>8</v>
      </c>
      <c r="H1511" s="1">
        <v>1756</v>
      </c>
      <c r="K1511" s="1" t="s">
        <v>67</v>
      </c>
      <c r="L1511" s="1" t="s">
        <v>242</v>
      </c>
      <c r="M1511" s="1" t="s">
        <v>243</v>
      </c>
      <c r="N1511" s="1" t="s">
        <v>244</v>
      </c>
      <c r="O1511" s="1">
        <v>466.9</v>
      </c>
      <c r="P1511" s="1" t="s">
        <v>213</v>
      </c>
    </row>
    <row r="1512" spans="1:16">
      <c r="A1512" s="7">
        <v>40116</v>
      </c>
      <c r="B1512" s="1">
        <v>1315</v>
      </c>
      <c r="C1512" s="1" t="s">
        <v>238</v>
      </c>
      <c r="D1512" s="1">
        <v>3</v>
      </c>
      <c r="E1512" s="1">
        <v>536.78</v>
      </c>
      <c r="F1512" s="1">
        <v>23</v>
      </c>
      <c r="G1512" s="1" t="s">
        <v>8</v>
      </c>
      <c r="H1512" s="1">
        <v>1415</v>
      </c>
      <c r="K1512" s="1" t="s">
        <v>68</v>
      </c>
      <c r="L1512" s="1" t="s">
        <v>242</v>
      </c>
      <c r="M1512" s="1" t="s">
        <v>243</v>
      </c>
      <c r="N1512" s="1" t="s">
        <v>244</v>
      </c>
      <c r="O1512" s="1">
        <v>3552.45</v>
      </c>
      <c r="P1512" s="1" t="s">
        <v>213</v>
      </c>
    </row>
    <row r="1513" spans="1:16">
      <c r="A1513" s="7">
        <v>40116</v>
      </c>
      <c r="B1513" s="1">
        <v>1316</v>
      </c>
      <c r="C1513" s="1" t="s">
        <v>238</v>
      </c>
      <c r="D1513" s="1">
        <v>3</v>
      </c>
      <c r="E1513" s="1">
        <v>517.17999999999995</v>
      </c>
      <c r="F1513" s="1">
        <v>23</v>
      </c>
      <c r="G1513" s="1" t="s">
        <v>8</v>
      </c>
      <c r="H1513" s="1">
        <v>1826</v>
      </c>
      <c r="K1513" s="1" t="s">
        <v>68</v>
      </c>
      <c r="L1513" s="1" t="s">
        <v>242</v>
      </c>
      <c r="M1513" s="1" t="s">
        <v>243</v>
      </c>
      <c r="N1513" s="1" t="s">
        <v>244</v>
      </c>
      <c r="O1513" s="1">
        <v>1968.31</v>
      </c>
      <c r="P1513" s="1" t="s">
        <v>213</v>
      </c>
    </row>
    <row r="1514" spans="1:16">
      <c r="A1514" s="7">
        <v>40116</v>
      </c>
      <c r="B1514" s="1">
        <v>1317</v>
      </c>
      <c r="C1514" s="1" t="s">
        <v>238</v>
      </c>
      <c r="D1514" s="1">
        <v>3</v>
      </c>
      <c r="E1514" s="1">
        <v>156.66</v>
      </c>
      <c r="F1514" s="1">
        <v>23</v>
      </c>
      <c r="G1514" s="1" t="s">
        <v>8</v>
      </c>
      <c r="H1514" s="1">
        <v>1386</v>
      </c>
      <c r="K1514" s="1" t="s">
        <v>68</v>
      </c>
      <c r="L1514" s="1" t="s">
        <v>242</v>
      </c>
      <c r="M1514" s="1" t="s">
        <v>243</v>
      </c>
      <c r="N1514" s="1" t="s">
        <v>244</v>
      </c>
      <c r="O1514" s="1">
        <v>5303.46</v>
      </c>
      <c r="P1514" s="1" t="s">
        <v>213</v>
      </c>
    </row>
    <row r="1515" spans="1:16">
      <c r="A1515" s="7">
        <v>40116</v>
      </c>
      <c r="B1515" s="1">
        <v>1318</v>
      </c>
      <c r="C1515" s="1" t="s">
        <v>238</v>
      </c>
      <c r="D1515" s="1">
        <v>3</v>
      </c>
      <c r="E1515" s="1">
        <v>529.69000000000005</v>
      </c>
      <c r="F1515" s="1">
        <v>23</v>
      </c>
      <c r="G1515" s="1" t="s">
        <v>8</v>
      </c>
      <c r="H1515" s="1">
        <v>1757</v>
      </c>
      <c r="K1515" s="1" t="s">
        <v>68</v>
      </c>
      <c r="L1515" s="1" t="s">
        <v>242</v>
      </c>
      <c r="M1515" s="1" t="s">
        <v>243</v>
      </c>
      <c r="N1515" s="1" t="s">
        <v>244</v>
      </c>
      <c r="O1515" s="1">
        <v>1941.46</v>
      </c>
      <c r="P1515" s="1" t="s">
        <v>213</v>
      </c>
    </row>
    <row r="1516" spans="1:16">
      <c r="A1516" s="7">
        <v>40116</v>
      </c>
      <c r="B1516" s="1">
        <v>1319</v>
      </c>
      <c r="C1516" s="1" t="s">
        <v>238</v>
      </c>
      <c r="D1516" s="1">
        <v>3</v>
      </c>
      <c r="E1516" s="1">
        <v>383.94</v>
      </c>
      <c r="F1516" s="1">
        <v>23</v>
      </c>
      <c r="G1516" s="1" t="s">
        <v>8</v>
      </c>
      <c r="H1516" s="1">
        <v>1434</v>
      </c>
      <c r="K1516" s="1" t="s">
        <v>69</v>
      </c>
      <c r="L1516" s="1" t="s">
        <v>242</v>
      </c>
      <c r="M1516" s="1" t="s">
        <v>243</v>
      </c>
      <c r="N1516" s="1" t="s">
        <v>244</v>
      </c>
      <c r="O1516" s="1">
        <v>1337.09</v>
      </c>
      <c r="P1516" s="1" t="s">
        <v>213</v>
      </c>
    </row>
    <row r="1517" spans="1:16">
      <c r="A1517" s="7">
        <v>40116</v>
      </c>
      <c r="B1517" s="1">
        <v>1320</v>
      </c>
      <c r="C1517" s="1" t="s">
        <v>238</v>
      </c>
      <c r="D1517" s="1">
        <v>3</v>
      </c>
      <c r="E1517" s="1">
        <v>489.75</v>
      </c>
      <c r="F1517" s="1">
        <v>23</v>
      </c>
      <c r="G1517" s="1" t="s">
        <v>8</v>
      </c>
      <c r="H1517" s="1">
        <v>1761</v>
      </c>
      <c r="K1517" s="1" t="s">
        <v>70</v>
      </c>
      <c r="L1517" s="1" t="s">
        <v>242</v>
      </c>
      <c r="M1517" s="1" t="s">
        <v>243</v>
      </c>
      <c r="N1517" s="1" t="s">
        <v>244</v>
      </c>
      <c r="O1517" s="1">
        <v>1036.27</v>
      </c>
      <c r="P1517" s="1" t="s">
        <v>213</v>
      </c>
    </row>
    <row r="1518" spans="1:16">
      <c r="A1518" s="7">
        <v>40116</v>
      </c>
      <c r="B1518" s="1">
        <v>1322</v>
      </c>
      <c r="C1518" s="1" t="s">
        <v>238</v>
      </c>
      <c r="D1518" s="1">
        <v>3</v>
      </c>
      <c r="E1518" s="1">
        <v>430.8</v>
      </c>
      <c r="F1518" s="1">
        <v>23</v>
      </c>
      <c r="G1518" s="1" t="s">
        <v>8</v>
      </c>
      <c r="H1518" s="1">
        <v>1762</v>
      </c>
      <c r="K1518" s="1" t="s">
        <v>70</v>
      </c>
      <c r="L1518" s="1" t="s">
        <v>242</v>
      </c>
      <c r="M1518" s="1" t="s">
        <v>243</v>
      </c>
      <c r="N1518" s="1" t="s">
        <v>244</v>
      </c>
      <c r="O1518" s="1">
        <v>1784.96</v>
      </c>
      <c r="P1518" s="1" t="s">
        <v>213</v>
      </c>
    </row>
    <row r="1519" spans="1:16">
      <c r="A1519" s="7">
        <v>40116</v>
      </c>
      <c r="B1519" s="1">
        <v>1353</v>
      </c>
      <c r="C1519" s="1" t="s">
        <v>238</v>
      </c>
      <c r="D1519" s="1">
        <v>3</v>
      </c>
      <c r="E1519" s="1">
        <v>391.4</v>
      </c>
      <c r="F1519" s="1">
        <v>23</v>
      </c>
      <c r="G1519" s="1" t="s">
        <v>9</v>
      </c>
      <c r="H1519" s="1">
        <v>0</v>
      </c>
      <c r="K1519" s="1" t="s">
        <v>70</v>
      </c>
      <c r="L1519" s="1" t="s">
        <v>242</v>
      </c>
      <c r="M1519" s="1" t="s">
        <v>243</v>
      </c>
      <c r="N1519" s="1" t="s">
        <v>244</v>
      </c>
      <c r="O1519" s="1">
        <v>2321.64</v>
      </c>
      <c r="P1519" s="1" t="s">
        <v>213</v>
      </c>
    </row>
    <row r="1520" spans="1:16">
      <c r="A1520" s="7">
        <v>40116</v>
      </c>
      <c r="B1520" s="1">
        <v>1355</v>
      </c>
      <c r="C1520" s="1" t="s">
        <v>238</v>
      </c>
      <c r="D1520" s="1">
        <v>3</v>
      </c>
      <c r="E1520" s="1">
        <v>599.48</v>
      </c>
      <c r="F1520" s="1">
        <v>23</v>
      </c>
      <c r="G1520" s="1" t="s">
        <v>9</v>
      </c>
      <c r="H1520" s="1">
        <v>1388</v>
      </c>
      <c r="K1520" s="1" t="s">
        <v>70</v>
      </c>
      <c r="L1520" s="1" t="s">
        <v>242</v>
      </c>
      <c r="M1520" s="1" t="s">
        <v>243</v>
      </c>
      <c r="N1520" s="1" t="s">
        <v>244</v>
      </c>
      <c r="O1520" s="1">
        <v>412.49</v>
      </c>
      <c r="P1520" s="1" t="s">
        <v>213</v>
      </c>
    </row>
    <row r="1521" spans="1:16">
      <c r="A1521" s="7">
        <v>40116</v>
      </c>
      <c r="B1521" s="1">
        <v>1356</v>
      </c>
      <c r="C1521" s="1" t="s">
        <v>238</v>
      </c>
      <c r="D1521" s="1">
        <v>3</v>
      </c>
      <c r="E1521" s="1">
        <v>544.61</v>
      </c>
      <c r="F1521" s="1">
        <v>23</v>
      </c>
      <c r="G1521" s="1" t="s">
        <v>9</v>
      </c>
      <c r="H1521" s="1">
        <v>1414</v>
      </c>
      <c r="K1521" s="1" t="s">
        <v>71</v>
      </c>
      <c r="L1521" s="1" t="s">
        <v>242</v>
      </c>
      <c r="M1521" s="1" t="s">
        <v>243</v>
      </c>
      <c r="N1521" s="1" t="s">
        <v>244</v>
      </c>
      <c r="O1521" s="1">
        <v>337.14</v>
      </c>
      <c r="P1521" s="1" t="s">
        <v>213</v>
      </c>
    </row>
    <row r="1522" spans="1:16">
      <c r="A1522" s="7">
        <v>40116</v>
      </c>
      <c r="B1522" s="1">
        <v>1357</v>
      </c>
      <c r="C1522" s="1" t="s">
        <v>238</v>
      </c>
      <c r="D1522" s="1">
        <v>3</v>
      </c>
      <c r="E1522" s="1">
        <v>82.29</v>
      </c>
      <c r="F1522" s="1">
        <v>23</v>
      </c>
      <c r="G1522" s="1" t="s">
        <v>9</v>
      </c>
      <c r="H1522" s="1">
        <v>1133</v>
      </c>
      <c r="K1522" s="1" t="s">
        <v>71</v>
      </c>
      <c r="L1522" s="1" t="s">
        <v>242</v>
      </c>
      <c r="M1522" s="1" t="s">
        <v>243</v>
      </c>
      <c r="N1522" s="1" t="s">
        <v>244</v>
      </c>
      <c r="O1522" s="1">
        <v>135.71</v>
      </c>
      <c r="P1522" s="1" t="s">
        <v>213</v>
      </c>
    </row>
    <row r="1523" spans="1:16">
      <c r="A1523" s="7">
        <v>40116</v>
      </c>
      <c r="B1523" s="1">
        <v>1360</v>
      </c>
      <c r="C1523" s="1" t="s">
        <v>238</v>
      </c>
      <c r="D1523" s="1">
        <v>3</v>
      </c>
      <c r="E1523" s="1">
        <v>499.98</v>
      </c>
      <c r="F1523" s="1">
        <v>23</v>
      </c>
      <c r="G1523" s="1" t="s">
        <v>9</v>
      </c>
      <c r="H1523" s="1">
        <v>1462</v>
      </c>
      <c r="K1523" s="1" t="s">
        <v>71</v>
      </c>
      <c r="L1523" s="1" t="s">
        <v>242</v>
      </c>
      <c r="M1523" s="1" t="s">
        <v>243</v>
      </c>
      <c r="N1523" s="1" t="s">
        <v>244</v>
      </c>
      <c r="O1523" s="1">
        <v>365.7</v>
      </c>
      <c r="P1523" s="1" t="s">
        <v>213</v>
      </c>
    </row>
    <row r="1524" spans="1:16">
      <c r="A1524" s="7">
        <v>40116</v>
      </c>
      <c r="B1524" s="1">
        <v>1361</v>
      </c>
      <c r="C1524" s="1" t="s">
        <v>238</v>
      </c>
      <c r="D1524" s="1">
        <v>3</v>
      </c>
      <c r="E1524" s="1">
        <v>489.75</v>
      </c>
      <c r="F1524" s="1">
        <v>23</v>
      </c>
      <c r="G1524" s="1" t="s">
        <v>9</v>
      </c>
      <c r="H1524" s="1">
        <v>1496</v>
      </c>
      <c r="K1524" s="1" t="s">
        <v>71</v>
      </c>
      <c r="L1524" s="1" t="s">
        <v>242</v>
      </c>
      <c r="M1524" s="1" t="s">
        <v>243</v>
      </c>
      <c r="N1524" s="1" t="s">
        <v>244</v>
      </c>
      <c r="O1524" s="1">
        <v>133.86000000000001</v>
      </c>
      <c r="P1524" s="1" t="s">
        <v>213</v>
      </c>
    </row>
    <row r="1525" spans="1:16">
      <c r="A1525" s="7">
        <v>40116</v>
      </c>
      <c r="B1525" s="1">
        <v>1225</v>
      </c>
      <c r="C1525" s="1" t="s">
        <v>238</v>
      </c>
      <c r="D1525" s="1">
        <v>3</v>
      </c>
      <c r="E1525" s="1">
        <v>406.5</v>
      </c>
      <c r="F1525" s="1">
        <v>23</v>
      </c>
      <c r="G1525" s="1" t="s">
        <v>12</v>
      </c>
      <c r="H1525" s="1">
        <v>2059</v>
      </c>
      <c r="K1525" s="1" t="s">
        <v>116</v>
      </c>
      <c r="L1525" s="1" t="s">
        <v>245</v>
      </c>
      <c r="M1525" s="1" t="s">
        <v>246</v>
      </c>
      <c r="N1525" s="1" t="s">
        <v>255</v>
      </c>
      <c r="O1525" s="1">
        <v>82.65</v>
      </c>
      <c r="P1525" s="1" t="s">
        <v>214</v>
      </c>
    </row>
    <row r="1526" spans="1:16">
      <c r="A1526" s="7">
        <v>40116</v>
      </c>
      <c r="B1526" s="1">
        <v>1226</v>
      </c>
      <c r="C1526" s="1" t="s">
        <v>238</v>
      </c>
      <c r="D1526" s="1">
        <v>3</v>
      </c>
      <c r="E1526" s="1">
        <v>406.5</v>
      </c>
      <c r="F1526" s="1">
        <v>23</v>
      </c>
      <c r="G1526" s="1" t="s">
        <v>12</v>
      </c>
      <c r="H1526" s="1">
        <v>2067</v>
      </c>
      <c r="K1526" s="1" t="s">
        <v>92</v>
      </c>
      <c r="L1526" s="1" t="s">
        <v>245</v>
      </c>
      <c r="M1526" s="1" t="s">
        <v>246</v>
      </c>
      <c r="N1526" s="1" t="s">
        <v>255</v>
      </c>
      <c r="O1526" s="1">
        <v>3969.57</v>
      </c>
      <c r="P1526" s="1" t="s">
        <v>215</v>
      </c>
    </row>
    <row r="1527" spans="1:16">
      <c r="A1527" s="7">
        <v>40116</v>
      </c>
      <c r="B1527" s="1">
        <v>1233</v>
      </c>
      <c r="C1527" s="1" t="s">
        <v>238</v>
      </c>
      <c r="D1527" s="1">
        <v>3</v>
      </c>
      <c r="E1527" s="1">
        <v>470.25</v>
      </c>
      <c r="F1527" s="1">
        <v>23</v>
      </c>
      <c r="G1527" s="1" t="s">
        <v>13</v>
      </c>
      <c r="H1527" s="1">
        <v>2081</v>
      </c>
      <c r="K1527" s="1" t="s">
        <v>90</v>
      </c>
      <c r="L1527" s="1" t="s">
        <v>245</v>
      </c>
      <c r="M1527" s="1" t="s">
        <v>246</v>
      </c>
      <c r="N1527" s="1" t="s">
        <v>255</v>
      </c>
      <c r="O1527" s="1">
        <v>442.1</v>
      </c>
      <c r="P1527" s="1" t="s">
        <v>215</v>
      </c>
    </row>
    <row r="1528" spans="1:16">
      <c r="A1528" s="7">
        <v>40116</v>
      </c>
      <c r="B1528" s="1">
        <v>1234</v>
      </c>
      <c r="C1528" s="1" t="s">
        <v>238</v>
      </c>
      <c r="D1528" s="1">
        <v>3</v>
      </c>
      <c r="E1528" s="1">
        <v>470.25</v>
      </c>
      <c r="F1528" s="1">
        <v>23</v>
      </c>
      <c r="G1528" s="1" t="s">
        <v>13</v>
      </c>
      <c r="H1528" s="1">
        <v>2057</v>
      </c>
      <c r="K1528" s="1" t="s">
        <v>94</v>
      </c>
      <c r="L1528" s="1" t="s">
        <v>245</v>
      </c>
      <c r="M1528" s="1" t="s">
        <v>246</v>
      </c>
      <c r="N1528" s="1" t="s">
        <v>255</v>
      </c>
      <c r="O1528" s="1">
        <v>1010.62</v>
      </c>
      <c r="P1528" s="1" t="s">
        <v>216</v>
      </c>
    </row>
    <row r="1529" spans="1:16">
      <c r="A1529" s="7">
        <v>40116</v>
      </c>
      <c r="B1529" s="1">
        <v>1235</v>
      </c>
      <c r="C1529" s="1" t="s">
        <v>238</v>
      </c>
      <c r="D1529" s="1">
        <v>3</v>
      </c>
      <c r="E1529" s="1">
        <v>501.6</v>
      </c>
      <c r="F1529" s="1">
        <v>23</v>
      </c>
      <c r="G1529" s="1" t="s">
        <v>13</v>
      </c>
      <c r="H1529" s="1">
        <v>1852</v>
      </c>
      <c r="K1529" s="1" t="s">
        <v>90</v>
      </c>
      <c r="L1529" s="1" t="s">
        <v>245</v>
      </c>
      <c r="M1529" s="1" t="s">
        <v>246</v>
      </c>
      <c r="N1529" s="1" t="s">
        <v>255</v>
      </c>
      <c r="O1529" s="1">
        <v>312.13</v>
      </c>
      <c r="P1529" s="1" t="s">
        <v>217</v>
      </c>
    </row>
    <row r="1530" spans="1:16">
      <c r="A1530" s="7">
        <v>40116</v>
      </c>
      <c r="B1530" s="1">
        <v>1237</v>
      </c>
      <c r="C1530" s="1" t="s">
        <v>238</v>
      </c>
      <c r="D1530" s="1">
        <v>3</v>
      </c>
      <c r="E1530" s="1">
        <v>445.41</v>
      </c>
      <c r="F1530" s="1">
        <v>23</v>
      </c>
      <c r="G1530" s="1" t="s">
        <v>13</v>
      </c>
      <c r="H1530" s="1">
        <v>1834</v>
      </c>
      <c r="K1530" s="1" t="s">
        <v>83</v>
      </c>
      <c r="L1530" s="1" t="s">
        <v>245</v>
      </c>
      <c r="M1530" s="1" t="s">
        <v>246</v>
      </c>
      <c r="N1530" s="1" t="s">
        <v>252</v>
      </c>
      <c r="O1530" s="1">
        <v>488.91</v>
      </c>
      <c r="P1530" s="1" t="s">
        <v>218</v>
      </c>
    </row>
    <row r="1531" spans="1:16">
      <c r="A1531" s="7">
        <v>40116</v>
      </c>
      <c r="B1531" s="1">
        <v>1238</v>
      </c>
      <c r="C1531" s="1" t="s">
        <v>238</v>
      </c>
      <c r="D1531" s="1">
        <v>3</v>
      </c>
      <c r="E1531" s="1">
        <v>470.25</v>
      </c>
      <c r="F1531" s="1">
        <v>23</v>
      </c>
      <c r="G1531" s="1" t="s">
        <v>13</v>
      </c>
      <c r="H1531" s="1">
        <v>2078</v>
      </c>
      <c r="K1531" s="1" t="s">
        <v>75</v>
      </c>
      <c r="L1531" s="1" t="s">
        <v>262</v>
      </c>
      <c r="M1531" s="1" t="s">
        <v>263</v>
      </c>
      <c r="N1531" s="1" t="s">
        <v>247</v>
      </c>
      <c r="O1531" s="1">
        <v>199.8</v>
      </c>
      <c r="P1531" s="1" t="s">
        <v>219</v>
      </c>
    </row>
    <row r="1532" spans="1:16">
      <c r="A1532" s="7">
        <v>40116</v>
      </c>
      <c r="B1532" s="1">
        <v>1239</v>
      </c>
      <c r="C1532" s="1" t="s">
        <v>238</v>
      </c>
      <c r="D1532" s="1">
        <v>3</v>
      </c>
      <c r="E1532" s="1">
        <v>470.9</v>
      </c>
      <c r="F1532" s="1">
        <v>23</v>
      </c>
      <c r="G1532" s="1" t="s">
        <v>13</v>
      </c>
      <c r="H1532" s="1">
        <v>1076</v>
      </c>
      <c r="K1532" s="1" t="s">
        <v>82</v>
      </c>
      <c r="L1532" s="1" t="s">
        <v>262</v>
      </c>
      <c r="M1532" s="1" t="s">
        <v>263</v>
      </c>
      <c r="N1532" s="1" t="s">
        <v>247</v>
      </c>
      <c r="O1532" s="1">
        <v>101.54</v>
      </c>
      <c r="P1532" s="1" t="s">
        <v>219</v>
      </c>
    </row>
    <row r="1533" spans="1:16">
      <c r="A1533" s="7">
        <v>40116</v>
      </c>
      <c r="B1533" s="1">
        <v>1381</v>
      </c>
      <c r="C1533" s="1" t="s">
        <v>238</v>
      </c>
      <c r="D1533" s="1">
        <v>3</v>
      </c>
      <c r="E1533" s="1">
        <v>470.25</v>
      </c>
      <c r="F1533" s="1">
        <v>23</v>
      </c>
      <c r="G1533" s="1" t="s">
        <v>3</v>
      </c>
      <c r="H1533" s="1">
        <v>2086</v>
      </c>
      <c r="K1533" s="1" t="s">
        <v>72</v>
      </c>
      <c r="L1533" s="1" t="s">
        <v>262</v>
      </c>
      <c r="M1533" s="1" t="s">
        <v>263</v>
      </c>
      <c r="N1533" s="1" t="s">
        <v>247</v>
      </c>
      <c r="O1533" s="1">
        <v>562</v>
      </c>
      <c r="P1533" s="1" t="s">
        <v>219</v>
      </c>
    </row>
    <row r="1534" spans="1:16">
      <c r="A1534" s="7">
        <v>40116</v>
      </c>
      <c r="B1534" s="1">
        <v>1382</v>
      </c>
      <c r="C1534" s="1" t="s">
        <v>238</v>
      </c>
      <c r="D1534" s="1">
        <v>3</v>
      </c>
      <c r="E1534" s="1">
        <v>5.65</v>
      </c>
      <c r="F1534" s="1">
        <v>23</v>
      </c>
      <c r="G1534" s="1" t="s">
        <v>3</v>
      </c>
      <c r="H1534" s="1">
        <v>1795</v>
      </c>
      <c r="K1534" s="1" t="s">
        <v>76</v>
      </c>
      <c r="L1534" s="1" t="s">
        <v>248</v>
      </c>
      <c r="M1534" s="1" t="s">
        <v>249</v>
      </c>
      <c r="N1534" s="1" t="s">
        <v>250</v>
      </c>
      <c r="O1534" s="1">
        <v>1500</v>
      </c>
      <c r="P1534" s="1" t="s">
        <v>219</v>
      </c>
    </row>
    <row r="1535" spans="1:16">
      <c r="A1535" s="7">
        <v>40116</v>
      </c>
      <c r="B1535" s="1">
        <v>1383</v>
      </c>
      <c r="C1535" s="1" t="s">
        <v>238</v>
      </c>
      <c r="D1535" s="1">
        <v>3</v>
      </c>
      <c r="E1535" s="1">
        <v>454.57</v>
      </c>
      <c r="F1535" s="1">
        <v>23</v>
      </c>
      <c r="G1535" s="1" t="s">
        <v>3</v>
      </c>
      <c r="H1535" s="1">
        <v>1824</v>
      </c>
      <c r="K1535" s="1" t="s">
        <v>75</v>
      </c>
      <c r="L1535" s="1" t="s">
        <v>245</v>
      </c>
      <c r="M1535" s="1" t="s">
        <v>246</v>
      </c>
      <c r="N1535" s="1" t="s">
        <v>250</v>
      </c>
      <c r="O1535" s="1">
        <v>48</v>
      </c>
      <c r="P1535" s="1" t="s">
        <v>219</v>
      </c>
    </row>
    <row r="1536" spans="1:16">
      <c r="A1536" s="7">
        <v>40116</v>
      </c>
      <c r="B1536" s="1">
        <v>1384</v>
      </c>
      <c r="C1536" s="1" t="s">
        <v>238</v>
      </c>
      <c r="D1536" s="1">
        <v>3</v>
      </c>
      <c r="E1536" s="1">
        <v>493.76</v>
      </c>
      <c r="F1536" s="1">
        <v>23</v>
      </c>
      <c r="G1536" s="1" t="s">
        <v>3</v>
      </c>
      <c r="H1536" s="1">
        <v>1813</v>
      </c>
      <c r="K1536" s="1" t="s">
        <v>76</v>
      </c>
      <c r="L1536" s="1" t="s">
        <v>245</v>
      </c>
      <c r="M1536" s="1" t="s">
        <v>246</v>
      </c>
      <c r="N1536" s="1" t="s">
        <v>250</v>
      </c>
      <c r="O1536" s="1">
        <v>1300</v>
      </c>
      <c r="P1536" s="1" t="s">
        <v>219</v>
      </c>
    </row>
    <row r="1537" spans="1:16">
      <c r="A1537" s="7">
        <v>40116</v>
      </c>
      <c r="B1537" s="1">
        <v>1385</v>
      </c>
      <c r="C1537" s="1" t="s">
        <v>238</v>
      </c>
      <c r="D1537" s="1">
        <v>3</v>
      </c>
      <c r="E1537" s="1">
        <v>470.25</v>
      </c>
      <c r="F1537" s="1">
        <v>23</v>
      </c>
      <c r="G1537" s="1" t="s">
        <v>3</v>
      </c>
      <c r="H1537" s="1">
        <v>2090</v>
      </c>
      <c r="K1537" s="1" t="s">
        <v>76</v>
      </c>
      <c r="L1537" s="1" t="s">
        <v>245</v>
      </c>
      <c r="M1537" s="1" t="s">
        <v>246</v>
      </c>
      <c r="N1537" s="1" t="s">
        <v>250</v>
      </c>
      <c r="O1537" s="1">
        <v>3465.04</v>
      </c>
      <c r="P1537" s="1" t="s">
        <v>219</v>
      </c>
    </row>
    <row r="1538" spans="1:16">
      <c r="A1538" s="7">
        <v>40116</v>
      </c>
      <c r="B1538" s="1">
        <v>1386</v>
      </c>
      <c r="C1538" s="1" t="s">
        <v>238</v>
      </c>
      <c r="D1538" s="1">
        <v>3</v>
      </c>
      <c r="E1538" s="1">
        <v>627</v>
      </c>
      <c r="F1538" s="1">
        <v>23</v>
      </c>
      <c r="G1538" s="1" t="s">
        <v>3</v>
      </c>
      <c r="H1538" s="1">
        <v>1841</v>
      </c>
      <c r="K1538" s="1" t="s">
        <v>76</v>
      </c>
      <c r="L1538" s="1" t="s">
        <v>245</v>
      </c>
      <c r="M1538" s="1" t="s">
        <v>246</v>
      </c>
      <c r="N1538" s="1" t="s">
        <v>250</v>
      </c>
      <c r="O1538" s="1">
        <v>2428.17</v>
      </c>
      <c r="P1538" s="1" t="s">
        <v>219</v>
      </c>
    </row>
    <row r="1539" spans="1:16">
      <c r="A1539" s="7">
        <v>40116</v>
      </c>
      <c r="B1539" s="1">
        <v>1387</v>
      </c>
      <c r="C1539" s="1" t="s">
        <v>238</v>
      </c>
      <c r="D1539" s="1">
        <v>3</v>
      </c>
      <c r="E1539" s="1">
        <v>470.25</v>
      </c>
      <c r="F1539" s="1">
        <v>23</v>
      </c>
      <c r="G1539" s="1" t="s">
        <v>3</v>
      </c>
      <c r="H1539" s="1">
        <v>2085</v>
      </c>
      <c r="K1539" s="1" t="s">
        <v>76</v>
      </c>
      <c r="L1539" s="1" t="s">
        <v>245</v>
      </c>
      <c r="M1539" s="1" t="s">
        <v>246</v>
      </c>
      <c r="N1539" s="1" t="s">
        <v>250</v>
      </c>
      <c r="O1539" s="1">
        <v>2712.15</v>
      </c>
      <c r="P1539" s="1" t="s">
        <v>219</v>
      </c>
    </row>
    <row r="1540" spans="1:16">
      <c r="A1540" s="7">
        <v>40116</v>
      </c>
      <c r="B1540" s="1">
        <v>1388</v>
      </c>
      <c r="C1540" s="1" t="s">
        <v>238</v>
      </c>
      <c r="D1540" s="1">
        <v>3</v>
      </c>
      <c r="E1540" s="1">
        <v>470.25</v>
      </c>
      <c r="F1540" s="1">
        <v>23</v>
      </c>
      <c r="G1540" s="1" t="s">
        <v>3</v>
      </c>
      <c r="H1540" s="1">
        <v>2069</v>
      </c>
      <c r="K1540" s="1" t="s">
        <v>128</v>
      </c>
      <c r="L1540" s="1" t="s">
        <v>245</v>
      </c>
      <c r="M1540" s="1" t="s">
        <v>246</v>
      </c>
      <c r="N1540" s="1" t="s">
        <v>250</v>
      </c>
      <c r="O1540" s="1">
        <v>6435.9</v>
      </c>
      <c r="P1540" s="1" t="s">
        <v>219</v>
      </c>
    </row>
    <row r="1541" spans="1:16">
      <c r="A1541" s="7">
        <v>40116</v>
      </c>
      <c r="B1541" s="1">
        <v>1389</v>
      </c>
      <c r="C1541" s="1" t="s">
        <v>238</v>
      </c>
      <c r="D1541" s="1">
        <v>3</v>
      </c>
      <c r="E1541" s="1">
        <v>525.11</v>
      </c>
      <c r="F1541" s="1">
        <v>23</v>
      </c>
      <c r="G1541" s="1" t="s">
        <v>3</v>
      </c>
      <c r="H1541" s="1">
        <v>1360</v>
      </c>
      <c r="K1541" s="1" t="s">
        <v>76</v>
      </c>
      <c r="L1541" s="1" t="s">
        <v>245</v>
      </c>
      <c r="M1541" s="1" t="s">
        <v>246</v>
      </c>
      <c r="N1541" s="1" t="s">
        <v>250</v>
      </c>
      <c r="O1541" s="1">
        <v>208.02</v>
      </c>
      <c r="P1541" s="1" t="s">
        <v>219</v>
      </c>
    </row>
    <row r="1542" spans="1:16">
      <c r="A1542" s="7">
        <v>40116</v>
      </c>
      <c r="B1542" s="1">
        <v>1449</v>
      </c>
      <c r="C1542" s="1" t="s">
        <v>238</v>
      </c>
      <c r="D1542" s="1">
        <v>3</v>
      </c>
      <c r="E1542" s="1">
        <v>31.35</v>
      </c>
      <c r="F1542" s="1">
        <v>23</v>
      </c>
      <c r="G1542" s="1" t="s">
        <v>3</v>
      </c>
      <c r="H1542" s="1">
        <v>1352</v>
      </c>
      <c r="K1542" s="1" t="s">
        <v>76</v>
      </c>
      <c r="L1542" s="1" t="s">
        <v>245</v>
      </c>
      <c r="M1542" s="1" t="s">
        <v>246</v>
      </c>
      <c r="N1542" s="1" t="s">
        <v>250</v>
      </c>
      <c r="O1542" s="1">
        <v>416.04</v>
      </c>
      <c r="P1542" s="1" t="s">
        <v>219</v>
      </c>
    </row>
    <row r="1543" spans="1:16">
      <c r="A1543" s="7">
        <v>40116</v>
      </c>
      <c r="B1543" s="1">
        <v>1451</v>
      </c>
      <c r="C1543" s="1" t="s">
        <v>238</v>
      </c>
      <c r="D1543" s="1">
        <v>3</v>
      </c>
      <c r="E1543" s="1">
        <v>31.35</v>
      </c>
      <c r="F1543" s="1">
        <v>23</v>
      </c>
      <c r="G1543" s="1" t="s">
        <v>3</v>
      </c>
      <c r="H1543" s="1">
        <v>1478</v>
      </c>
      <c r="K1543" s="1" t="s">
        <v>76</v>
      </c>
      <c r="L1543" s="1" t="s">
        <v>245</v>
      </c>
      <c r="M1543" s="1" t="s">
        <v>246</v>
      </c>
      <c r="N1543" s="1" t="s">
        <v>250</v>
      </c>
      <c r="O1543" s="1">
        <v>1664.16</v>
      </c>
      <c r="P1543" s="1" t="s">
        <v>219</v>
      </c>
    </row>
    <row r="1544" spans="1:16">
      <c r="A1544" s="7">
        <v>40147</v>
      </c>
      <c r="B1544" s="1">
        <v>1532</v>
      </c>
      <c r="C1544" s="1" t="s">
        <v>239</v>
      </c>
      <c r="D1544" s="1">
        <v>99</v>
      </c>
      <c r="E1544" s="1">
        <v>70.5</v>
      </c>
      <c r="F1544" s="1">
        <v>23</v>
      </c>
      <c r="G1544" s="1" t="s">
        <v>16</v>
      </c>
      <c r="H1544" s="1">
        <v>0</v>
      </c>
      <c r="K1544" s="1" t="s">
        <v>76</v>
      </c>
      <c r="L1544" s="1" t="s">
        <v>245</v>
      </c>
      <c r="M1544" s="1" t="s">
        <v>246</v>
      </c>
      <c r="N1544" s="1" t="s">
        <v>250</v>
      </c>
      <c r="O1544" s="1">
        <v>520</v>
      </c>
      <c r="P1544" s="1" t="s">
        <v>219</v>
      </c>
    </row>
    <row r="1545" spans="1:16">
      <c r="A1545" s="7">
        <v>40147</v>
      </c>
      <c r="B1545" s="1">
        <v>1533</v>
      </c>
      <c r="C1545" s="1" t="s">
        <v>234</v>
      </c>
      <c r="D1545" s="1">
        <v>4</v>
      </c>
      <c r="E1545" s="1">
        <v>0.3</v>
      </c>
      <c r="F1545" s="1">
        <v>23</v>
      </c>
      <c r="G1545" s="1" t="s">
        <v>36</v>
      </c>
      <c r="H1545" s="1">
        <v>1407</v>
      </c>
      <c r="K1545" s="1" t="s">
        <v>110</v>
      </c>
      <c r="L1545" s="1" t="s">
        <v>245</v>
      </c>
      <c r="M1545" s="1" t="s">
        <v>246</v>
      </c>
      <c r="N1545" s="1" t="s">
        <v>250</v>
      </c>
      <c r="O1545" s="1">
        <v>1406.21</v>
      </c>
      <c r="P1545" s="1" t="s">
        <v>219</v>
      </c>
    </row>
    <row r="1546" spans="1:16">
      <c r="A1546" s="7">
        <v>40147</v>
      </c>
      <c r="B1546" s="1">
        <v>1537</v>
      </c>
      <c r="C1546" s="1" t="s">
        <v>234</v>
      </c>
      <c r="D1546" s="1">
        <v>4</v>
      </c>
      <c r="E1546" s="1">
        <v>411.39</v>
      </c>
      <c r="F1546" s="1">
        <v>23</v>
      </c>
      <c r="G1546" s="1" t="s">
        <v>48</v>
      </c>
      <c r="H1546" s="1">
        <v>156</v>
      </c>
      <c r="K1546" s="1" t="s">
        <v>76</v>
      </c>
      <c r="L1546" s="1" t="s">
        <v>245</v>
      </c>
      <c r="M1546" s="1" t="s">
        <v>246</v>
      </c>
      <c r="N1546" s="1" t="s">
        <v>250</v>
      </c>
      <c r="O1546" s="1">
        <v>1064.06</v>
      </c>
      <c r="P1546" s="1" t="s">
        <v>219</v>
      </c>
    </row>
    <row r="1547" spans="1:16">
      <c r="A1547" s="7">
        <v>40147</v>
      </c>
      <c r="B1547" s="1">
        <v>1278</v>
      </c>
      <c r="C1547" s="1" t="s">
        <v>238</v>
      </c>
      <c r="D1547" s="1">
        <v>3</v>
      </c>
      <c r="E1547" s="1">
        <v>489.75</v>
      </c>
      <c r="F1547" s="1">
        <v>23</v>
      </c>
      <c r="G1547" s="1" t="s">
        <v>7</v>
      </c>
      <c r="H1547" s="1">
        <v>2112</v>
      </c>
      <c r="K1547" s="1" t="s">
        <v>76</v>
      </c>
      <c r="L1547" s="1" t="s">
        <v>245</v>
      </c>
      <c r="M1547" s="1" t="s">
        <v>246</v>
      </c>
      <c r="N1547" s="1" t="s">
        <v>250</v>
      </c>
      <c r="O1547" s="1">
        <v>856</v>
      </c>
      <c r="P1547" s="1" t="s">
        <v>219</v>
      </c>
    </row>
    <row r="1548" spans="1:16">
      <c r="A1548" s="7">
        <v>40147</v>
      </c>
      <c r="B1548" s="1">
        <v>1279</v>
      </c>
      <c r="C1548" s="1" t="s">
        <v>238</v>
      </c>
      <c r="D1548" s="1">
        <v>3</v>
      </c>
      <c r="E1548" s="1">
        <v>489.75</v>
      </c>
      <c r="F1548" s="1">
        <v>23</v>
      </c>
      <c r="G1548" s="1" t="s">
        <v>7</v>
      </c>
      <c r="H1548" s="1">
        <v>2082</v>
      </c>
      <c r="K1548" s="1" t="s">
        <v>76</v>
      </c>
      <c r="L1548" s="1" t="s">
        <v>245</v>
      </c>
      <c r="M1548" s="1" t="s">
        <v>246</v>
      </c>
      <c r="N1548" s="1" t="s">
        <v>250</v>
      </c>
      <c r="O1548" s="1">
        <v>456</v>
      </c>
      <c r="P1548" s="1" t="s">
        <v>219</v>
      </c>
    </row>
    <row r="1549" spans="1:16">
      <c r="A1549" s="7">
        <v>40147</v>
      </c>
      <c r="B1549" s="1">
        <v>1280</v>
      </c>
      <c r="C1549" s="1" t="s">
        <v>238</v>
      </c>
      <c r="D1549" s="1">
        <v>3</v>
      </c>
      <c r="E1549" s="1">
        <v>489.75</v>
      </c>
      <c r="F1549" s="1">
        <v>23</v>
      </c>
      <c r="G1549" s="1" t="s">
        <v>7</v>
      </c>
      <c r="H1549" s="1">
        <v>1277</v>
      </c>
      <c r="K1549" s="1" t="s">
        <v>76</v>
      </c>
      <c r="L1549" s="1" t="s">
        <v>245</v>
      </c>
      <c r="M1549" s="1" t="s">
        <v>246</v>
      </c>
      <c r="N1549" s="1" t="s">
        <v>250</v>
      </c>
      <c r="O1549" s="1">
        <v>1596.09</v>
      </c>
      <c r="P1549" s="1" t="s">
        <v>219</v>
      </c>
    </row>
    <row r="1550" spans="1:16">
      <c r="A1550" s="7">
        <v>40147</v>
      </c>
      <c r="B1550" s="1">
        <v>1281</v>
      </c>
      <c r="C1550" s="1" t="s">
        <v>238</v>
      </c>
      <c r="D1550" s="1">
        <v>3</v>
      </c>
      <c r="E1550" s="1">
        <v>464.95</v>
      </c>
      <c r="F1550" s="1">
        <v>23</v>
      </c>
      <c r="G1550" s="1" t="s">
        <v>7</v>
      </c>
      <c r="H1550" s="1">
        <v>0</v>
      </c>
      <c r="K1550" s="1" t="s">
        <v>79</v>
      </c>
      <c r="L1550" s="1" t="s">
        <v>248</v>
      </c>
      <c r="M1550" s="1" t="s">
        <v>249</v>
      </c>
      <c r="N1550" s="1" t="s">
        <v>251</v>
      </c>
      <c r="O1550" s="1">
        <v>22</v>
      </c>
      <c r="P1550" s="1" t="s">
        <v>219</v>
      </c>
    </row>
    <row r="1551" spans="1:16">
      <c r="A1551" s="7">
        <v>40147</v>
      </c>
      <c r="B1551" s="1">
        <v>1286</v>
      </c>
      <c r="C1551" s="1" t="s">
        <v>238</v>
      </c>
      <c r="D1551" s="1">
        <v>3</v>
      </c>
      <c r="E1551" s="1">
        <v>529.5</v>
      </c>
      <c r="F1551" s="1">
        <v>23</v>
      </c>
      <c r="G1551" s="1" t="s">
        <v>7</v>
      </c>
      <c r="H1551" s="1">
        <v>2058</v>
      </c>
      <c r="K1551" s="1" t="s">
        <v>79</v>
      </c>
      <c r="L1551" s="1" t="s">
        <v>256</v>
      </c>
      <c r="M1551" s="1" t="s">
        <v>257</v>
      </c>
      <c r="N1551" s="1" t="s">
        <v>251</v>
      </c>
      <c r="O1551" s="1">
        <v>12.6</v>
      </c>
      <c r="P1551" s="1" t="s">
        <v>219</v>
      </c>
    </row>
    <row r="1552" spans="1:16">
      <c r="A1552" s="7">
        <v>40147</v>
      </c>
      <c r="B1552" s="1">
        <v>1287</v>
      </c>
      <c r="C1552" s="1" t="s">
        <v>238</v>
      </c>
      <c r="D1552" s="1">
        <v>3</v>
      </c>
      <c r="E1552" s="1">
        <v>489.75</v>
      </c>
      <c r="F1552" s="1">
        <v>23</v>
      </c>
      <c r="G1552" s="1" t="s">
        <v>7</v>
      </c>
      <c r="H1552" s="1">
        <v>2089</v>
      </c>
      <c r="K1552" s="1" t="s">
        <v>79</v>
      </c>
      <c r="L1552" s="1" t="s">
        <v>256</v>
      </c>
      <c r="M1552" s="1" t="s">
        <v>257</v>
      </c>
      <c r="N1552" s="1" t="s">
        <v>251</v>
      </c>
      <c r="O1552" s="1">
        <v>0.6</v>
      </c>
      <c r="P1552" s="1" t="s">
        <v>219</v>
      </c>
    </row>
    <row r="1553" spans="1:16">
      <c r="A1553" s="7">
        <v>40147</v>
      </c>
      <c r="B1553" s="1">
        <v>1288</v>
      </c>
      <c r="C1553" s="1" t="s">
        <v>238</v>
      </c>
      <c r="D1553" s="1">
        <v>3</v>
      </c>
      <c r="E1553" s="1">
        <v>489.75</v>
      </c>
      <c r="F1553" s="1">
        <v>23</v>
      </c>
      <c r="G1553" s="1" t="s">
        <v>7</v>
      </c>
      <c r="H1553" s="1">
        <v>1960</v>
      </c>
      <c r="K1553" s="1" t="s">
        <v>79</v>
      </c>
      <c r="L1553" s="1" t="s">
        <v>256</v>
      </c>
      <c r="M1553" s="1" t="s">
        <v>257</v>
      </c>
      <c r="N1553" s="1" t="s">
        <v>251</v>
      </c>
      <c r="O1553" s="1">
        <v>0.3</v>
      </c>
      <c r="P1553" s="1" t="s">
        <v>219</v>
      </c>
    </row>
    <row r="1554" spans="1:16">
      <c r="A1554" s="7">
        <v>40147</v>
      </c>
      <c r="B1554" s="1">
        <v>1290</v>
      </c>
      <c r="C1554" s="1" t="s">
        <v>234</v>
      </c>
      <c r="D1554" s="1">
        <v>8</v>
      </c>
      <c r="E1554" s="1">
        <v>489.75</v>
      </c>
      <c r="F1554" s="1">
        <v>23</v>
      </c>
      <c r="G1554" s="1" t="s">
        <v>7</v>
      </c>
      <c r="H1554" s="1">
        <v>0</v>
      </c>
      <c r="K1554" s="1" t="s">
        <v>75</v>
      </c>
      <c r="L1554" s="1" t="s">
        <v>245</v>
      </c>
      <c r="M1554" s="1" t="s">
        <v>246</v>
      </c>
      <c r="N1554" s="1" t="s">
        <v>252</v>
      </c>
      <c r="O1554" s="1">
        <v>24.7</v>
      </c>
      <c r="P1554" s="1" t="s">
        <v>219</v>
      </c>
    </row>
    <row r="1555" spans="1:16">
      <c r="A1555" s="7">
        <v>40147</v>
      </c>
      <c r="B1555" s="1">
        <v>1291</v>
      </c>
      <c r="C1555" s="1" t="s">
        <v>238</v>
      </c>
      <c r="D1555" s="1">
        <v>3</v>
      </c>
      <c r="E1555" s="1">
        <v>489.75</v>
      </c>
      <c r="F1555" s="1">
        <v>23</v>
      </c>
      <c r="G1555" s="1" t="s">
        <v>7</v>
      </c>
      <c r="H1555" s="1">
        <v>2079</v>
      </c>
      <c r="K1555" s="1" t="s">
        <v>126</v>
      </c>
      <c r="L1555" s="1" t="s">
        <v>262</v>
      </c>
      <c r="M1555" s="1" t="s">
        <v>263</v>
      </c>
      <c r="N1555" s="1" t="s">
        <v>253</v>
      </c>
      <c r="O1555" s="1">
        <v>1275.44</v>
      </c>
      <c r="P1555" s="1" t="s">
        <v>219</v>
      </c>
    </row>
    <row r="1556" spans="1:16">
      <c r="A1556" s="7">
        <v>40147</v>
      </c>
      <c r="B1556" s="1">
        <v>1292</v>
      </c>
      <c r="C1556" s="1" t="s">
        <v>238</v>
      </c>
      <c r="D1556" s="1">
        <v>3</v>
      </c>
      <c r="E1556" s="1">
        <v>482.66</v>
      </c>
      <c r="F1556" s="1">
        <v>23</v>
      </c>
      <c r="G1556" s="1" t="s">
        <v>7</v>
      </c>
      <c r="H1556" s="1">
        <v>2091</v>
      </c>
      <c r="K1556" s="1" t="s">
        <v>82</v>
      </c>
      <c r="L1556" s="1" t="s">
        <v>258</v>
      </c>
      <c r="M1556" s="1" t="s">
        <v>259</v>
      </c>
      <c r="N1556" s="1" t="s">
        <v>253</v>
      </c>
      <c r="O1556" s="1">
        <v>153</v>
      </c>
      <c r="P1556" s="1" t="s">
        <v>219</v>
      </c>
    </row>
    <row r="1557" spans="1:16">
      <c r="A1557" s="7">
        <v>40147</v>
      </c>
      <c r="B1557" s="1">
        <v>1293</v>
      </c>
      <c r="C1557" s="1" t="s">
        <v>238</v>
      </c>
      <c r="D1557" s="1">
        <v>3</v>
      </c>
      <c r="E1557" s="1">
        <v>482.66</v>
      </c>
      <c r="F1557" s="1">
        <v>23</v>
      </c>
      <c r="G1557" s="1" t="s">
        <v>7</v>
      </c>
      <c r="H1557" s="1">
        <v>2065</v>
      </c>
      <c r="K1557" s="1" t="s">
        <v>84</v>
      </c>
      <c r="L1557" s="1" t="s">
        <v>258</v>
      </c>
      <c r="M1557" s="1" t="s">
        <v>259</v>
      </c>
      <c r="N1557" s="1" t="s">
        <v>253</v>
      </c>
      <c r="O1557" s="1">
        <v>124.49</v>
      </c>
      <c r="P1557" s="1" t="s">
        <v>219</v>
      </c>
    </row>
    <row r="1558" spans="1:16">
      <c r="A1558" s="7">
        <v>40147</v>
      </c>
      <c r="B1558" s="1">
        <v>1294</v>
      </c>
      <c r="C1558" s="1" t="s">
        <v>238</v>
      </c>
      <c r="D1558" s="1">
        <v>3</v>
      </c>
      <c r="E1558" s="1">
        <v>482.66</v>
      </c>
      <c r="F1558" s="1">
        <v>23</v>
      </c>
      <c r="G1558" s="1" t="s">
        <v>7</v>
      </c>
      <c r="H1558" s="1">
        <v>2145</v>
      </c>
      <c r="K1558" s="1" t="s">
        <v>168</v>
      </c>
      <c r="L1558" s="1" t="s">
        <v>245</v>
      </c>
      <c r="M1558" s="1" t="s">
        <v>246</v>
      </c>
      <c r="N1558" s="1" t="s">
        <v>253</v>
      </c>
      <c r="O1558" s="1">
        <v>61.1</v>
      </c>
      <c r="P1558" s="1" t="s">
        <v>219</v>
      </c>
    </row>
    <row r="1559" spans="1:16">
      <c r="A1559" s="7">
        <v>40147</v>
      </c>
      <c r="B1559" s="1">
        <v>1296</v>
      </c>
      <c r="C1559" s="1" t="s">
        <v>238</v>
      </c>
      <c r="D1559" s="1">
        <v>3</v>
      </c>
      <c r="E1559" s="1">
        <v>489.75</v>
      </c>
      <c r="F1559" s="1">
        <v>23</v>
      </c>
      <c r="G1559" s="1" t="s">
        <v>7</v>
      </c>
      <c r="H1559" s="1">
        <v>2113</v>
      </c>
      <c r="K1559" s="1" t="s">
        <v>100</v>
      </c>
      <c r="L1559" s="1" t="s">
        <v>245</v>
      </c>
      <c r="M1559" s="1" t="s">
        <v>246</v>
      </c>
      <c r="N1559" s="1" t="s">
        <v>253</v>
      </c>
      <c r="O1559" s="1">
        <v>117</v>
      </c>
      <c r="P1559" s="1" t="s">
        <v>219</v>
      </c>
    </row>
    <row r="1560" spans="1:16">
      <c r="A1560" s="7">
        <v>40147</v>
      </c>
      <c r="B1560" s="1">
        <v>1297</v>
      </c>
      <c r="C1560" s="1" t="s">
        <v>238</v>
      </c>
      <c r="D1560" s="1">
        <v>3</v>
      </c>
      <c r="E1560" s="1">
        <v>489.75</v>
      </c>
      <c r="F1560" s="1">
        <v>23</v>
      </c>
      <c r="G1560" s="1" t="s">
        <v>7</v>
      </c>
      <c r="H1560" s="1">
        <v>1475</v>
      </c>
      <c r="K1560" s="1" t="s">
        <v>110</v>
      </c>
      <c r="L1560" s="1" t="s">
        <v>258</v>
      </c>
      <c r="M1560" s="1" t="s">
        <v>259</v>
      </c>
      <c r="N1560" s="1" t="s">
        <v>253</v>
      </c>
      <c r="O1560" s="1">
        <v>1372.39</v>
      </c>
      <c r="P1560" s="1" t="s">
        <v>219</v>
      </c>
    </row>
    <row r="1561" spans="1:16">
      <c r="A1561" s="7">
        <v>40147</v>
      </c>
      <c r="B1561" s="1">
        <v>1304</v>
      </c>
      <c r="C1561" s="1" t="s">
        <v>238</v>
      </c>
      <c r="D1561" s="1">
        <v>3</v>
      </c>
      <c r="E1561" s="1">
        <v>321.25</v>
      </c>
      <c r="F1561" s="1">
        <v>23</v>
      </c>
      <c r="G1561" s="1" t="s">
        <v>8</v>
      </c>
      <c r="H1561" s="1">
        <v>1758</v>
      </c>
      <c r="K1561" s="1" t="s">
        <v>101</v>
      </c>
      <c r="L1561" s="1" t="s">
        <v>256</v>
      </c>
      <c r="M1561" s="1" t="s">
        <v>257</v>
      </c>
      <c r="N1561" s="1" t="s">
        <v>253</v>
      </c>
      <c r="O1561" s="1">
        <v>3115.98</v>
      </c>
      <c r="P1561" s="1" t="s">
        <v>219</v>
      </c>
    </row>
    <row r="1562" spans="1:16">
      <c r="A1562" s="7">
        <v>40147</v>
      </c>
      <c r="B1562" s="1">
        <v>1323</v>
      </c>
      <c r="C1562" s="1" t="s">
        <v>238</v>
      </c>
      <c r="D1562" s="1">
        <v>3</v>
      </c>
      <c r="E1562" s="1">
        <v>27.35</v>
      </c>
      <c r="F1562" s="1">
        <v>23</v>
      </c>
      <c r="G1562" s="1" t="s">
        <v>8</v>
      </c>
      <c r="H1562" s="1">
        <v>1358</v>
      </c>
      <c r="K1562" s="1" t="s">
        <v>82</v>
      </c>
      <c r="L1562" s="1" t="s">
        <v>245</v>
      </c>
      <c r="M1562" s="1" t="s">
        <v>246</v>
      </c>
      <c r="N1562" s="1" t="s">
        <v>253</v>
      </c>
      <c r="O1562" s="1">
        <v>23.96</v>
      </c>
      <c r="P1562" s="1" t="s">
        <v>219</v>
      </c>
    </row>
    <row r="1563" spans="1:16">
      <c r="A1563" s="7">
        <v>40147</v>
      </c>
      <c r="B1563" s="1">
        <v>1323</v>
      </c>
      <c r="C1563" s="1" t="s">
        <v>238</v>
      </c>
      <c r="D1563" s="1">
        <v>3</v>
      </c>
      <c r="E1563" s="1">
        <v>133.13999999999999</v>
      </c>
      <c r="F1563" s="1">
        <v>23</v>
      </c>
      <c r="G1563" s="1" t="s">
        <v>8</v>
      </c>
      <c r="H1563" s="1">
        <v>1358</v>
      </c>
      <c r="K1563" s="1" t="s">
        <v>81</v>
      </c>
      <c r="L1563" s="1" t="s">
        <v>245</v>
      </c>
      <c r="M1563" s="1" t="s">
        <v>246</v>
      </c>
      <c r="N1563" s="1" t="s">
        <v>253</v>
      </c>
      <c r="O1563" s="1">
        <v>141.84</v>
      </c>
      <c r="P1563" s="1" t="s">
        <v>219</v>
      </c>
    </row>
    <row r="1564" spans="1:16">
      <c r="A1564" s="7">
        <v>40147</v>
      </c>
      <c r="B1564" s="1">
        <v>1324</v>
      </c>
      <c r="C1564" s="1" t="s">
        <v>238</v>
      </c>
      <c r="D1564" s="1">
        <v>3</v>
      </c>
      <c r="E1564" s="1">
        <v>219.36</v>
      </c>
      <c r="F1564" s="1">
        <v>23</v>
      </c>
      <c r="G1564" s="1" t="s">
        <v>8</v>
      </c>
      <c r="H1564" s="1">
        <v>2111</v>
      </c>
      <c r="K1564" s="1" t="s">
        <v>84</v>
      </c>
      <c r="L1564" s="1" t="s">
        <v>245</v>
      </c>
      <c r="M1564" s="1" t="s">
        <v>246</v>
      </c>
      <c r="N1564" s="1" t="s">
        <v>253</v>
      </c>
      <c r="O1564" s="1">
        <v>620</v>
      </c>
      <c r="P1564" s="1" t="s">
        <v>219</v>
      </c>
    </row>
    <row r="1565" spans="1:16">
      <c r="A1565" s="7">
        <v>40147</v>
      </c>
      <c r="B1565" s="1">
        <v>1326</v>
      </c>
      <c r="C1565" s="1" t="s">
        <v>238</v>
      </c>
      <c r="D1565" s="1">
        <v>3</v>
      </c>
      <c r="E1565" s="1">
        <v>489.75</v>
      </c>
      <c r="F1565" s="1">
        <v>23</v>
      </c>
      <c r="G1565" s="1" t="s">
        <v>8</v>
      </c>
      <c r="H1565" s="1">
        <v>1815</v>
      </c>
      <c r="K1565" s="1" t="s">
        <v>98</v>
      </c>
      <c r="L1565" s="1" t="s">
        <v>245</v>
      </c>
      <c r="M1565" s="1" t="s">
        <v>246</v>
      </c>
      <c r="N1565" s="1" t="s">
        <v>253</v>
      </c>
      <c r="O1565" s="1">
        <v>1740</v>
      </c>
      <c r="P1565" s="1" t="s">
        <v>219</v>
      </c>
    </row>
    <row r="1566" spans="1:16">
      <c r="A1566" s="7">
        <v>40147</v>
      </c>
      <c r="B1566" s="1">
        <v>1327</v>
      </c>
      <c r="C1566" s="1" t="s">
        <v>238</v>
      </c>
      <c r="D1566" s="1">
        <v>3</v>
      </c>
      <c r="E1566" s="1">
        <v>317.32</v>
      </c>
      <c r="F1566" s="1">
        <v>23</v>
      </c>
      <c r="G1566" s="1" t="s">
        <v>8</v>
      </c>
      <c r="H1566" s="1">
        <v>1745</v>
      </c>
      <c r="K1566" s="1" t="s">
        <v>103</v>
      </c>
      <c r="L1566" s="1" t="s">
        <v>245</v>
      </c>
      <c r="M1566" s="1" t="s">
        <v>246</v>
      </c>
      <c r="N1566" s="1" t="s">
        <v>253</v>
      </c>
      <c r="O1566" s="1">
        <v>341.07</v>
      </c>
      <c r="P1566" s="1" t="s">
        <v>219</v>
      </c>
    </row>
    <row r="1567" spans="1:16">
      <c r="A1567" s="7">
        <v>40147</v>
      </c>
      <c r="B1567" s="1">
        <v>1328</v>
      </c>
      <c r="C1567" s="1" t="s">
        <v>238</v>
      </c>
      <c r="D1567" s="1">
        <v>3</v>
      </c>
      <c r="E1567" s="1">
        <v>502.26</v>
      </c>
      <c r="F1567" s="1">
        <v>23</v>
      </c>
      <c r="G1567" s="1" t="s">
        <v>8</v>
      </c>
      <c r="H1567" s="1">
        <v>1772</v>
      </c>
      <c r="K1567" s="1" t="s">
        <v>103</v>
      </c>
      <c r="L1567" s="1" t="s">
        <v>245</v>
      </c>
      <c r="M1567" s="1" t="s">
        <v>246</v>
      </c>
      <c r="N1567" s="1" t="s">
        <v>253</v>
      </c>
      <c r="O1567" s="1">
        <v>39.24</v>
      </c>
      <c r="P1567" s="1" t="s">
        <v>219</v>
      </c>
    </row>
    <row r="1568" spans="1:16">
      <c r="A1568" s="7">
        <v>40147</v>
      </c>
      <c r="B1568" s="1">
        <v>1329</v>
      </c>
      <c r="C1568" s="1" t="s">
        <v>238</v>
      </c>
      <c r="D1568" s="1">
        <v>3</v>
      </c>
      <c r="E1568" s="1">
        <v>489.75</v>
      </c>
      <c r="F1568" s="1">
        <v>23</v>
      </c>
      <c r="G1568" s="1" t="s">
        <v>8</v>
      </c>
      <c r="H1568" s="1">
        <v>1876</v>
      </c>
      <c r="K1568" s="1" t="s">
        <v>77</v>
      </c>
      <c r="L1568" s="1" t="s">
        <v>245</v>
      </c>
      <c r="M1568" s="1" t="s">
        <v>246</v>
      </c>
      <c r="N1568" s="1" t="s">
        <v>253</v>
      </c>
      <c r="O1568" s="1">
        <v>338.22</v>
      </c>
      <c r="P1568" s="1" t="s">
        <v>219</v>
      </c>
    </row>
    <row r="1569" spans="1:16">
      <c r="A1569" s="7">
        <v>40147</v>
      </c>
      <c r="B1569" s="1">
        <v>1330</v>
      </c>
      <c r="C1569" s="1" t="s">
        <v>238</v>
      </c>
      <c r="D1569" s="1">
        <v>3</v>
      </c>
      <c r="E1569" s="1">
        <v>310.23</v>
      </c>
      <c r="F1569" s="1">
        <v>23</v>
      </c>
      <c r="G1569" s="1" t="s">
        <v>8</v>
      </c>
      <c r="H1569" s="1">
        <v>1759</v>
      </c>
      <c r="K1569" s="1" t="s">
        <v>77</v>
      </c>
      <c r="L1569" s="1" t="s">
        <v>248</v>
      </c>
      <c r="M1569" s="1" t="s">
        <v>249</v>
      </c>
      <c r="N1569" s="1" t="s">
        <v>253</v>
      </c>
      <c r="O1569" s="1">
        <v>887.13</v>
      </c>
      <c r="P1569" s="1" t="s">
        <v>219</v>
      </c>
    </row>
    <row r="1570" spans="1:16">
      <c r="A1570" s="7">
        <v>40147</v>
      </c>
      <c r="B1570" s="1">
        <v>1332</v>
      </c>
      <c r="C1570" s="1" t="s">
        <v>238</v>
      </c>
      <c r="D1570" s="1">
        <v>3</v>
      </c>
      <c r="E1570" s="1">
        <v>427.05</v>
      </c>
      <c r="F1570" s="1">
        <v>23</v>
      </c>
      <c r="G1570" s="1" t="s">
        <v>8</v>
      </c>
      <c r="H1570" s="1">
        <v>2102</v>
      </c>
      <c r="K1570" s="1" t="s">
        <v>77</v>
      </c>
      <c r="L1570" s="1" t="s">
        <v>248</v>
      </c>
      <c r="M1570" s="1" t="s">
        <v>249</v>
      </c>
      <c r="N1570" s="1" t="s">
        <v>253</v>
      </c>
      <c r="O1570" s="1">
        <v>19.59</v>
      </c>
      <c r="P1570" s="1" t="s">
        <v>219</v>
      </c>
    </row>
    <row r="1571" spans="1:16">
      <c r="A1571" s="7">
        <v>40147</v>
      </c>
      <c r="B1571" s="1">
        <v>1333</v>
      </c>
      <c r="C1571" s="1" t="s">
        <v>238</v>
      </c>
      <c r="D1571" s="1">
        <v>3</v>
      </c>
      <c r="E1571" s="1">
        <v>489.75</v>
      </c>
      <c r="F1571" s="1">
        <v>23</v>
      </c>
      <c r="G1571" s="1" t="s">
        <v>8</v>
      </c>
      <c r="H1571" s="1">
        <v>1746</v>
      </c>
      <c r="K1571" s="1" t="s">
        <v>88</v>
      </c>
      <c r="L1571" s="1" t="s">
        <v>245</v>
      </c>
      <c r="M1571" s="1" t="s">
        <v>246</v>
      </c>
      <c r="N1571" s="1" t="s">
        <v>253</v>
      </c>
      <c r="O1571" s="1">
        <v>115.88</v>
      </c>
      <c r="P1571" s="1" t="s">
        <v>219</v>
      </c>
    </row>
    <row r="1572" spans="1:16">
      <c r="A1572" s="7">
        <v>40147</v>
      </c>
      <c r="B1572" s="1">
        <v>1334</v>
      </c>
      <c r="C1572" s="1" t="s">
        <v>238</v>
      </c>
      <c r="D1572" s="1">
        <v>3</v>
      </c>
      <c r="E1572" s="1">
        <v>489.75</v>
      </c>
      <c r="F1572" s="1">
        <v>23</v>
      </c>
      <c r="G1572" s="1" t="s">
        <v>8</v>
      </c>
      <c r="H1572" s="1">
        <v>1749</v>
      </c>
      <c r="K1572" s="1" t="s">
        <v>104</v>
      </c>
      <c r="L1572" s="1" t="s">
        <v>245</v>
      </c>
      <c r="M1572" s="1" t="s">
        <v>246</v>
      </c>
      <c r="N1572" s="1" t="s">
        <v>253</v>
      </c>
      <c r="O1572" s="1">
        <v>17.59</v>
      </c>
      <c r="P1572" s="1" t="s">
        <v>219</v>
      </c>
    </row>
    <row r="1573" spans="1:16">
      <c r="A1573" s="7">
        <v>40147</v>
      </c>
      <c r="B1573" s="1">
        <v>1335</v>
      </c>
      <c r="C1573" s="1" t="s">
        <v>238</v>
      </c>
      <c r="D1573" s="1">
        <v>3</v>
      </c>
      <c r="E1573" s="1">
        <v>258.58999999999997</v>
      </c>
      <c r="F1573" s="1">
        <v>23</v>
      </c>
      <c r="G1573" s="1" t="s">
        <v>8</v>
      </c>
      <c r="H1573" s="1">
        <v>1756</v>
      </c>
      <c r="K1573" s="1" t="s">
        <v>105</v>
      </c>
      <c r="L1573" s="1" t="s">
        <v>262</v>
      </c>
      <c r="M1573" s="1" t="s">
        <v>263</v>
      </c>
      <c r="N1573" s="1" t="s">
        <v>253</v>
      </c>
      <c r="O1573" s="1">
        <v>3769.8</v>
      </c>
      <c r="P1573" s="1" t="s">
        <v>219</v>
      </c>
    </row>
    <row r="1574" spans="1:16">
      <c r="A1574" s="7">
        <v>40147</v>
      </c>
      <c r="B1574" s="1">
        <v>1336</v>
      </c>
      <c r="C1574" s="1" t="s">
        <v>238</v>
      </c>
      <c r="D1574" s="1">
        <v>3</v>
      </c>
      <c r="E1574" s="1">
        <v>536.77</v>
      </c>
      <c r="F1574" s="1">
        <v>23</v>
      </c>
      <c r="G1574" s="1" t="s">
        <v>8</v>
      </c>
      <c r="H1574" s="1">
        <v>1415</v>
      </c>
      <c r="K1574" s="1" t="s">
        <v>106</v>
      </c>
      <c r="L1574" s="1" t="s">
        <v>245</v>
      </c>
      <c r="M1574" s="1" t="s">
        <v>246</v>
      </c>
      <c r="N1574" s="1" t="s">
        <v>253</v>
      </c>
      <c r="O1574" s="1">
        <v>1340.94</v>
      </c>
      <c r="P1574" s="1" t="s">
        <v>219</v>
      </c>
    </row>
    <row r="1575" spans="1:16">
      <c r="A1575" s="7">
        <v>40147</v>
      </c>
      <c r="B1575" s="1">
        <v>1337</v>
      </c>
      <c r="C1575" s="1" t="s">
        <v>238</v>
      </c>
      <c r="D1575" s="1">
        <v>3</v>
      </c>
      <c r="E1575" s="1">
        <v>517.17999999999995</v>
      </c>
      <c r="F1575" s="1">
        <v>23</v>
      </c>
      <c r="G1575" s="1" t="s">
        <v>8</v>
      </c>
      <c r="H1575" s="1">
        <v>1826</v>
      </c>
      <c r="K1575" s="1" t="s">
        <v>104</v>
      </c>
      <c r="L1575" s="1" t="s">
        <v>245</v>
      </c>
      <c r="M1575" s="1" t="s">
        <v>246</v>
      </c>
      <c r="N1575" s="1" t="s">
        <v>253</v>
      </c>
      <c r="O1575" s="1">
        <v>19.100000000000001</v>
      </c>
      <c r="P1575" s="1" t="s">
        <v>219</v>
      </c>
    </row>
    <row r="1576" spans="1:16">
      <c r="A1576" s="7">
        <v>40147</v>
      </c>
      <c r="B1576" s="1">
        <v>1339</v>
      </c>
      <c r="C1576" s="1" t="s">
        <v>238</v>
      </c>
      <c r="D1576" s="1">
        <v>3</v>
      </c>
      <c r="E1576" s="1">
        <v>156.65</v>
      </c>
      <c r="F1576" s="1">
        <v>23</v>
      </c>
      <c r="G1576" s="1" t="s">
        <v>8</v>
      </c>
      <c r="H1576" s="1">
        <v>1386</v>
      </c>
      <c r="K1576" s="1" t="s">
        <v>88</v>
      </c>
      <c r="L1576" s="1" t="s">
        <v>245</v>
      </c>
      <c r="M1576" s="1" t="s">
        <v>246</v>
      </c>
      <c r="N1576" s="1" t="s">
        <v>253</v>
      </c>
      <c r="O1576" s="1">
        <v>634.25</v>
      </c>
      <c r="P1576" s="1" t="s">
        <v>219</v>
      </c>
    </row>
    <row r="1577" spans="1:16">
      <c r="A1577" s="7">
        <v>40147</v>
      </c>
      <c r="B1577" s="1">
        <v>1340</v>
      </c>
      <c r="C1577" s="1" t="s">
        <v>238</v>
      </c>
      <c r="D1577" s="1">
        <v>3</v>
      </c>
      <c r="E1577" s="1">
        <v>529.67999999999995</v>
      </c>
      <c r="F1577" s="1">
        <v>23</v>
      </c>
      <c r="G1577" s="1" t="s">
        <v>8</v>
      </c>
      <c r="H1577" s="1">
        <v>1757</v>
      </c>
      <c r="K1577" s="1" t="s">
        <v>125</v>
      </c>
      <c r="L1577" s="1" t="s">
        <v>245</v>
      </c>
      <c r="M1577" s="1" t="s">
        <v>246</v>
      </c>
      <c r="N1577" s="1" t="s">
        <v>253</v>
      </c>
      <c r="O1577" s="1">
        <v>4242.25</v>
      </c>
      <c r="P1577" s="1" t="s">
        <v>219</v>
      </c>
    </row>
    <row r="1578" spans="1:16">
      <c r="A1578" s="7">
        <v>40147</v>
      </c>
      <c r="B1578" s="1">
        <v>1341</v>
      </c>
      <c r="C1578" s="1" t="s">
        <v>238</v>
      </c>
      <c r="D1578" s="1">
        <v>3</v>
      </c>
      <c r="E1578" s="1">
        <v>383.95</v>
      </c>
      <c r="F1578" s="1">
        <v>23</v>
      </c>
      <c r="G1578" s="1" t="s">
        <v>8</v>
      </c>
      <c r="H1578" s="1">
        <v>1434</v>
      </c>
      <c r="K1578" s="1" t="s">
        <v>88</v>
      </c>
      <c r="L1578" s="1" t="s">
        <v>258</v>
      </c>
      <c r="M1578" s="1" t="s">
        <v>259</v>
      </c>
      <c r="N1578" s="1" t="s">
        <v>253</v>
      </c>
      <c r="O1578" s="1">
        <v>55.86</v>
      </c>
      <c r="P1578" s="1" t="s">
        <v>219</v>
      </c>
    </row>
    <row r="1579" spans="1:16">
      <c r="A1579" s="7">
        <v>40147</v>
      </c>
      <c r="B1579" s="1">
        <v>1342</v>
      </c>
      <c r="C1579" s="1" t="s">
        <v>238</v>
      </c>
      <c r="D1579" s="1">
        <v>3</v>
      </c>
      <c r="E1579" s="1">
        <v>489.75</v>
      </c>
      <c r="F1579" s="1">
        <v>23</v>
      </c>
      <c r="G1579" s="1" t="s">
        <v>8</v>
      </c>
      <c r="H1579" s="1">
        <v>1761</v>
      </c>
      <c r="K1579" s="1" t="s">
        <v>88</v>
      </c>
      <c r="L1579" s="1" t="s">
        <v>258</v>
      </c>
      <c r="M1579" s="1" t="s">
        <v>259</v>
      </c>
      <c r="N1579" s="1" t="s">
        <v>253</v>
      </c>
      <c r="O1579" s="1">
        <v>48.14</v>
      </c>
      <c r="P1579" s="1" t="s">
        <v>219</v>
      </c>
    </row>
    <row r="1580" spans="1:16">
      <c r="A1580" s="7">
        <v>40147</v>
      </c>
      <c r="B1580" s="1">
        <v>1343</v>
      </c>
      <c r="C1580" s="1" t="s">
        <v>238</v>
      </c>
      <c r="D1580" s="1">
        <v>3</v>
      </c>
      <c r="E1580" s="1">
        <v>538.04999999999995</v>
      </c>
      <c r="F1580" s="1">
        <v>23</v>
      </c>
      <c r="G1580" s="1" t="s">
        <v>8</v>
      </c>
      <c r="H1580" s="1">
        <v>1771</v>
      </c>
      <c r="K1580" s="1" t="s">
        <v>76</v>
      </c>
      <c r="L1580" s="1" t="s">
        <v>258</v>
      </c>
      <c r="M1580" s="1" t="s">
        <v>259</v>
      </c>
      <c r="N1580" s="1" t="s">
        <v>253</v>
      </c>
      <c r="O1580" s="1">
        <v>428.02</v>
      </c>
      <c r="P1580" s="1" t="s">
        <v>219</v>
      </c>
    </row>
    <row r="1581" spans="1:16">
      <c r="A1581" s="7">
        <v>40147</v>
      </c>
      <c r="B1581" s="1">
        <v>1344</v>
      </c>
      <c r="C1581" s="1" t="s">
        <v>238</v>
      </c>
      <c r="D1581" s="1">
        <v>3</v>
      </c>
      <c r="E1581" s="1">
        <v>430.8</v>
      </c>
      <c r="F1581" s="1">
        <v>23</v>
      </c>
      <c r="G1581" s="1" t="s">
        <v>8</v>
      </c>
      <c r="H1581" s="1">
        <v>1762</v>
      </c>
      <c r="K1581" s="1" t="s">
        <v>110</v>
      </c>
      <c r="L1581" s="1" t="s">
        <v>245</v>
      </c>
      <c r="M1581" s="1" t="s">
        <v>246</v>
      </c>
      <c r="N1581" s="1" t="s">
        <v>253</v>
      </c>
      <c r="O1581" s="1">
        <v>2271.5700000000002</v>
      </c>
      <c r="P1581" s="1" t="s">
        <v>219</v>
      </c>
    </row>
    <row r="1582" spans="1:16">
      <c r="A1582" s="7">
        <v>40147</v>
      </c>
      <c r="B1582" s="1">
        <v>1517</v>
      </c>
      <c r="C1582" s="1" t="s">
        <v>238</v>
      </c>
      <c r="D1582" s="1">
        <v>3</v>
      </c>
      <c r="E1582" s="1">
        <v>219.45</v>
      </c>
      <c r="F1582" s="1">
        <v>23</v>
      </c>
      <c r="G1582" s="1" t="s">
        <v>8</v>
      </c>
      <c r="H1582" s="1">
        <v>1758</v>
      </c>
      <c r="K1582" s="1" t="s">
        <v>103</v>
      </c>
      <c r="L1582" s="1" t="s">
        <v>264</v>
      </c>
      <c r="M1582" s="1" t="s">
        <v>265</v>
      </c>
      <c r="N1582" s="1" t="s">
        <v>253</v>
      </c>
      <c r="O1582" s="1">
        <v>63.2</v>
      </c>
      <c r="P1582" s="1" t="s">
        <v>219</v>
      </c>
    </row>
    <row r="1583" spans="1:16">
      <c r="A1583" s="7">
        <v>40147</v>
      </c>
      <c r="B1583" s="1">
        <v>1362</v>
      </c>
      <c r="C1583" s="1" t="s">
        <v>238</v>
      </c>
      <c r="D1583" s="1">
        <v>3</v>
      </c>
      <c r="E1583" s="1">
        <v>391.4</v>
      </c>
      <c r="F1583" s="1">
        <v>23</v>
      </c>
      <c r="G1583" s="1" t="s">
        <v>9</v>
      </c>
      <c r="H1583" s="1">
        <v>0</v>
      </c>
      <c r="K1583" s="1" t="s">
        <v>108</v>
      </c>
      <c r="L1583" s="1" t="s">
        <v>258</v>
      </c>
      <c r="M1583" s="1" t="s">
        <v>259</v>
      </c>
      <c r="N1583" s="1" t="s">
        <v>253</v>
      </c>
      <c r="O1583" s="1">
        <v>82.86</v>
      </c>
      <c r="P1583" s="1" t="s">
        <v>219</v>
      </c>
    </row>
    <row r="1584" spans="1:16">
      <c r="A1584" s="7">
        <v>40147</v>
      </c>
      <c r="B1584" s="1">
        <v>1364</v>
      </c>
      <c r="C1584" s="1" t="s">
        <v>238</v>
      </c>
      <c r="D1584" s="1">
        <v>3</v>
      </c>
      <c r="E1584" s="1">
        <v>599.47</v>
      </c>
      <c r="F1584" s="1">
        <v>23</v>
      </c>
      <c r="G1584" s="1" t="s">
        <v>9</v>
      </c>
      <c r="H1584" s="1">
        <v>1388</v>
      </c>
      <c r="K1584" s="1" t="s">
        <v>100</v>
      </c>
      <c r="L1584" s="1" t="s">
        <v>245</v>
      </c>
      <c r="M1584" s="1" t="s">
        <v>246</v>
      </c>
      <c r="N1584" s="1" t="s">
        <v>253</v>
      </c>
      <c r="O1584" s="1">
        <v>416</v>
      </c>
      <c r="P1584" s="1" t="s">
        <v>219</v>
      </c>
    </row>
    <row r="1585" spans="1:16">
      <c r="A1585" s="7">
        <v>40147</v>
      </c>
      <c r="B1585" s="1">
        <v>1365</v>
      </c>
      <c r="C1585" s="1" t="s">
        <v>238</v>
      </c>
      <c r="D1585" s="1">
        <v>3</v>
      </c>
      <c r="E1585" s="1">
        <v>544.62</v>
      </c>
      <c r="F1585" s="1">
        <v>23</v>
      </c>
      <c r="G1585" s="1" t="s">
        <v>9</v>
      </c>
      <c r="H1585" s="1">
        <v>1414</v>
      </c>
      <c r="K1585" s="1" t="s">
        <v>109</v>
      </c>
      <c r="L1585" s="1" t="s">
        <v>245</v>
      </c>
      <c r="M1585" s="1" t="s">
        <v>246</v>
      </c>
      <c r="N1585" s="1" t="s">
        <v>253</v>
      </c>
      <c r="O1585" s="1">
        <v>5.6</v>
      </c>
      <c r="P1585" s="1" t="s">
        <v>219</v>
      </c>
    </row>
    <row r="1586" spans="1:16">
      <c r="A1586" s="7">
        <v>40147</v>
      </c>
      <c r="B1586" s="1">
        <v>1366</v>
      </c>
      <c r="C1586" s="1" t="s">
        <v>238</v>
      </c>
      <c r="D1586" s="1">
        <v>3</v>
      </c>
      <c r="E1586" s="1">
        <v>82.29</v>
      </c>
      <c r="F1586" s="1">
        <v>23</v>
      </c>
      <c r="G1586" s="1" t="s">
        <v>9</v>
      </c>
      <c r="H1586" s="1">
        <v>1133</v>
      </c>
      <c r="K1586" s="1" t="s">
        <v>157</v>
      </c>
      <c r="L1586" s="1" t="s">
        <v>248</v>
      </c>
      <c r="M1586" s="1" t="s">
        <v>249</v>
      </c>
      <c r="N1586" s="1" t="s">
        <v>253</v>
      </c>
      <c r="O1586" s="1">
        <v>775</v>
      </c>
      <c r="P1586" s="1" t="s">
        <v>219</v>
      </c>
    </row>
    <row r="1587" spans="1:16">
      <c r="A1587" s="7">
        <v>40147</v>
      </c>
      <c r="B1587" s="1">
        <v>1369</v>
      </c>
      <c r="C1587" s="1" t="s">
        <v>238</v>
      </c>
      <c r="D1587" s="1">
        <v>3</v>
      </c>
      <c r="E1587" s="1">
        <v>499.97</v>
      </c>
      <c r="F1587" s="1">
        <v>23</v>
      </c>
      <c r="G1587" s="1" t="s">
        <v>9</v>
      </c>
      <c r="H1587" s="1">
        <v>1462</v>
      </c>
      <c r="K1587" s="1" t="s">
        <v>110</v>
      </c>
      <c r="L1587" s="1" t="s">
        <v>258</v>
      </c>
      <c r="M1587" s="1" t="s">
        <v>259</v>
      </c>
      <c r="N1587" s="1" t="s">
        <v>253</v>
      </c>
      <c r="O1587" s="1">
        <v>3660</v>
      </c>
      <c r="P1587" s="1" t="s">
        <v>219</v>
      </c>
    </row>
    <row r="1588" spans="1:16">
      <c r="A1588" s="7">
        <v>40147</v>
      </c>
      <c r="B1588" s="1">
        <v>1435</v>
      </c>
      <c r="C1588" s="1" t="s">
        <v>238</v>
      </c>
      <c r="D1588" s="1">
        <v>3</v>
      </c>
      <c r="E1588" s="1">
        <v>-0.14000000000000001</v>
      </c>
      <c r="F1588" s="1">
        <v>23</v>
      </c>
      <c r="G1588" s="1" t="s">
        <v>9</v>
      </c>
      <c r="H1588" s="1">
        <v>1492</v>
      </c>
      <c r="K1588" s="1" t="s">
        <v>82</v>
      </c>
      <c r="L1588" s="1" t="s">
        <v>258</v>
      </c>
      <c r="M1588" s="1" t="s">
        <v>259</v>
      </c>
      <c r="N1588" s="1" t="s">
        <v>253</v>
      </c>
      <c r="O1588" s="1">
        <v>286</v>
      </c>
      <c r="P1588" s="1" t="s">
        <v>219</v>
      </c>
    </row>
    <row r="1589" spans="1:16">
      <c r="A1589" s="7">
        <v>40147</v>
      </c>
      <c r="B1589" s="1">
        <v>1435</v>
      </c>
      <c r="C1589" s="1" t="s">
        <v>238</v>
      </c>
      <c r="D1589" s="1">
        <v>3</v>
      </c>
      <c r="E1589" s="1">
        <v>331.73</v>
      </c>
      <c r="F1589" s="1">
        <v>23</v>
      </c>
      <c r="G1589" s="1" t="s">
        <v>9</v>
      </c>
      <c r="H1589" s="1">
        <v>1492</v>
      </c>
      <c r="K1589" s="1" t="s">
        <v>109</v>
      </c>
      <c r="L1589" s="1" t="s">
        <v>245</v>
      </c>
      <c r="M1589" s="1" t="s">
        <v>246</v>
      </c>
      <c r="N1589" s="1" t="s">
        <v>253</v>
      </c>
      <c r="O1589" s="1">
        <v>46.06</v>
      </c>
      <c r="P1589" s="1" t="s">
        <v>219</v>
      </c>
    </row>
    <row r="1590" spans="1:16">
      <c r="A1590" s="7">
        <v>40147</v>
      </c>
      <c r="B1590" s="1">
        <v>1236</v>
      </c>
      <c r="C1590" s="1" t="s">
        <v>234</v>
      </c>
      <c r="D1590" s="1">
        <v>4</v>
      </c>
      <c r="E1590" s="1">
        <v>352.69</v>
      </c>
      <c r="F1590" s="1">
        <v>23</v>
      </c>
      <c r="G1590" s="1" t="s">
        <v>13</v>
      </c>
      <c r="H1590" s="1">
        <v>1407</v>
      </c>
      <c r="K1590" s="1" t="s">
        <v>77</v>
      </c>
      <c r="L1590" s="1" t="s">
        <v>262</v>
      </c>
      <c r="M1590" s="1" t="s">
        <v>263</v>
      </c>
      <c r="N1590" s="1" t="s">
        <v>253</v>
      </c>
      <c r="O1590" s="1">
        <v>2592.38</v>
      </c>
      <c r="P1590" s="1" t="s">
        <v>219</v>
      </c>
    </row>
    <row r="1591" spans="1:16">
      <c r="A1591" s="7">
        <v>40147</v>
      </c>
      <c r="B1591" s="1">
        <v>1531</v>
      </c>
      <c r="C1591" s="1" t="s">
        <v>234</v>
      </c>
      <c r="D1591" s="1">
        <v>3</v>
      </c>
      <c r="E1591" s="1">
        <v>34</v>
      </c>
      <c r="F1591" s="1">
        <v>23</v>
      </c>
      <c r="G1591" s="1" t="s">
        <v>32</v>
      </c>
      <c r="H1591" s="1">
        <v>482</v>
      </c>
      <c r="K1591" s="1" t="s">
        <v>77</v>
      </c>
      <c r="L1591" s="1" t="s">
        <v>262</v>
      </c>
      <c r="M1591" s="1" t="s">
        <v>263</v>
      </c>
      <c r="N1591" s="1" t="s">
        <v>253</v>
      </c>
      <c r="O1591" s="1">
        <v>232.72</v>
      </c>
      <c r="P1591" s="1" t="s">
        <v>219</v>
      </c>
    </row>
    <row r="1592" spans="1:16">
      <c r="A1592" s="7">
        <v>39844</v>
      </c>
      <c r="B1592" s="1">
        <v>220</v>
      </c>
      <c r="C1592" s="1" t="s">
        <v>234</v>
      </c>
      <c r="D1592" s="1">
        <v>4</v>
      </c>
      <c r="E1592" s="1">
        <v>1490.25</v>
      </c>
      <c r="F1592" s="1">
        <v>23</v>
      </c>
      <c r="G1592" s="1" t="s">
        <v>48</v>
      </c>
      <c r="H1592" s="1">
        <v>156</v>
      </c>
      <c r="K1592" s="1" t="s">
        <v>77</v>
      </c>
      <c r="L1592" s="1" t="s">
        <v>262</v>
      </c>
      <c r="M1592" s="1" t="s">
        <v>263</v>
      </c>
      <c r="N1592" s="1" t="s">
        <v>253</v>
      </c>
      <c r="O1592" s="1">
        <v>247</v>
      </c>
      <c r="P1592" s="1" t="s">
        <v>219</v>
      </c>
    </row>
    <row r="1593" spans="1:16">
      <c r="A1593" s="7">
        <v>39903</v>
      </c>
      <c r="B1593" s="1">
        <v>528</v>
      </c>
      <c r="C1593" s="1" t="s">
        <v>239</v>
      </c>
      <c r="D1593" s="1">
        <v>99</v>
      </c>
      <c r="E1593" s="1">
        <v>77.849999999999994</v>
      </c>
      <c r="F1593" s="1">
        <v>23</v>
      </c>
      <c r="G1593" s="1" t="s">
        <v>16</v>
      </c>
      <c r="H1593" s="1">
        <v>0</v>
      </c>
      <c r="K1593" s="1" t="s">
        <v>77</v>
      </c>
      <c r="L1593" s="1" t="s">
        <v>262</v>
      </c>
      <c r="M1593" s="1" t="s">
        <v>263</v>
      </c>
      <c r="N1593" s="1" t="s">
        <v>253</v>
      </c>
      <c r="O1593" s="1">
        <v>66.91</v>
      </c>
      <c r="P1593" s="1" t="s">
        <v>219</v>
      </c>
    </row>
    <row r="1594" spans="1:16">
      <c r="A1594" s="7">
        <v>39903</v>
      </c>
      <c r="B1594" s="1">
        <v>529</v>
      </c>
      <c r="C1594" s="1" t="s">
        <v>234</v>
      </c>
      <c r="D1594" s="1">
        <v>1</v>
      </c>
      <c r="E1594" s="1">
        <v>67.61</v>
      </c>
      <c r="F1594" s="1">
        <v>23</v>
      </c>
      <c r="G1594" s="1" t="s">
        <v>48</v>
      </c>
      <c r="H1594" s="1">
        <v>0</v>
      </c>
      <c r="K1594" s="1" t="s">
        <v>78</v>
      </c>
      <c r="L1594" s="1" t="s">
        <v>256</v>
      </c>
      <c r="M1594" s="1" t="s">
        <v>257</v>
      </c>
      <c r="N1594" s="1" t="s">
        <v>253</v>
      </c>
      <c r="O1594" s="1">
        <v>475</v>
      </c>
      <c r="P1594" s="1" t="s">
        <v>219</v>
      </c>
    </row>
    <row r="1595" spans="1:16">
      <c r="A1595" s="7">
        <v>39903</v>
      </c>
      <c r="B1595" s="1">
        <v>538</v>
      </c>
      <c r="C1595" s="1" t="s">
        <v>234</v>
      </c>
      <c r="D1595" s="1">
        <v>4</v>
      </c>
      <c r="E1595" s="1">
        <v>842.84</v>
      </c>
      <c r="F1595" s="1">
        <v>23</v>
      </c>
      <c r="G1595" s="1" t="s">
        <v>48</v>
      </c>
      <c r="H1595" s="1">
        <v>156</v>
      </c>
      <c r="K1595" s="1" t="s">
        <v>98</v>
      </c>
      <c r="L1595" s="1" t="s">
        <v>245</v>
      </c>
      <c r="M1595" s="1" t="s">
        <v>246</v>
      </c>
      <c r="N1595" s="1" t="s">
        <v>253</v>
      </c>
      <c r="O1595" s="1">
        <v>669.24</v>
      </c>
      <c r="P1595" s="1" t="s">
        <v>219</v>
      </c>
    </row>
    <row r="1596" spans="1:16">
      <c r="A1596" s="7">
        <v>39903</v>
      </c>
      <c r="B1596" s="1">
        <v>460</v>
      </c>
      <c r="C1596" s="1" t="s">
        <v>238</v>
      </c>
      <c r="D1596" s="1">
        <v>4</v>
      </c>
      <c r="E1596" s="1">
        <v>440.37</v>
      </c>
      <c r="F1596" s="1">
        <v>23</v>
      </c>
      <c r="G1596" s="1" t="s">
        <v>12</v>
      </c>
      <c r="H1596" s="1">
        <v>1469</v>
      </c>
      <c r="K1596" s="1" t="s">
        <v>127</v>
      </c>
      <c r="L1596" s="1" t="s">
        <v>245</v>
      </c>
      <c r="M1596" s="1" t="s">
        <v>246</v>
      </c>
      <c r="N1596" s="1" t="s">
        <v>253</v>
      </c>
      <c r="O1596" s="1">
        <v>3016</v>
      </c>
      <c r="P1596" s="1" t="s">
        <v>219</v>
      </c>
    </row>
    <row r="1597" spans="1:16">
      <c r="A1597" s="7">
        <v>39903</v>
      </c>
      <c r="B1597" s="1">
        <v>461</v>
      </c>
      <c r="C1597" s="1" t="s">
        <v>238</v>
      </c>
      <c r="D1597" s="1">
        <v>8</v>
      </c>
      <c r="E1597" s="1">
        <v>408.19</v>
      </c>
      <c r="F1597" s="1">
        <v>23</v>
      </c>
      <c r="G1597" s="1" t="s">
        <v>13</v>
      </c>
      <c r="H1597" s="1">
        <v>1834</v>
      </c>
      <c r="K1597" s="1" t="s">
        <v>127</v>
      </c>
      <c r="L1597" s="1" t="s">
        <v>245</v>
      </c>
      <c r="M1597" s="1" t="s">
        <v>246</v>
      </c>
      <c r="N1597" s="1" t="s">
        <v>253</v>
      </c>
      <c r="O1597" s="1">
        <v>520</v>
      </c>
      <c r="P1597" s="1" t="s">
        <v>219</v>
      </c>
    </row>
    <row r="1598" spans="1:16">
      <c r="A1598" s="7">
        <v>39903</v>
      </c>
      <c r="B1598" s="1">
        <v>462</v>
      </c>
      <c r="C1598" s="1" t="s">
        <v>238</v>
      </c>
      <c r="D1598" s="1">
        <v>4</v>
      </c>
      <c r="E1598" s="1">
        <v>478.73</v>
      </c>
      <c r="F1598" s="1">
        <v>23</v>
      </c>
      <c r="G1598" s="1" t="s">
        <v>13</v>
      </c>
      <c r="H1598" s="1">
        <v>1852</v>
      </c>
      <c r="K1598" s="1" t="s">
        <v>76</v>
      </c>
      <c r="L1598" s="1" t="s">
        <v>245</v>
      </c>
      <c r="M1598" s="1" t="s">
        <v>246</v>
      </c>
      <c r="N1598" s="1" t="s">
        <v>253</v>
      </c>
      <c r="O1598" s="1">
        <v>1352.13</v>
      </c>
      <c r="P1598" s="1" t="s">
        <v>219</v>
      </c>
    </row>
    <row r="1599" spans="1:16">
      <c r="A1599" s="7">
        <v>39903</v>
      </c>
      <c r="B1599" s="1">
        <v>463</v>
      </c>
      <c r="C1599" s="1" t="s">
        <v>238</v>
      </c>
      <c r="D1599" s="1">
        <v>4</v>
      </c>
      <c r="E1599" s="1">
        <v>408.19</v>
      </c>
      <c r="F1599" s="1">
        <v>23</v>
      </c>
      <c r="G1599" s="1" t="s">
        <v>13</v>
      </c>
      <c r="H1599" s="1">
        <v>1819</v>
      </c>
      <c r="K1599" s="1" t="s">
        <v>74</v>
      </c>
      <c r="L1599" s="1" t="s">
        <v>248</v>
      </c>
      <c r="M1599" s="1" t="s">
        <v>249</v>
      </c>
      <c r="N1599" s="1" t="s">
        <v>253</v>
      </c>
      <c r="O1599" s="1">
        <v>18000</v>
      </c>
      <c r="P1599" s="1" t="s">
        <v>219</v>
      </c>
    </row>
    <row r="1600" spans="1:16">
      <c r="A1600" s="7">
        <v>39903</v>
      </c>
      <c r="B1600" s="1">
        <v>464</v>
      </c>
      <c r="C1600" s="1" t="s">
        <v>238</v>
      </c>
      <c r="D1600" s="1">
        <v>5</v>
      </c>
      <c r="E1600" s="1">
        <v>200.59</v>
      </c>
      <c r="F1600" s="1">
        <v>23</v>
      </c>
      <c r="G1600" s="1" t="s">
        <v>13</v>
      </c>
      <c r="H1600" s="1">
        <v>819</v>
      </c>
      <c r="K1600" s="1" t="s">
        <v>110</v>
      </c>
      <c r="L1600" s="1" t="s">
        <v>264</v>
      </c>
      <c r="M1600" s="1" t="s">
        <v>265</v>
      </c>
      <c r="N1600" s="1" t="s">
        <v>253</v>
      </c>
      <c r="O1600" s="1">
        <v>1040.0999999999999</v>
      </c>
      <c r="P1600" s="1" t="s">
        <v>219</v>
      </c>
    </row>
    <row r="1601" spans="1:16">
      <c r="A1601" s="7">
        <v>39903</v>
      </c>
      <c r="B1601" s="1">
        <v>465</v>
      </c>
      <c r="C1601" s="1" t="s">
        <v>238</v>
      </c>
      <c r="D1601" s="1">
        <v>5</v>
      </c>
      <c r="E1601" s="1">
        <v>360.52</v>
      </c>
      <c r="F1601" s="1">
        <v>23</v>
      </c>
      <c r="G1601" s="1" t="s">
        <v>13</v>
      </c>
      <c r="H1601" s="1">
        <v>1076</v>
      </c>
      <c r="K1601" s="1" t="s">
        <v>86</v>
      </c>
      <c r="L1601" s="1" t="s">
        <v>248</v>
      </c>
      <c r="M1601" s="1" t="s">
        <v>249</v>
      </c>
      <c r="N1601" s="1" t="s">
        <v>253</v>
      </c>
      <c r="O1601" s="1">
        <v>0.88</v>
      </c>
      <c r="P1601" s="1" t="s">
        <v>219</v>
      </c>
    </row>
    <row r="1602" spans="1:16">
      <c r="A1602" s="7">
        <v>39903</v>
      </c>
      <c r="B1602" s="1">
        <v>466</v>
      </c>
      <c r="C1602" s="1" t="s">
        <v>238</v>
      </c>
      <c r="D1602" s="1">
        <v>8</v>
      </c>
      <c r="E1602" s="1">
        <v>329.17</v>
      </c>
      <c r="F1602" s="1">
        <v>23</v>
      </c>
      <c r="G1602" s="1" t="s">
        <v>13</v>
      </c>
      <c r="H1602" s="1">
        <v>797</v>
      </c>
      <c r="K1602" s="1" t="s">
        <v>86</v>
      </c>
      <c r="L1602" s="1" t="s">
        <v>258</v>
      </c>
      <c r="M1602" s="1" t="s">
        <v>259</v>
      </c>
      <c r="N1602" s="1" t="s">
        <v>253</v>
      </c>
      <c r="O1602" s="1">
        <v>22.88</v>
      </c>
      <c r="P1602" s="1" t="s">
        <v>219</v>
      </c>
    </row>
    <row r="1603" spans="1:16">
      <c r="A1603" s="7">
        <v>39903</v>
      </c>
      <c r="B1603" s="1">
        <v>467</v>
      </c>
      <c r="C1603" s="1" t="s">
        <v>238</v>
      </c>
      <c r="D1603" s="1">
        <v>4</v>
      </c>
      <c r="E1603" s="1">
        <v>454.57</v>
      </c>
      <c r="F1603" s="1">
        <v>23</v>
      </c>
      <c r="G1603" s="1" t="s">
        <v>3</v>
      </c>
      <c r="H1603" s="1">
        <v>1340</v>
      </c>
      <c r="K1603" s="1" t="s">
        <v>86</v>
      </c>
      <c r="L1603" s="1" t="s">
        <v>258</v>
      </c>
      <c r="M1603" s="1" t="s">
        <v>259</v>
      </c>
      <c r="N1603" s="1" t="s">
        <v>253</v>
      </c>
      <c r="O1603" s="1">
        <v>46.8</v>
      </c>
      <c r="P1603" s="1" t="s">
        <v>219</v>
      </c>
    </row>
    <row r="1604" spans="1:16">
      <c r="A1604" s="7">
        <v>39903</v>
      </c>
      <c r="B1604" s="1">
        <v>470</v>
      </c>
      <c r="C1604" s="1" t="s">
        <v>238</v>
      </c>
      <c r="D1604" s="1">
        <v>4</v>
      </c>
      <c r="E1604" s="1">
        <v>579.97</v>
      </c>
      <c r="F1604" s="1">
        <v>23</v>
      </c>
      <c r="G1604" s="1" t="s">
        <v>3</v>
      </c>
      <c r="H1604" s="1">
        <v>1352</v>
      </c>
      <c r="K1604" s="1" t="s">
        <v>76</v>
      </c>
      <c r="L1604" s="1" t="s">
        <v>245</v>
      </c>
      <c r="M1604" s="1" t="s">
        <v>246</v>
      </c>
      <c r="N1604" s="1" t="s">
        <v>253</v>
      </c>
      <c r="O1604" s="1">
        <v>1040.0999999999999</v>
      </c>
      <c r="P1604" s="1" t="s">
        <v>219</v>
      </c>
    </row>
    <row r="1605" spans="1:16">
      <c r="A1605" s="7">
        <v>39903</v>
      </c>
      <c r="B1605" s="1">
        <v>473</v>
      </c>
      <c r="C1605" s="1" t="s">
        <v>238</v>
      </c>
      <c r="D1605" s="1">
        <v>4</v>
      </c>
      <c r="E1605" s="1">
        <v>282.14999999999998</v>
      </c>
      <c r="F1605" s="1">
        <v>23</v>
      </c>
      <c r="G1605" s="1" t="s">
        <v>3</v>
      </c>
      <c r="H1605" s="1">
        <v>1377</v>
      </c>
      <c r="K1605" s="1" t="s">
        <v>158</v>
      </c>
      <c r="L1605" s="1" t="s">
        <v>264</v>
      </c>
      <c r="M1605" s="1" t="s">
        <v>265</v>
      </c>
      <c r="N1605" s="1" t="s">
        <v>253</v>
      </c>
      <c r="O1605" s="1">
        <v>282.54000000000002</v>
      </c>
      <c r="P1605" s="1" t="s">
        <v>219</v>
      </c>
    </row>
    <row r="1606" spans="1:16">
      <c r="A1606" s="7">
        <v>39903</v>
      </c>
      <c r="B1606" s="1">
        <v>475</v>
      </c>
      <c r="C1606" s="1" t="s">
        <v>238</v>
      </c>
      <c r="D1606" s="1">
        <v>4</v>
      </c>
      <c r="E1606" s="1">
        <v>517.27</v>
      </c>
      <c r="F1606" s="1">
        <v>23</v>
      </c>
      <c r="G1606" s="1" t="s">
        <v>3</v>
      </c>
      <c r="H1606" s="1">
        <v>1360</v>
      </c>
      <c r="K1606" s="1" t="s">
        <v>158</v>
      </c>
      <c r="L1606" s="1" t="s">
        <v>264</v>
      </c>
      <c r="M1606" s="1" t="s">
        <v>265</v>
      </c>
      <c r="N1606" s="1" t="s">
        <v>253</v>
      </c>
      <c r="O1606" s="1">
        <v>413.74</v>
      </c>
      <c r="P1606" s="1" t="s">
        <v>219</v>
      </c>
    </row>
    <row r="1607" spans="1:16">
      <c r="A1607" s="7">
        <v>40025</v>
      </c>
      <c r="B1607" s="1">
        <v>512</v>
      </c>
      <c r="C1607" s="1" t="s">
        <v>234</v>
      </c>
      <c r="D1607" s="1">
        <v>4</v>
      </c>
      <c r="E1607" s="1">
        <v>165449.03</v>
      </c>
      <c r="F1607" s="1">
        <v>23</v>
      </c>
      <c r="G1607" s="1" t="s">
        <v>26</v>
      </c>
      <c r="H1607" s="1">
        <v>254</v>
      </c>
      <c r="K1607" s="1" t="s">
        <v>98</v>
      </c>
      <c r="L1607" s="1" t="s">
        <v>256</v>
      </c>
      <c r="M1607" s="1" t="s">
        <v>257</v>
      </c>
      <c r="N1607" s="1" t="s">
        <v>253</v>
      </c>
      <c r="O1607" s="1">
        <v>317.72000000000003</v>
      </c>
      <c r="P1607" s="1" t="s">
        <v>219</v>
      </c>
    </row>
    <row r="1608" spans="1:16">
      <c r="A1608" s="7">
        <v>40025</v>
      </c>
      <c r="B1608" s="1">
        <v>859</v>
      </c>
      <c r="C1608" s="1" t="s">
        <v>234</v>
      </c>
      <c r="D1608" s="1">
        <v>4</v>
      </c>
      <c r="E1608" s="1">
        <v>610.76</v>
      </c>
      <c r="F1608" s="1">
        <v>23</v>
      </c>
      <c r="G1608" s="1" t="s">
        <v>48</v>
      </c>
      <c r="H1608" s="1">
        <v>156</v>
      </c>
      <c r="K1608" s="1" t="s">
        <v>110</v>
      </c>
      <c r="L1608" s="1" t="s">
        <v>248</v>
      </c>
      <c r="M1608" s="1" t="s">
        <v>249</v>
      </c>
      <c r="N1608" s="1" t="s">
        <v>253</v>
      </c>
      <c r="O1608" s="1">
        <v>312</v>
      </c>
      <c r="P1608" s="1" t="s">
        <v>219</v>
      </c>
    </row>
    <row r="1609" spans="1:16">
      <c r="A1609" s="7">
        <v>40025</v>
      </c>
      <c r="B1609" s="1">
        <v>825</v>
      </c>
      <c r="C1609" s="1" t="s">
        <v>235</v>
      </c>
      <c r="D1609" s="1">
        <v>1</v>
      </c>
      <c r="E1609" s="1">
        <v>414.46</v>
      </c>
      <c r="F1609" s="1">
        <v>23</v>
      </c>
      <c r="G1609" s="1" t="s">
        <v>6</v>
      </c>
      <c r="H1609" s="1">
        <v>1439</v>
      </c>
      <c r="K1609" s="1" t="s">
        <v>104</v>
      </c>
      <c r="L1609" s="1" t="s">
        <v>245</v>
      </c>
      <c r="M1609" s="1" t="s">
        <v>246</v>
      </c>
      <c r="N1609" s="1" t="s">
        <v>253</v>
      </c>
      <c r="O1609" s="1">
        <v>9.2899999999999991</v>
      </c>
      <c r="P1609" s="1" t="s">
        <v>219</v>
      </c>
    </row>
    <row r="1610" spans="1:16">
      <c r="A1610" s="7">
        <v>40025</v>
      </c>
      <c r="B1610" s="1">
        <v>826</v>
      </c>
      <c r="C1610" s="1" t="s">
        <v>235</v>
      </c>
      <c r="D1610" s="1">
        <v>1</v>
      </c>
      <c r="E1610" s="1">
        <v>585.66999999999996</v>
      </c>
      <c r="F1610" s="1">
        <v>23</v>
      </c>
      <c r="G1610" s="1" t="s">
        <v>6</v>
      </c>
      <c r="H1610" s="1">
        <v>865</v>
      </c>
      <c r="K1610" s="1" t="s">
        <v>82</v>
      </c>
      <c r="L1610" s="1" t="s">
        <v>245</v>
      </c>
      <c r="M1610" s="1" t="s">
        <v>246</v>
      </c>
      <c r="N1610" s="1" t="s">
        <v>253</v>
      </c>
      <c r="O1610" s="1">
        <v>19.95</v>
      </c>
      <c r="P1610" s="1" t="s">
        <v>219</v>
      </c>
    </row>
    <row r="1611" spans="1:16">
      <c r="A1611" s="7">
        <v>40025</v>
      </c>
      <c r="B1611" s="1">
        <v>827</v>
      </c>
      <c r="C1611" s="1" t="s">
        <v>235</v>
      </c>
      <c r="D1611" s="1">
        <v>1</v>
      </c>
      <c r="E1611" s="1">
        <v>243.91</v>
      </c>
      <c r="F1611" s="1">
        <v>23</v>
      </c>
      <c r="G1611" s="1" t="s">
        <v>6</v>
      </c>
      <c r="H1611" s="1">
        <v>194</v>
      </c>
      <c r="K1611" s="1" t="s">
        <v>82</v>
      </c>
      <c r="L1611" s="1" t="s">
        <v>245</v>
      </c>
      <c r="M1611" s="1" t="s">
        <v>246</v>
      </c>
      <c r="N1611" s="1" t="s">
        <v>253</v>
      </c>
      <c r="O1611" s="1">
        <v>15.83</v>
      </c>
      <c r="P1611" s="1" t="s">
        <v>219</v>
      </c>
    </row>
    <row r="1612" spans="1:16">
      <c r="A1612" s="7">
        <v>40025</v>
      </c>
      <c r="B1612" s="1">
        <v>839</v>
      </c>
      <c r="C1612" s="1" t="s">
        <v>234</v>
      </c>
      <c r="D1612" s="1">
        <v>4</v>
      </c>
      <c r="E1612" s="1">
        <v>572.5</v>
      </c>
      <c r="F1612" s="1">
        <v>23</v>
      </c>
      <c r="G1612" s="1" t="s">
        <v>6</v>
      </c>
      <c r="H1612" s="1">
        <v>1832</v>
      </c>
      <c r="K1612" s="1" t="s">
        <v>159</v>
      </c>
      <c r="L1612" s="1" t="s">
        <v>245</v>
      </c>
      <c r="M1612" s="1" t="s">
        <v>246</v>
      </c>
      <c r="N1612" s="1" t="s">
        <v>253</v>
      </c>
      <c r="O1612" s="1">
        <v>79.510000000000005</v>
      </c>
      <c r="P1612" s="1" t="s">
        <v>219</v>
      </c>
    </row>
    <row r="1613" spans="1:16">
      <c r="A1613" s="7">
        <v>40025</v>
      </c>
      <c r="B1613" s="1">
        <v>846</v>
      </c>
      <c r="C1613" s="1" t="s">
        <v>234</v>
      </c>
      <c r="D1613" s="1">
        <v>3</v>
      </c>
      <c r="E1613" s="1">
        <v>526.36</v>
      </c>
      <c r="F1613" s="1">
        <v>23</v>
      </c>
      <c r="G1613" s="1" t="s">
        <v>6</v>
      </c>
      <c r="H1613" s="1">
        <v>79</v>
      </c>
      <c r="K1613" s="1" t="s">
        <v>128</v>
      </c>
      <c r="L1613" s="1" t="s">
        <v>245</v>
      </c>
      <c r="M1613" s="1" t="s">
        <v>246</v>
      </c>
      <c r="N1613" s="1" t="s">
        <v>253</v>
      </c>
      <c r="O1613" s="1">
        <v>5530</v>
      </c>
      <c r="P1613" s="1" t="s">
        <v>219</v>
      </c>
    </row>
    <row r="1614" spans="1:16">
      <c r="A1614" s="7">
        <v>40025</v>
      </c>
      <c r="B1614" s="1">
        <v>848</v>
      </c>
      <c r="C1614" s="1" t="s">
        <v>234</v>
      </c>
      <c r="D1614" s="1">
        <v>3</v>
      </c>
      <c r="E1614" s="1">
        <v>818.23</v>
      </c>
      <c r="F1614" s="1">
        <v>23</v>
      </c>
      <c r="G1614" s="1" t="s">
        <v>6</v>
      </c>
      <c r="H1614" s="1">
        <v>104</v>
      </c>
      <c r="K1614" s="1" t="s">
        <v>110</v>
      </c>
      <c r="L1614" s="1" t="s">
        <v>245</v>
      </c>
      <c r="M1614" s="1" t="s">
        <v>246</v>
      </c>
      <c r="N1614" s="1" t="s">
        <v>253</v>
      </c>
      <c r="O1614" s="1">
        <v>649.02</v>
      </c>
      <c r="P1614" s="1" t="s">
        <v>219</v>
      </c>
    </row>
    <row r="1615" spans="1:16">
      <c r="A1615" s="7">
        <v>40025</v>
      </c>
      <c r="B1615" s="1">
        <v>1480</v>
      </c>
      <c r="C1615" s="1" t="s">
        <v>234</v>
      </c>
      <c r="D1615" s="1">
        <v>3</v>
      </c>
      <c r="E1615" s="1">
        <v>258.73</v>
      </c>
      <c r="F1615" s="1">
        <v>23</v>
      </c>
      <c r="G1615" s="1" t="s">
        <v>6</v>
      </c>
      <c r="H1615" s="1">
        <v>140</v>
      </c>
      <c r="K1615" s="1" t="s">
        <v>110</v>
      </c>
      <c r="L1615" s="1" t="s">
        <v>245</v>
      </c>
      <c r="M1615" s="1" t="s">
        <v>246</v>
      </c>
      <c r="N1615" s="1" t="s">
        <v>253</v>
      </c>
      <c r="O1615" s="1">
        <v>757.19</v>
      </c>
      <c r="P1615" s="1" t="s">
        <v>219</v>
      </c>
    </row>
    <row r="1616" spans="1:16">
      <c r="A1616" s="7">
        <v>40056</v>
      </c>
      <c r="B1616" s="1">
        <v>974</v>
      </c>
      <c r="C1616" s="1" t="s">
        <v>234</v>
      </c>
      <c r="D1616" s="1">
        <v>4</v>
      </c>
      <c r="E1616" s="1">
        <v>397.78</v>
      </c>
      <c r="F1616" s="1">
        <v>23</v>
      </c>
      <c r="G1616" s="1" t="s">
        <v>48</v>
      </c>
      <c r="H1616" s="1">
        <v>156</v>
      </c>
      <c r="K1616" s="1" t="s">
        <v>126</v>
      </c>
      <c r="L1616" s="1" t="s">
        <v>245</v>
      </c>
      <c r="M1616" s="1" t="s">
        <v>246</v>
      </c>
      <c r="N1616" s="1" t="s">
        <v>253</v>
      </c>
      <c r="O1616" s="1">
        <v>226.42</v>
      </c>
      <c r="P1616" s="1" t="s">
        <v>219</v>
      </c>
    </row>
    <row r="1617" spans="1:16">
      <c r="A1617" s="7">
        <v>40056</v>
      </c>
      <c r="B1617" s="1">
        <v>875</v>
      </c>
      <c r="C1617" s="1" t="s">
        <v>234</v>
      </c>
      <c r="D1617" s="1">
        <v>4</v>
      </c>
      <c r="E1617" s="1">
        <v>162.6</v>
      </c>
      <c r="F1617" s="1">
        <v>23</v>
      </c>
      <c r="G1617" s="1" t="s">
        <v>12</v>
      </c>
      <c r="H1617" s="1">
        <v>1651</v>
      </c>
      <c r="K1617" s="1" t="s">
        <v>110</v>
      </c>
      <c r="L1617" s="1" t="s">
        <v>245</v>
      </c>
      <c r="M1617" s="1" t="s">
        <v>246</v>
      </c>
      <c r="N1617" s="1" t="s">
        <v>253</v>
      </c>
      <c r="O1617" s="1">
        <v>119.34</v>
      </c>
      <c r="P1617" s="1" t="s">
        <v>219</v>
      </c>
    </row>
    <row r="1618" spans="1:16">
      <c r="A1618" s="7">
        <v>40056</v>
      </c>
      <c r="B1618" s="1">
        <v>872</v>
      </c>
      <c r="C1618" s="1" t="s">
        <v>234</v>
      </c>
      <c r="D1618" s="1">
        <v>4</v>
      </c>
      <c r="E1618" s="1">
        <v>684.4</v>
      </c>
      <c r="F1618" s="1">
        <v>23</v>
      </c>
      <c r="G1618" s="1" t="s">
        <v>6</v>
      </c>
      <c r="H1618" s="1">
        <v>1844</v>
      </c>
      <c r="K1618" s="1" t="s">
        <v>63</v>
      </c>
      <c r="L1618" s="1" t="s">
        <v>242</v>
      </c>
      <c r="M1618" s="1" t="s">
        <v>243</v>
      </c>
      <c r="N1618" s="1" t="s">
        <v>244</v>
      </c>
      <c r="O1618" s="1">
        <v>46789.31</v>
      </c>
      <c r="P1618" s="1" t="s">
        <v>220</v>
      </c>
    </row>
    <row r="1619" spans="1:16">
      <c r="A1619" s="7">
        <v>40178</v>
      </c>
      <c r="B1619" s="1">
        <v>1586</v>
      </c>
      <c r="C1619" s="1" t="s">
        <v>237</v>
      </c>
      <c r="D1619" s="1">
        <v>4</v>
      </c>
      <c r="E1619" s="1">
        <v>1600</v>
      </c>
      <c r="F1619" s="1">
        <v>23</v>
      </c>
      <c r="G1619" s="1" t="s">
        <v>26</v>
      </c>
      <c r="H1619" s="1">
        <v>0</v>
      </c>
      <c r="K1619" s="1" t="s">
        <v>63</v>
      </c>
      <c r="L1619" s="1" t="s">
        <v>242</v>
      </c>
      <c r="M1619" s="1" t="s">
        <v>243</v>
      </c>
      <c r="N1619" s="1" t="s">
        <v>244</v>
      </c>
      <c r="O1619" s="1">
        <v>27381.29</v>
      </c>
      <c r="P1619" s="1" t="s">
        <v>220</v>
      </c>
    </row>
    <row r="1620" spans="1:16">
      <c r="A1620" s="7">
        <v>40178</v>
      </c>
      <c r="B1620" s="1">
        <v>1564</v>
      </c>
      <c r="C1620" s="1" t="s">
        <v>234</v>
      </c>
      <c r="D1620" s="1">
        <v>4</v>
      </c>
      <c r="E1620" s="1">
        <v>-0.01</v>
      </c>
      <c r="F1620" s="1">
        <v>23</v>
      </c>
      <c r="G1620" s="1" t="s">
        <v>48</v>
      </c>
      <c r="H1620" s="1">
        <v>156</v>
      </c>
      <c r="K1620" s="1" t="s">
        <v>63</v>
      </c>
      <c r="L1620" s="1" t="s">
        <v>242</v>
      </c>
      <c r="M1620" s="1" t="s">
        <v>243</v>
      </c>
      <c r="N1620" s="1" t="s">
        <v>244</v>
      </c>
      <c r="O1620" s="1">
        <v>69051.83</v>
      </c>
      <c r="P1620" s="1" t="s">
        <v>220</v>
      </c>
    </row>
    <row r="1621" spans="1:16">
      <c r="A1621" s="7">
        <v>40178</v>
      </c>
      <c r="B1621" s="1">
        <v>1564</v>
      </c>
      <c r="C1621" s="1" t="s">
        <v>234</v>
      </c>
      <c r="D1621" s="1">
        <v>4</v>
      </c>
      <c r="E1621" s="1">
        <v>212.39</v>
      </c>
      <c r="F1621" s="1">
        <v>23</v>
      </c>
      <c r="G1621" s="1" t="s">
        <v>48</v>
      </c>
      <c r="H1621" s="1">
        <v>156</v>
      </c>
      <c r="K1621" s="1" t="s">
        <v>63</v>
      </c>
      <c r="L1621" s="1" t="s">
        <v>242</v>
      </c>
      <c r="M1621" s="1" t="s">
        <v>243</v>
      </c>
      <c r="N1621" s="1" t="s">
        <v>244</v>
      </c>
      <c r="O1621" s="1">
        <v>23127.72</v>
      </c>
      <c r="P1621" s="1" t="s">
        <v>220</v>
      </c>
    </row>
    <row r="1622" spans="1:16">
      <c r="A1622" s="7">
        <v>40178</v>
      </c>
      <c r="B1622" s="1">
        <v>1567</v>
      </c>
      <c r="C1622" s="1" t="s">
        <v>234</v>
      </c>
      <c r="D1622" s="1">
        <v>1</v>
      </c>
      <c r="E1622" s="1">
        <v>65.989999999999995</v>
      </c>
      <c r="F1622" s="1">
        <v>23</v>
      </c>
      <c r="G1622" s="1" t="s">
        <v>48</v>
      </c>
      <c r="H1622" s="1">
        <v>0</v>
      </c>
      <c r="K1622" s="1" t="s">
        <v>65</v>
      </c>
      <c r="L1622" s="1" t="s">
        <v>242</v>
      </c>
      <c r="M1622" s="1" t="s">
        <v>243</v>
      </c>
      <c r="N1622" s="1" t="s">
        <v>244</v>
      </c>
      <c r="O1622" s="1">
        <v>18442.240000000002</v>
      </c>
      <c r="P1622" s="1" t="s">
        <v>220</v>
      </c>
    </row>
    <row r="1623" spans="1:16">
      <c r="K1623" s="1" t="s">
        <v>66</v>
      </c>
      <c r="L1623" s="1" t="s">
        <v>242</v>
      </c>
      <c r="M1623" s="1" t="s">
        <v>243</v>
      </c>
      <c r="N1623" s="1" t="s">
        <v>244</v>
      </c>
      <c r="O1623" s="1">
        <v>10250.280000000001</v>
      </c>
      <c r="P1623" s="1" t="s">
        <v>220</v>
      </c>
    </row>
    <row r="1624" spans="1:16">
      <c r="K1624" s="1" t="s">
        <v>66</v>
      </c>
      <c r="L1624" s="1" t="s">
        <v>242</v>
      </c>
      <c r="M1624" s="1" t="s">
        <v>243</v>
      </c>
      <c r="N1624" s="1" t="s">
        <v>244</v>
      </c>
      <c r="O1624" s="1">
        <v>15418.14</v>
      </c>
      <c r="P1624" s="1" t="s">
        <v>220</v>
      </c>
    </row>
    <row r="1625" spans="1:16">
      <c r="K1625" s="1" t="s">
        <v>66</v>
      </c>
      <c r="L1625" s="1" t="s">
        <v>242</v>
      </c>
      <c r="M1625" s="1" t="s">
        <v>243</v>
      </c>
      <c r="N1625" s="1" t="s">
        <v>244</v>
      </c>
      <c r="O1625" s="1">
        <v>17573.63</v>
      </c>
      <c r="P1625" s="1" t="s">
        <v>220</v>
      </c>
    </row>
    <row r="1626" spans="1:16">
      <c r="K1626" s="1" t="s">
        <v>66</v>
      </c>
      <c r="L1626" s="1" t="s">
        <v>242</v>
      </c>
      <c r="M1626" s="1" t="s">
        <v>243</v>
      </c>
      <c r="N1626" s="1" t="s">
        <v>244</v>
      </c>
      <c r="O1626" s="1">
        <v>5008.2700000000004</v>
      </c>
      <c r="P1626" s="1" t="s">
        <v>220</v>
      </c>
    </row>
    <row r="1627" spans="1:16">
      <c r="K1627" s="1" t="s">
        <v>67</v>
      </c>
      <c r="L1627" s="1" t="s">
        <v>242</v>
      </c>
      <c r="M1627" s="1" t="s">
        <v>243</v>
      </c>
      <c r="N1627" s="1" t="s">
        <v>244</v>
      </c>
      <c r="O1627" s="1">
        <v>1989.27</v>
      </c>
      <c r="P1627" s="1" t="s">
        <v>220</v>
      </c>
    </row>
    <row r="1628" spans="1:16">
      <c r="K1628" s="1" t="s">
        <v>67</v>
      </c>
      <c r="L1628" s="1" t="s">
        <v>242</v>
      </c>
      <c r="M1628" s="1" t="s">
        <v>243</v>
      </c>
      <c r="N1628" s="1" t="s">
        <v>244</v>
      </c>
      <c r="O1628" s="1">
        <v>1052.69</v>
      </c>
      <c r="P1628" s="1" t="s">
        <v>220</v>
      </c>
    </row>
    <row r="1629" spans="1:16">
      <c r="K1629" s="1" t="s">
        <v>67</v>
      </c>
      <c r="L1629" s="1" t="s">
        <v>242</v>
      </c>
      <c r="M1629" s="1" t="s">
        <v>243</v>
      </c>
      <c r="N1629" s="1" t="s">
        <v>244</v>
      </c>
      <c r="O1629" s="1">
        <v>4345.45</v>
      </c>
      <c r="P1629" s="1" t="s">
        <v>220</v>
      </c>
    </row>
    <row r="1630" spans="1:16">
      <c r="K1630" s="1" t="s">
        <v>67</v>
      </c>
      <c r="L1630" s="1" t="s">
        <v>242</v>
      </c>
      <c r="M1630" s="1" t="s">
        <v>243</v>
      </c>
      <c r="N1630" s="1" t="s">
        <v>244</v>
      </c>
      <c r="O1630" s="1">
        <v>570.70000000000005</v>
      </c>
      <c r="P1630" s="1" t="s">
        <v>220</v>
      </c>
    </row>
    <row r="1631" spans="1:16">
      <c r="K1631" s="1" t="s">
        <v>68</v>
      </c>
      <c r="L1631" s="1" t="s">
        <v>242</v>
      </c>
      <c r="M1631" s="1" t="s">
        <v>243</v>
      </c>
      <c r="N1631" s="1" t="s">
        <v>244</v>
      </c>
      <c r="O1631" s="1">
        <v>7073.02</v>
      </c>
      <c r="P1631" s="1" t="s">
        <v>220</v>
      </c>
    </row>
    <row r="1632" spans="1:16">
      <c r="K1632" s="1" t="s">
        <v>68</v>
      </c>
      <c r="L1632" s="1" t="s">
        <v>242</v>
      </c>
      <c r="M1632" s="1" t="s">
        <v>243</v>
      </c>
      <c r="N1632" s="1" t="s">
        <v>244</v>
      </c>
      <c r="O1632" s="1">
        <v>4122.9799999999996</v>
      </c>
      <c r="P1632" s="1" t="s">
        <v>220</v>
      </c>
    </row>
    <row r="1633" spans="11:16">
      <c r="K1633" s="1" t="s">
        <v>68</v>
      </c>
      <c r="L1633" s="1" t="s">
        <v>242</v>
      </c>
      <c r="M1633" s="1" t="s">
        <v>243</v>
      </c>
      <c r="N1633" s="1" t="s">
        <v>244</v>
      </c>
      <c r="O1633" s="1">
        <v>10642.7</v>
      </c>
      <c r="P1633" s="1" t="s">
        <v>220</v>
      </c>
    </row>
    <row r="1634" spans="11:16">
      <c r="K1634" s="1" t="s">
        <v>68</v>
      </c>
      <c r="L1634" s="1" t="s">
        <v>242</v>
      </c>
      <c r="M1634" s="1" t="s">
        <v>243</v>
      </c>
      <c r="N1634" s="1" t="s">
        <v>244</v>
      </c>
      <c r="O1634" s="1">
        <v>3436.32</v>
      </c>
      <c r="P1634" s="1" t="s">
        <v>220</v>
      </c>
    </row>
    <row r="1635" spans="11:16">
      <c r="K1635" s="1" t="s">
        <v>69</v>
      </c>
      <c r="L1635" s="1" t="s">
        <v>242</v>
      </c>
      <c r="M1635" s="1" t="s">
        <v>243</v>
      </c>
      <c r="N1635" s="1" t="s">
        <v>244</v>
      </c>
      <c r="O1635" s="1">
        <v>2674.14</v>
      </c>
      <c r="P1635" s="1" t="s">
        <v>220</v>
      </c>
    </row>
    <row r="1636" spans="11:16">
      <c r="K1636" s="1" t="s">
        <v>70</v>
      </c>
      <c r="L1636" s="1" t="s">
        <v>242</v>
      </c>
      <c r="M1636" s="1" t="s">
        <v>243</v>
      </c>
      <c r="N1636" s="1" t="s">
        <v>244</v>
      </c>
      <c r="O1636" s="1">
        <v>1486.33</v>
      </c>
      <c r="P1636" s="1" t="s">
        <v>220</v>
      </c>
    </row>
    <row r="1637" spans="11:16">
      <c r="K1637" s="1" t="s">
        <v>70</v>
      </c>
      <c r="L1637" s="1" t="s">
        <v>242</v>
      </c>
      <c r="M1637" s="1" t="s">
        <v>243</v>
      </c>
      <c r="N1637" s="1" t="s">
        <v>244</v>
      </c>
      <c r="O1637" s="1">
        <v>2235.7199999999998</v>
      </c>
      <c r="P1637" s="1" t="s">
        <v>220</v>
      </c>
    </row>
    <row r="1638" spans="11:16">
      <c r="K1638" s="1" t="s">
        <v>70</v>
      </c>
      <c r="L1638" s="1" t="s">
        <v>242</v>
      </c>
      <c r="M1638" s="1" t="s">
        <v>243</v>
      </c>
      <c r="N1638" s="1" t="s">
        <v>244</v>
      </c>
      <c r="O1638" s="1">
        <v>2548.27</v>
      </c>
      <c r="P1638" s="1" t="s">
        <v>220</v>
      </c>
    </row>
    <row r="1639" spans="11:16">
      <c r="K1639" s="1" t="s">
        <v>70</v>
      </c>
      <c r="L1639" s="1" t="s">
        <v>242</v>
      </c>
      <c r="M1639" s="1" t="s">
        <v>243</v>
      </c>
      <c r="N1639" s="1" t="s">
        <v>244</v>
      </c>
      <c r="O1639" s="1">
        <v>726.26</v>
      </c>
      <c r="P1639" s="1" t="s">
        <v>220</v>
      </c>
    </row>
    <row r="1640" spans="11:16">
      <c r="K1640" s="1" t="s">
        <v>71</v>
      </c>
      <c r="L1640" s="1" t="s">
        <v>242</v>
      </c>
      <c r="M1640" s="1" t="s">
        <v>243</v>
      </c>
      <c r="N1640" s="1" t="s">
        <v>244</v>
      </c>
      <c r="O1640" s="1">
        <v>672.14</v>
      </c>
      <c r="P1640" s="1" t="s">
        <v>220</v>
      </c>
    </row>
    <row r="1641" spans="11:16">
      <c r="K1641" s="1" t="s">
        <v>71</v>
      </c>
      <c r="L1641" s="1" t="s">
        <v>242</v>
      </c>
      <c r="M1641" s="1" t="s">
        <v>243</v>
      </c>
      <c r="N1641" s="1" t="s">
        <v>244</v>
      </c>
      <c r="O1641" s="1">
        <v>284.32</v>
      </c>
      <c r="P1641" s="1" t="s">
        <v>220</v>
      </c>
    </row>
    <row r="1642" spans="11:16">
      <c r="K1642" s="1" t="s">
        <v>71</v>
      </c>
      <c r="L1642" s="1" t="s">
        <v>242</v>
      </c>
      <c r="M1642" s="1" t="s">
        <v>243</v>
      </c>
      <c r="N1642" s="1" t="s">
        <v>244</v>
      </c>
      <c r="O1642" s="1">
        <v>733.92</v>
      </c>
      <c r="P1642" s="1" t="s">
        <v>220</v>
      </c>
    </row>
    <row r="1643" spans="11:16">
      <c r="K1643" s="1" t="s">
        <v>71</v>
      </c>
      <c r="L1643" s="1" t="s">
        <v>242</v>
      </c>
      <c r="M1643" s="1" t="s">
        <v>243</v>
      </c>
      <c r="N1643" s="1" t="s">
        <v>244</v>
      </c>
      <c r="O1643" s="1">
        <v>236.97</v>
      </c>
      <c r="P1643" s="1" t="s">
        <v>220</v>
      </c>
    </row>
    <row r="1644" spans="11:16">
      <c r="K1644" s="1" t="s">
        <v>116</v>
      </c>
      <c r="L1644" s="1" t="s">
        <v>245</v>
      </c>
      <c r="M1644" s="1" t="s">
        <v>246</v>
      </c>
      <c r="N1644" s="1" t="s">
        <v>255</v>
      </c>
      <c r="O1644" s="1">
        <v>78.900000000000006</v>
      </c>
      <c r="P1644" s="1" t="s">
        <v>221</v>
      </c>
    </row>
    <row r="1645" spans="11:16">
      <c r="K1645" s="1" t="s">
        <v>109</v>
      </c>
      <c r="L1645" s="1" t="s">
        <v>242</v>
      </c>
      <c r="M1645" s="1" t="s">
        <v>243</v>
      </c>
      <c r="N1645" s="1" t="s">
        <v>254</v>
      </c>
      <c r="O1645" s="1">
        <v>3.64</v>
      </c>
      <c r="P1645" s="1" t="s">
        <v>222</v>
      </c>
    </row>
    <row r="1646" spans="11:16">
      <c r="K1646" s="1" t="s">
        <v>86</v>
      </c>
      <c r="L1646" s="1" t="s">
        <v>242</v>
      </c>
      <c r="M1646" s="1" t="s">
        <v>243</v>
      </c>
      <c r="N1646" s="1" t="s">
        <v>254</v>
      </c>
      <c r="O1646" s="1">
        <v>76.73</v>
      </c>
      <c r="P1646" s="1" t="s">
        <v>222</v>
      </c>
    </row>
    <row r="1647" spans="11:16">
      <c r="K1647" s="1" t="s">
        <v>79</v>
      </c>
      <c r="L1647" s="1" t="s">
        <v>256</v>
      </c>
      <c r="M1647" s="1" t="s">
        <v>257</v>
      </c>
      <c r="N1647" s="1" t="s">
        <v>251</v>
      </c>
      <c r="O1647" s="1">
        <v>0.3</v>
      </c>
      <c r="P1647" s="1" t="s">
        <v>223</v>
      </c>
    </row>
    <row r="1648" spans="11:16">
      <c r="K1648" s="1" t="s">
        <v>79</v>
      </c>
      <c r="L1648" s="1" t="s">
        <v>262</v>
      </c>
      <c r="M1648" s="1" t="s">
        <v>263</v>
      </c>
      <c r="N1648" s="1" t="s">
        <v>251</v>
      </c>
      <c r="O1648" s="1">
        <v>4</v>
      </c>
      <c r="P1648" s="1" t="s">
        <v>223</v>
      </c>
    </row>
    <row r="1649" spans="11:16">
      <c r="K1649" s="1" t="s">
        <v>92</v>
      </c>
      <c r="L1649" s="1" t="s">
        <v>245</v>
      </c>
      <c r="M1649" s="1" t="s">
        <v>246</v>
      </c>
      <c r="N1649" s="1" t="s">
        <v>255</v>
      </c>
      <c r="O1649" s="1">
        <v>3906.67</v>
      </c>
      <c r="P1649" s="1" t="s">
        <v>224</v>
      </c>
    </row>
    <row r="1650" spans="11:16">
      <c r="K1650" s="1" t="s">
        <v>94</v>
      </c>
      <c r="L1650" s="1" t="s">
        <v>245</v>
      </c>
      <c r="M1650" s="1" t="s">
        <v>246</v>
      </c>
      <c r="N1650" s="1" t="s">
        <v>255</v>
      </c>
      <c r="O1650" s="1">
        <v>912.88</v>
      </c>
      <c r="P1650" s="1" t="s">
        <v>225</v>
      </c>
    </row>
    <row r="1651" spans="11:16">
      <c r="K1651" s="1" t="s">
        <v>76</v>
      </c>
      <c r="L1651" s="1" t="s">
        <v>242</v>
      </c>
      <c r="M1651" s="1" t="s">
        <v>243</v>
      </c>
      <c r="N1651" s="1" t="s">
        <v>261</v>
      </c>
      <c r="O1651" s="1">
        <v>52</v>
      </c>
      <c r="P1651" s="1" t="s">
        <v>223</v>
      </c>
    </row>
    <row r="1652" spans="11:16">
      <c r="K1652" s="1" t="s">
        <v>76</v>
      </c>
      <c r="L1652" s="1" t="s">
        <v>242</v>
      </c>
      <c r="M1652" s="1" t="s">
        <v>243</v>
      </c>
      <c r="N1652" s="1" t="s">
        <v>261</v>
      </c>
      <c r="O1652" s="1">
        <v>29.12</v>
      </c>
      <c r="P1652" s="1" t="s">
        <v>223</v>
      </c>
    </row>
    <row r="1653" spans="11:16">
      <c r="K1653" s="1" t="s">
        <v>76</v>
      </c>
      <c r="L1653" s="1" t="s">
        <v>242</v>
      </c>
      <c r="M1653" s="1" t="s">
        <v>243</v>
      </c>
      <c r="N1653" s="1" t="s">
        <v>261</v>
      </c>
      <c r="O1653" s="1">
        <v>71.69</v>
      </c>
      <c r="P1653" s="1" t="s">
        <v>223</v>
      </c>
    </row>
    <row r="1654" spans="11:16">
      <c r="K1654" s="1" t="s">
        <v>76</v>
      </c>
      <c r="L1654" s="1" t="s">
        <v>242</v>
      </c>
      <c r="M1654" s="1" t="s">
        <v>243</v>
      </c>
      <c r="N1654" s="1" t="s">
        <v>261</v>
      </c>
      <c r="O1654" s="1">
        <v>21.12</v>
      </c>
      <c r="P1654" s="1" t="s">
        <v>223</v>
      </c>
    </row>
    <row r="1655" spans="11:16">
      <c r="K1655" s="1" t="s">
        <v>76</v>
      </c>
      <c r="L1655" s="1" t="s">
        <v>242</v>
      </c>
      <c r="M1655" s="1" t="s">
        <v>243</v>
      </c>
      <c r="N1655" s="1" t="s">
        <v>261</v>
      </c>
      <c r="O1655" s="1">
        <v>146.63999999999999</v>
      </c>
      <c r="P1655" s="1" t="s">
        <v>223</v>
      </c>
    </row>
    <row r="1656" spans="11:16">
      <c r="K1656" s="1" t="s">
        <v>100</v>
      </c>
      <c r="L1656" s="1" t="s">
        <v>242</v>
      </c>
      <c r="M1656" s="1" t="s">
        <v>243</v>
      </c>
      <c r="N1656" s="1" t="s">
        <v>261</v>
      </c>
      <c r="O1656" s="1">
        <v>8.8000000000000007</v>
      </c>
      <c r="P1656" s="1" t="s">
        <v>223</v>
      </c>
    </row>
    <row r="1657" spans="11:16">
      <c r="K1657" s="1" t="s">
        <v>76</v>
      </c>
      <c r="L1657" s="1" t="s">
        <v>242</v>
      </c>
      <c r="M1657" s="1" t="s">
        <v>243</v>
      </c>
      <c r="N1657" s="1" t="s">
        <v>261</v>
      </c>
      <c r="O1657" s="1">
        <v>8</v>
      </c>
      <c r="P1657" s="1" t="s">
        <v>223</v>
      </c>
    </row>
    <row r="1658" spans="11:16">
      <c r="K1658" s="1" t="s">
        <v>76</v>
      </c>
      <c r="L1658" s="1" t="s">
        <v>242</v>
      </c>
      <c r="M1658" s="1" t="s">
        <v>243</v>
      </c>
      <c r="N1658" s="1" t="s">
        <v>261</v>
      </c>
      <c r="O1658" s="1">
        <v>14</v>
      </c>
      <c r="P1658" s="1" t="s">
        <v>223</v>
      </c>
    </row>
    <row r="1659" spans="11:16">
      <c r="K1659" s="1" t="s">
        <v>76</v>
      </c>
      <c r="L1659" s="1" t="s">
        <v>242</v>
      </c>
      <c r="M1659" s="1" t="s">
        <v>243</v>
      </c>
      <c r="N1659" s="1" t="s">
        <v>261</v>
      </c>
      <c r="O1659" s="1">
        <v>12.8</v>
      </c>
      <c r="P1659" s="1" t="s">
        <v>223</v>
      </c>
    </row>
    <row r="1660" spans="11:16">
      <c r="K1660" s="1" t="s">
        <v>76</v>
      </c>
      <c r="L1660" s="1" t="s">
        <v>242</v>
      </c>
      <c r="M1660" s="1" t="s">
        <v>243</v>
      </c>
      <c r="N1660" s="1" t="s">
        <v>261</v>
      </c>
      <c r="O1660" s="1">
        <v>16</v>
      </c>
      <c r="P1660" s="1" t="s">
        <v>223</v>
      </c>
    </row>
    <row r="1661" spans="11:16">
      <c r="K1661" s="1" t="s">
        <v>76</v>
      </c>
      <c r="L1661" s="1" t="s">
        <v>242</v>
      </c>
      <c r="M1661" s="1" t="s">
        <v>243</v>
      </c>
      <c r="N1661" s="1" t="s">
        <v>261</v>
      </c>
      <c r="O1661" s="1">
        <v>19.2</v>
      </c>
      <c r="P1661" s="1" t="s">
        <v>223</v>
      </c>
    </row>
    <row r="1662" spans="11:16">
      <c r="K1662" s="1" t="s">
        <v>76</v>
      </c>
      <c r="L1662" s="1" t="s">
        <v>242</v>
      </c>
      <c r="M1662" s="1" t="s">
        <v>243</v>
      </c>
      <c r="N1662" s="1" t="s">
        <v>261</v>
      </c>
      <c r="O1662" s="1">
        <v>32.1</v>
      </c>
      <c r="P1662" s="1" t="s">
        <v>223</v>
      </c>
    </row>
    <row r="1663" spans="11:16">
      <c r="K1663" s="1" t="s">
        <v>76</v>
      </c>
      <c r="L1663" s="1" t="s">
        <v>242</v>
      </c>
      <c r="M1663" s="1" t="s">
        <v>243</v>
      </c>
      <c r="N1663" s="1" t="s">
        <v>261</v>
      </c>
      <c r="O1663" s="1">
        <v>34.24</v>
      </c>
      <c r="P1663" s="1" t="s">
        <v>223</v>
      </c>
    </row>
    <row r="1664" spans="11:16">
      <c r="K1664" s="1" t="s">
        <v>76</v>
      </c>
      <c r="L1664" s="1" t="s">
        <v>242</v>
      </c>
      <c r="M1664" s="1" t="s">
        <v>243</v>
      </c>
      <c r="N1664" s="1" t="s">
        <v>261</v>
      </c>
      <c r="O1664" s="1">
        <v>8.8000000000000007</v>
      </c>
      <c r="P1664" s="1" t="s">
        <v>223</v>
      </c>
    </row>
    <row r="1665" spans="11:16">
      <c r="K1665" s="1" t="s">
        <v>76</v>
      </c>
      <c r="L1665" s="1" t="s">
        <v>242</v>
      </c>
      <c r="M1665" s="1" t="s">
        <v>243</v>
      </c>
      <c r="N1665" s="1" t="s">
        <v>261</v>
      </c>
      <c r="O1665" s="1">
        <v>57.24</v>
      </c>
      <c r="P1665" s="1" t="s">
        <v>223</v>
      </c>
    </row>
    <row r="1666" spans="11:16">
      <c r="K1666" s="1" t="s">
        <v>72</v>
      </c>
      <c r="L1666" s="1" t="s">
        <v>242</v>
      </c>
      <c r="M1666" s="1" t="s">
        <v>243</v>
      </c>
      <c r="N1666" s="1" t="s">
        <v>261</v>
      </c>
      <c r="O1666" s="1">
        <v>20.8</v>
      </c>
      <c r="P1666" s="1" t="s">
        <v>223</v>
      </c>
    </row>
    <row r="1667" spans="11:16">
      <c r="K1667" s="1" t="s">
        <v>76</v>
      </c>
      <c r="L1667" s="1" t="s">
        <v>242</v>
      </c>
      <c r="M1667" s="1" t="s">
        <v>243</v>
      </c>
      <c r="N1667" s="1" t="s">
        <v>261</v>
      </c>
      <c r="O1667" s="1">
        <v>11.06</v>
      </c>
      <c r="P1667" s="1" t="s">
        <v>223</v>
      </c>
    </row>
    <row r="1668" spans="11:16">
      <c r="K1668" s="1" t="s">
        <v>155</v>
      </c>
      <c r="L1668" s="1" t="s">
        <v>242</v>
      </c>
      <c r="M1668" s="1" t="s">
        <v>243</v>
      </c>
      <c r="N1668" s="1" t="s">
        <v>261</v>
      </c>
      <c r="O1668" s="1">
        <v>1.92</v>
      </c>
      <c r="P1668" s="1" t="s">
        <v>223</v>
      </c>
    </row>
    <row r="1669" spans="11:16">
      <c r="K1669" s="1" t="s">
        <v>100</v>
      </c>
      <c r="L1669" s="1" t="s">
        <v>242</v>
      </c>
      <c r="M1669" s="1" t="s">
        <v>243</v>
      </c>
      <c r="N1669" s="1" t="s">
        <v>261</v>
      </c>
      <c r="O1669" s="1">
        <v>12</v>
      </c>
      <c r="P1669" s="1" t="s">
        <v>223</v>
      </c>
    </row>
    <row r="1670" spans="11:16">
      <c r="K1670" s="1" t="s">
        <v>76</v>
      </c>
      <c r="L1670" s="1" t="s">
        <v>242</v>
      </c>
      <c r="M1670" s="1" t="s">
        <v>243</v>
      </c>
      <c r="N1670" s="1" t="s">
        <v>261</v>
      </c>
      <c r="O1670" s="1">
        <v>20.8</v>
      </c>
      <c r="P1670" s="1" t="s">
        <v>223</v>
      </c>
    </row>
    <row r="1671" spans="11:16">
      <c r="K1671" s="1" t="s">
        <v>76</v>
      </c>
      <c r="L1671" s="1" t="s">
        <v>242</v>
      </c>
      <c r="M1671" s="1" t="s">
        <v>243</v>
      </c>
      <c r="N1671" s="1" t="s">
        <v>261</v>
      </c>
      <c r="O1671" s="1">
        <v>24</v>
      </c>
      <c r="P1671" s="1" t="s">
        <v>223</v>
      </c>
    </row>
    <row r="1672" spans="11:16">
      <c r="K1672" s="1" t="s">
        <v>76</v>
      </c>
      <c r="L1672" s="1" t="s">
        <v>242</v>
      </c>
      <c r="M1672" s="1" t="s">
        <v>243</v>
      </c>
      <c r="N1672" s="1" t="s">
        <v>261</v>
      </c>
      <c r="O1672" s="1">
        <v>8.32</v>
      </c>
      <c r="P1672" s="1" t="s">
        <v>223</v>
      </c>
    </row>
    <row r="1673" spans="11:16">
      <c r="K1673" s="1" t="s">
        <v>76</v>
      </c>
      <c r="L1673" s="1" t="s">
        <v>242</v>
      </c>
      <c r="M1673" s="1" t="s">
        <v>243</v>
      </c>
      <c r="N1673" s="1" t="s">
        <v>261</v>
      </c>
      <c r="O1673" s="1">
        <v>41.6</v>
      </c>
      <c r="P1673" s="1" t="s">
        <v>223</v>
      </c>
    </row>
    <row r="1674" spans="11:16">
      <c r="K1674" s="1" t="s">
        <v>76</v>
      </c>
      <c r="L1674" s="1" t="s">
        <v>242</v>
      </c>
      <c r="M1674" s="1" t="s">
        <v>243</v>
      </c>
      <c r="N1674" s="1" t="s">
        <v>261</v>
      </c>
      <c r="O1674" s="1">
        <v>14.68</v>
      </c>
      <c r="P1674" s="1" t="s">
        <v>223</v>
      </c>
    </row>
    <row r="1675" spans="11:16">
      <c r="K1675" s="1" t="s">
        <v>76</v>
      </c>
      <c r="L1675" s="1" t="s">
        <v>242</v>
      </c>
      <c r="M1675" s="1" t="s">
        <v>243</v>
      </c>
      <c r="N1675" s="1" t="s">
        <v>261</v>
      </c>
      <c r="O1675" s="1">
        <v>20.16</v>
      </c>
      <c r="P1675" s="1" t="s">
        <v>223</v>
      </c>
    </row>
    <row r="1676" spans="11:16">
      <c r="K1676" s="1" t="s">
        <v>76</v>
      </c>
      <c r="L1676" s="1" t="s">
        <v>242</v>
      </c>
      <c r="M1676" s="1" t="s">
        <v>243</v>
      </c>
      <c r="N1676" s="1" t="s">
        <v>261</v>
      </c>
      <c r="O1676" s="1">
        <v>104.36</v>
      </c>
      <c r="P1676" s="1" t="s">
        <v>223</v>
      </c>
    </row>
    <row r="1677" spans="11:16">
      <c r="K1677" s="1" t="s">
        <v>76</v>
      </c>
      <c r="L1677" s="1" t="s">
        <v>242</v>
      </c>
      <c r="M1677" s="1" t="s">
        <v>243</v>
      </c>
      <c r="N1677" s="1" t="s">
        <v>261</v>
      </c>
      <c r="O1677" s="1">
        <v>60</v>
      </c>
      <c r="P1677" s="1" t="s">
        <v>223</v>
      </c>
    </row>
    <row r="1678" spans="11:16">
      <c r="K1678" s="1" t="s">
        <v>76</v>
      </c>
      <c r="L1678" s="1" t="s">
        <v>242</v>
      </c>
      <c r="M1678" s="1" t="s">
        <v>243</v>
      </c>
      <c r="N1678" s="1" t="s">
        <v>261</v>
      </c>
      <c r="O1678" s="1">
        <v>138.6</v>
      </c>
      <c r="P1678" s="1" t="s">
        <v>223</v>
      </c>
    </row>
    <row r="1679" spans="11:16">
      <c r="K1679" s="1" t="s">
        <v>76</v>
      </c>
      <c r="L1679" s="1" t="s">
        <v>242</v>
      </c>
      <c r="M1679" s="1" t="s">
        <v>243</v>
      </c>
      <c r="N1679" s="1" t="s">
        <v>261</v>
      </c>
      <c r="O1679" s="1">
        <v>42.56</v>
      </c>
      <c r="P1679" s="1" t="s">
        <v>223</v>
      </c>
    </row>
    <row r="1680" spans="11:16">
      <c r="K1680" s="1" t="s">
        <v>76</v>
      </c>
      <c r="L1680" s="1" t="s">
        <v>242</v>
      </c>
      <c r="M1680" s="1" t="s">
        <v>243</v>
      </c>
      <c r="N1680" s="1" t="s">
        <v>261</v>
      </c>
      <c r="O1680" s="1">
        <v>63.84</v>
      </c>
      <c r="P1680" s="1" t="s">
        <v>223</v>
      </c>
    </row>
    <row r="1681" spans="11:16">
      <c r="K1681" s="1" t="s">
        <v>76</v>
      </c>
      <c r="L1681" s="1" t="s">
        <v>242</v>
      </c>
      <c r="M1681" s="1" t="s">
        <v>243</v>
      </c>
      <c r="N1681" s="1" t="s">
        <v>261</v>
      </c>
      <c r="O1681" s="1">
        <v>108.49</v>
      </c>
      <c r="P1681" s="1" t="s">
        <v>223</v>
      </c>
    </row>
    <row r="1682" spans="11:16">
      <c r="K1682" s="1" t="s">
        <v>76</v>
      </c>
      <c r="L1682" s="1" t="s">
        <v>242</v>
      </c>
      <c r="M1682" s="1" t="s">
        <v>243</v>
      </c>
      <c r="N1682" s="1" t="s">
        <v>261</v>
      </c>
      <c r="O1682" s="1">
        <v>18.239999999999998</v>
      </c>
      <c r="P1682" s="1" t="s">
        <v>223</v>
      </c>
    </row>
    <row r="1683" spans="11:16">
      <c r="K1683" s="1" t="s">
        <v>76</v>
      </c>
      <c r="L1683" s="1" t="s">
        <v>242</v>
      </c>
      <c r="M1683" s="1" t="s">
        <v>243</v>
      </c>
      <c r="N1683" s="1" t="s">
        <v>261</v>
      </c>
      <c r="O1683" s="1">
        <v>66.569999999999993</v>
      </c>
      <c r="P1683" s="1" t="s">
        <v>223</v>
      </c>
    </row>
    <row r="1684" spans="11:16">
      <c r="K1684" s="1" t="s">
        <v>76</v>
      </c>
      <c r="L1684" s="1" t="s">
        <v>242</v>
      </c>
      <c r="M1684" s="1" t="s">
        <v>243</v>
      </c>
      <c r="N1684" s="1" t="s">
        <v>261</v>
      </c>
      <c r="O1684" s="1">
        <v>16.64</v>
      </c>
      <c r="P1684" s="1" t="s">
        <v>223</v>
      </c>
    </row>
    <row r="1685" spans="11:16">
      <c r="K1685" s="1" t="s">
        <v>76</v>
      </c>
      <c r="L1685" s="1" t="s">
        <v>242</v>
      </c>
      <c r="M1685" s="1" t="s">
        <v>243</v>
      </c>
      <c r="N1685" s="1" t="s">
        <v>261</v>
      </c>
      <c r="O1685" s="1">
        <v>97.13</v>
      </c>
      <c r="P1685" s="1" t="s">
        <v>223</v>
      </c>
    </row>
    <row r="1686" spans="11:16">
      <c r="K1686" s="1" t="s">
        <v>76</v>
      </c>
      <c r="L1686" s="1" t="s">
        <v>242</v>
      </c>
      <c r="M1686" s="1" t="s">
        <v>243</v>
      </c>
      <c r="N1686" s="1" t="s">
        <v>261</v>
      </c>
      <c r="O1686" s="1">
        <v>54.09</v>
      </c>
      <c r="P1686" s="1" t="s">
        <v>223</v>
      </c>
    </row>
    <row r="1687" spans="11:16">
      <c r="K1687" s="1" t="s">
        <v>76</v>
      </c>
      <c r="L1687" s="1" t="s">
        <v>242</v>
      </c>
      <c r="M1687" s="1" t="s">
        <v>243</v>
      </c>
      <c r="N1687" s="1" t="s">
        <v>261</v>
      </c>
      <c r="O1687" s="1">
        <v>36.06</v>
      </c>
      <c r="P1687" s="1" t="s">
        <v>223</v>
      </c>
    </row>
    <row r="1688" spans="11:16">
      <c r="K1688" s="1" t="s">
        <v>76</v>
      </c>
      <c r="L1688" s="1" t="s">
        <v>242</v>
      </c>
      <c r="M1688" s="1" t="s">
        <v>243</v>
      </c>
      <c r="N1688" s="1" t="s">
        <v>261</v>
      </c>
      <c r="O1688" s="1">
        <v>17.12</v>
      </c>
      <c r="P1688" s="1" t="s">
        <v>223</v>
      </c>
    </row>
    <row r="1689" spans="11:16">
      <c r="K1689" s="1" t="s">
        <v>74</v>
      </c>
      <c r="L1689" s="1" t="s">
        <v>262</v>
      </c>
      <c r="M1689" s="1" t="s">
        <v>263</v>
      </c>
      <c r="N1689" s="1" t="s">
        <v>247</v>
      </c>
      <c r="O1689" s="1">
        <v>13351.15</v>
      </c>
      <c r="P1689" s="1" t="s">
        <v>226</v>
      </c>
    </row>
    <row r="1690" spans="11:16">
      <c r="K1690" s="1" t="s">
        <v>143</v>
      </c>
      <c r="L1690" s="1" t="s">
        <v>262</v>
      </c>
      <c r="M1690" s="1" t="s">
        <v>263</v>
      </c>
      <c r="N1690" s="1" t="s">
        <v>247</v>
      </c>
      <c r="O1690" s="1">
        <v>300</v>
      </c>
      <c r="P1690" s="1" t="s">
        <v>226</v>
      </c>
    </row>
    <row r="1691" spans="11:16">
      <c r="K1691" s="1" t="s">
        <v>143</v>
      </c>
      <c r="L1691" s="1" t="s">
        <v>262</v>
      </c>
      <c r="M1691" s="1" t="s">
        <v>263</v>
      </c>
      <c r="N1691" s="1" t="s">
        <v>247</v>
      </c>
      <c r="O1691" s="1">
        <v>48</v>
      </c>
      <c r="P1691" s="1" t="s">
        <v>226</v>
      </c>
    </row>
    <row r="1692" spans="11:16">
      <c r="K1692" s="1" t="s">
        <v>76</v>
      </c>
      <c r="L1692" s="1" t="s">
        <v>245</v>
      </c>
      <c r="M1692" s="1" t="s">
        <v>246</v>
      </c>
      <c r="N1692" s="1" t="s">
        <v>250</v>
      </c>
      <c r="O1692" s="1">
        <v>3165.55</v>
      </c>
      <c r="P1692" s="1" t="s">
        <v>226</v>
      </c>
    </row>
    <row r="1693" spans="11:16">
      <c r="K1693" s="1" t="s">
        <v>76</v>
      </c>
      <c r="L1693" s="1" t="s">
        <v>245</v>
      </c>
      <c r="M1693" s="1" t="s">
        <v>246</v>
      </c>
      <c r="N1693" s="1" t="s">
        <v>250</v>
      </c>
      <c r="O1693" s="1">
        <v>122305.29</v>
      </c>
      <c r="P1693" s="1" t="s">
        <v>226</v>
      </c>
    </row>
    <row r="1694" spans="11:16">
      <c r="K1694" s="1" t="s">
        <v>76</v>
      </c>
      <c r="L1694" s="1" t="s">
        <v>245</v>
      </c>
      <c r="M1694" s="1" t="s">
        <v>246</v>
      </c>
      <c r="N1694" s="1" t="s">
        <v>250</v>
      </c>
      <c r="O1694" s="1">
        <v>24335.21</v>
      </c>
      <c r="P1694" s="1" t="s">
        <v>226</v>
      </c>
    </row>
    <row r="1695" spans="11:16">
      <c r="K1695" s="1" t="s">
        <v>76</v>
      </c>
      <c r="L1695" s="1" t="s">
        <v>245</v>
      </c>
      <c r="M1695" s="1" t="s">
        <v>246</v>
      </c>
      <c r="N1695" s="1" t="s">
        <v>250</v>
      </c>
      <c r="O1695" s="1">
        <v>20318.93</v>
      </c>
      <c r="P1695" s="1" t="s">
        <v>226</v>
      </c>
    </row>
    <row r="1696" spans="11:16">
      <c r="K1696" s="1" t="s">
        <v>74</v>
      </c>
      <c r="L1696" s="1" t="s">
        <v>245</v>
      </c>
      <c r="M1696" s="1" t="s">
        <v>246</v>
      </c>
      <c r="N1696" s="1" t="s">
        <v>250</v>
      </c>
      <c r="O1696" s="1">
        <v>958.23</v>
      </c>
      <c r="P1696" s="1" t="s">
        <v>226</v>
      </c>
    </row>
    <row r="1697" spans="11:16">
      <c r="K1697" s="1" t="s">
        <v>110</v>
      </c>
      <c r="L1697" s="1" t="s">
        <v>245</v>
      </c>
      <c r="M1697" s="1" t="s">
        <v>246</v>
      </c>
      <c r="N1697" s="1" t="s">
        <v>250</v>
      </c>
      <c r="O1697" s="1">
        <v>1261.99</v>
      </c>
      <c r="P1697" s="1" t="s">
        <v>226</v>
      </c>
    </row>
    <row r="1698" spans="11:16">
      <c r="K1698" s="1" t="s">
        <v>75</v>
      </c>
      <c r="L1698" s="1" t="s">
        <v>245</v>
      </c>
      <c r="M1698" s="1" t="s">
        <v>246</v>
      </c>
      <c r="N1698" s="1" t="s">
        <v>250</v>
      </c>
      <c r="O1698" s="1">
        <v>235</v>
      </c>
      <c r="P1698" s="1" t="s">
        <v>226</v>
      </c>
    </row>
    <row r="1699" spans="11:16">
      <c r="K1699" s="1" t="s">
        <v>76</v>
      </c>
      <c r="L1699" s="1" t="s">
        <v>245</v>
      </c>
      <c r="M1699" s="1" t="s">
        <v>246</v>
      </c>
      <c r="N1699" s="1" t="s">
        <v>250</v>
      </c>
      <c r="O1699" s="1">
        <v>1080</v>
      </c>
      <c r="P1699" s="1" t="s">
        <v>226</v>
      </c>
    </row>
    <row r="1700" spans="11:16">
      <c r="K1700" s="1" t="s">
        <v>76</v>
      </c>
      <c r="L1700" s="1" t="s">
        <v>245</v>
      </c>
      <c r="M1700" s="1" t="s">
        <v>246</v>
      </c>
      <c r="N1700" s="1" t="s">
        <v>250</v>
      </c>
      <c r="O1700" s="1">
        <v>1260</v>
      </c>
      <c r="P1700" s="1" t="s">
        <v>226</v>
      </c>
    </row>
    <row r="1701" spans="11:16">
      <c r="K1701" s="1" t="s">
        <v>76</v>
      </c>
      <c r="L1701" s="1" t="s">
        <v>245</v>
      </c>
      <c r="M1701" s="1" t="s">
        <v>246</v>
      </c>
      <c r="N1701" s="1" t="s">
        <v>250</v>
      </c>
      <c r="O1701" s="1">
        <v>1440</v>
      </c>
      <c r="P1701" s="1" t="s">
        <v>226</v>
      </c>
    </row>
    <row r="1702" spans="11:16">
      <c r="K1702" s="1" t="s">
        <v>104</v>
      </c>
      <c r="L1702" s="1" t="s">
        <v>245</v>
      </c>
      <c r="M1702" s="1" t="s">
        <v>246</v>
      </c>
      <c r="N1702" s="1" t="s">
        <v>250</v>
      </c>
      <c r="O1702" s="1">
        <v>64.069999999999993</v>
      </c>
      <c r="P1702" s="1" t="s">
        <v>226</v>
      </c>
    </row>
    <row r="1703" spans="11:16">
      <c r="K1703" s="1" t="s">
        <v>123</v>
      </c>
      <c r="L1703" s="1" t="s">
        <v>245</v>
      </c>
      <c r="M1703" s="1" t="s">
        <v>246</v>
      </c>
      <c r="N1703" s="1" t="s">
        <v>250</v>
      </c>
      <c r="O1703" s="1">
        <v>7150</v>
      </c>
      <c r="P1703" s="1" t="s">
        <v>226</v>
      </c>
    </row>
    <row r="1704" spans="11:16">
      <c r="K1704" s="1" t="s">
        <v>122</v>
      </c>
      <c r="L1704" s="1" t="s">
        <v>245</v>
      </c>
      <c r="M1704" s="1" t="s">
        <v>246</v>
      </c>
      <c r="N1704" s="1" t="s">
        <v>250</v>
      </c>
      <c r="O1704" s="1">
        <v>1769.39</v>
      </c>
      <c r="P1704" s="1" t="s">
        <v>226</v>
      </c>
    </row>
    <row r="1705" spans="11:16">
      <c r="K1705" s="1" t="s">
        <v>79</v>
      </c>
      <c r="L1705" s="1" t="s">
        <v>262</v>
      </c>
      <c r="M1705" s="1" t="s">
        <v>263</v>
      </c>
      <c r="N1705" s="1" t="s">
        <v>251</v>
      </c>
      <c r="O1705" s="1">
        <v>4</v>
      </c>
      <c r="P1705" s="1" t="s">
        <v>226</v>
      </c>
    </row>
    <row r="1706" spans="11:16">
      <c r="K1706" s="1" t="s">
        <v>75</v>
      </c>
      <c r="L1706" s="1" t="s">
        <v>245</v>
      </c>
      <c r="M1706" s="1" t="s">
        <v>246</v>
      </c>
      <c r="N1706" s="1" t="s">
        <v>252</v>
      </c>
      <c r="O1706" s="1">
        <v>21.24</v>
      </c>
      <c r="P1706" s="1" t="s">
        <v>226</v>
      </c>
    </row>
    <row r="1707" spans="11:16">
      <c r="K1707" s="1" t="s">
        <v>76</v>
      </c>
      <c r="L1707" s="1" t="s">
        <v>242</v>
      </c>
      <c r="M1707" s="1" t="s">
        <v>243</v>
      </c>
      <c r="N1707" s="1" t="s">
        <v>261</v>
      </c>
      <c r="O1707" s="1">
        <v>43.2</v>
      </c>
      <c r="P1707" s="1" t="s">
        <v>226</v>
      </c>
    </row>
    <row r="1708" spans="11:16">
      <c r="K1708" s="1" t="s">
        <v>76</v>
      </c>
      <c r="L1708" s="1" t="s">
        <v>242</v>
      </c>
      <c r="M1708" s="1" t="s">
        <v>243</v>
      </c>
      <c r="N1708" s="1" t="s">
        <v>261</v>
      </c>
      <c r="O1708" s="1">
        <v>50.4</v>
      </c>
      <c r="P1708" s="1" t="s">
        <v>226</v>
      </c>
    </row>
    <row r="1709" spans="11:16">
      <c r="K1709" s="1" t="s">
        <v>76</v>
      </c>
      <c r="L1709" s="1" t="s">
        <v>242</v>
      </c>
      <c r="M1709" s="1" t="s">
        <v>243</v>
      </c>
      <c r="N1709" s="1" t="s">
        <v>261</v>
      </c>
      <c r="O1709" s="1">
        <v>57.6</v>
      </c>
      <c r="P1709" s="1" t="s">
        <v>226</v>
      </c>
    </row>
    <row r="1710" spans="11:16">
      <c r="K1710" s="1" t="s">
        <v>82</v>
      </c>
      <c r="L1710" s="1" t="s">
        <v>258</v>
      </c>
      <c r="M1710" s="1" t="s">
        <v>259</v>
      </c>
      <c r="N1710" s="1" t="s">
        <v>253</v>
      </c>
      <c r="O1710" s="1">
        <v>90</v>
      </c>
      <c r="P1710" s="1" t="s">
        <v>226</v>
      </c>
    </row>
    <row r="1711" spans="11:16">
      <c r="K1711" s="1" t="s">
        <v>80</v>
      </c>
      <c r="L1711" s="1" t="s">
        <v>248</v>
      </c>
      <c r="M1711" s="1" t="s">
        <v>249</v>
      </c>
      <c r="N1711" s="1" t="s">
        <v>253</v>
      </c>
      <c r="O1711" s="1">
        <v>18.899999999999999</v>
      </c>
      <c r="P1711" s="1" t="s">
        <v>226</v>
      </c>
    </row>
    <row r="1712" spans="11:16">
      <c r="K1712" s="1" t="s">
        <v>82</v>
      </c>
      <c r="L1712" s="1" t="s">
        <v>245</v>
      </c>
      <c r="M1712" s="1" t="s">
        <v>246</v>
      </c>
      <c r="N1712" s="1" t="s">
        <v>253</v>
      </c>
      <c r="O1712" s="1">
        <v>116.07</v>
      </c>
      <c r="P1712" s="1" t="s">
        <v>226</v>
      </c>
    </row>
    <row r="1713" spans="11:16">
      <c r="K1713" s="1" t="s">
        <v>101</v>
      </c>
      <c r="L1713" s="1" t="s">
        <v>256</v>
      </c>
      <c r="M1713" s="1" t="s">
        <v>257</v>
      </c>
      <c r="N1713" s="1" t="s">
        <v>253</v>
      </c>
      <c r="O1713" s="1">
        <v>3115.98</v>
      </c>
      <c r="P1713" s="1" t="s">
        <v>226</v>
      </c>
    </row>
    <row r="1714" spans="11:16">
      <c r="K1714" s="1" t="s">
        <v>82</v>
      </c>
      <c r="L1714" s="1" t="s">
        <v>245</v>
      </c>
      <c r="M1714" s="1" t="s">
        <v>246</v>
      </c>
      <c r="N1714" s="1" t="s">
        <v>253</v>
      </c>
      <c r="O1714" s="1">
        <v>69.08</v>
      </c>
      <c r="P1714" s="1" t="s">
        <v>226</v>
      </c>
    </row>
    <row r="1715" spans="11:16">
      <c r="K1715" s="1" t="s">
        <v>82</v>
      </c>
      <c r="L1715" s="1" t="s">
        <v>245</v>
      </c>
      <c r="M1715" s="1" t="s">
        <v>246</v>
      </c>
      <c r="N1715" s="1" t="s">
        <v>253</v>
      </c>
      <c r="O1715" s="1">
        <v>195.02</v>
      </c>
      <c r="P1715" s="1" t="s">
        <v>226</v>
      </c>
    </row>
    <row r="1716" spans="11:16">
      <c r="K1716" s="1" t="s">
        <v>100</v>
      </c>
      <c r="L1716" s="1" t="s">
        <v>264</v>
      </c>
      <c r="M1716" s="1" t="s">
        <v>265</v>
      </c>
      <c r="N1716" s="1" t="s">
        <v>253</v>
      </c>
      <c r="O1716" s="1">
        <v>260</v>
      </c>
      <c r="P1716" s="1" t="s">
        <v>226</v>
      </c>
    </row>
    <row r="1717" spans="11:16">
      <c r="K1717" s="1" t="s">
        <v>86</v>
      </c>
      <c r="L1717" s="1" t="s">
        <v>248</v>
      </c>
      <c r="M1717" s="1" t="s">
        <v>249</v>
      </c>
      <c r="N1717" s="1" t="s">
        <v>253</v>
      </c>
      <c r="O1717" s="1">
        <v>173.81</v>
      </c>
      <c r="P1717" s="1" t="s">
        <v>226</v>
      </c>
    </row>
    <row r="1718" spans="11:16">
      <c r="K1718" s="1" t="s">
        <v>86</v>
      </c>
      <c r="L1718" s="1" t="s">
        <v>248</v>
      </c>
      <c r="M1718" s="1" t="s">
        <v>249</v>
      </c>
      <c r="N1718" s="1" t="s">
        <v>253</v>
      </c>
      <c r="O1718" s="1">
        <v>129.76</v>
      </c>
      <c r="P1718" s="1" t="s">
        <v>226</v>
      </c>
    </row>
    <row r="1719" spans="11:16">
      <c r="K1719" s="1" t="s">
        <v>77</v>
      </c>
      <c r="L1719" s="1" t="s">
        <v>245</v>
      </c>
      <c r="M1719" s="1" t="s">
        <v>246</v>
      </c>
      <c r="N1719" s="1" t="s">
        <v>253</v>
      </c>
      <c r="O1719" s="1">
        <v>43.04</v>
      </c>
      <c r="P1719" s="1" t="s">
        <v>226</v>
      </c>
    </row>
    <row r="1720" spans="11:16">
      <c r="K1720" s="1" t="s">
        <v>103</v>
      </c>
      <c r="L1720" s="1" t="s">
        <v>245</v>
      </c>
      <c r="M1720" s="1" t="s">
        <v>246</v>
      </c>
      <c r="N1720" s="1" t="s">
        <v>253</v>
      </c>
      <c r="O1720" s="1">
        <v>71.86</v>
      </c>
      <c r="P1720" s="1" t="s">
        <v>226</v>
      </c>
    </row>
    <row r="1721" spans="11:16">
      <c r="K1721" s="1" t="s">
        <v>77</v>
      </c>
      <c r="L1721" s="1" t="s">
        <v>245</v>
      </c>
      <c r="M1721" s="1" t="s">
        <v>246</v>
      </c>
      <c r="N1721" s="1" t="s">
        <v>253</v>
      </c>
      <c r="O1721" s="1">
        <v>1306.76</v>
      </c>
      <c r="P1721" s="1" t="s">
        <v>226</v>
      </c>
    </row>
    <row r="1722" spans="11:16">
      <c r="K1722" s="1" t="s">
        <v>103</v>
      </c>
      <c r="L1722" s="1" t="s">
        <v>245</v>
      </c>
      <c r="M1722" s="1" t="s">
        <v>246</v>
      </c>
      <c r="N1722" s="1" t="s">
        <v>253</v>
      </c>
      <c r="O1722" s="1">
        <v>341.07</v>
      </c>
      <c r="P1722" s="1" t="s">
        <v>226</v>
      </c>
    </row>
    <row r="1723" spans="11:16">
      <c r="K1723" s="1" t="s">
        <v>103</v>
      </c>
      <c r="L1723" s="1" t="s">
        <v>245</v>
      </c>
      <c r="M1723" s="1" t="s">
        <v>246</v>
      </c>
      <c r="N1723" s="1" t="s">
        <v>253</v>
      </c>
      <c r="O1723" s="1">
        <v>39.24</v>
      </c>
      <c r="P1723" s="1" t="s">
        <v>226</v>
      </c>
    </row>
    <row r="1724" spans="11:16">
      <c r="K1724" s="1" t="s">
        <v>77</v>
      </c>
      <c r="L1724" s="1" t="s">
        <v>245</v>
      </c>
      <c r="M1724" s="1" t="s">
        <v>246</v>
      </c>
      <c r="N1724" s="1" t="s">
        <v>253</v>
      </c>
      <c r="O1724" s="1">
        <v>338.22</v>
      </c>
      <c r="P1724" s="1" t="s">
        <v>226</v>
      </c>
    </row>
    <row r="1725" spans="11:16">
      <c r="K1725" s="1" t="s">
        <v>77</v>
      </c>
      <c r="L1725" s="1" t="s">
        <v>248</v>
      </c>
      <c r="M1725" s="1" t="s">
        <v>249</v>
      </c>
      <c r="N1725" s="1" t="s">
        <v>253</v>
      </c>
      <c r="O1725" s="1">
        <v>589.66999999999996</v>
      </c>
      <c r="P1725" s="1" t="s">
        <v>226</v>
      </c>
    </row>
    <row r="1726" spans="11:16">
      <c r="K1726" s="1" t="s">
        <v>104</v>
      </c>
      <c r="L1726" s="1" t="s">
        <v>245</v>
      </c>
      <c r="M1726" s="1" t="s">
        <v>246</v>
      </c>
      <c r="N1726" s="1" t="s">
        <v>253</v>
      </c>
      <c r="O1726" s="1">
        <v>8.94</v>
      </c>
      <c r="P1726" s="1" t="s">
        <v>226</v>
      </c>
    </row>
    <row r="1727" spans="11:16">
      <c r="K1727" s="1" t="s">
        <v>106</v>
      </c>
      <c r="L1727" s="1" t="s">
        <v>245</v>
      </c>
      <c r="M1727" s="1" t="s">
        <v>246</v>
      </c>
      <c r="N1727" s="1" t="s">
        <v>253</v>
      </c>
      <c r="O1727" s="1">
        <v>1141.73</v>
      </c>
      <c r="P1727" s="1" t="s">
        <v>226</v>
      </c>
    </row>
    <row r="1728" spans="11:16">
      <c r="K1728" s="1" t="s">
        <v>81</v>
      </c>
      <c r="L1728" s="1" t="s">
        <v>245</v>
      </c>
      <c r="M1728" s="1" t="s">
        <v>246</v>
      </c>
      <c r="N1728" s="1" t="s">
        <v>253</v>
      </c>
      <c r="O1728" s="1">
        <v>111</v>
      </c>
      <c r="P1728" s="1" t="s">
        <v>226</v>
      </c>
    </row>
    <row r="1729" spans="11:16">
      <c r="K1729" s="1" t="s">
        <v>104</v>
      </c>
      <c r="L1729" s="1" t="s">
        <v>245</v>
      </c>
      <c r="M1729" s="1" t="s">
        <v>246</v>
      </c>
      <c r="N1729" s="1" t="s">
        <v>253</v>
      </c>
      <c r="O1729" s="1">
        <v>19.100000000000001</v>
      </c>
      <c r="P1729" s="1" t="s">
        <v>226</v>
      </c>
    </row>
    <row r="1730" spans="11:16">
      <c r="K1730" s="1" t="s">
        <v>88</v>
      </c>
      <c r="L1730" s="1" t="s">
        <v>245</v>
      </c>
      <c r="M1730" s="1" t="s">
        <v>246</v>
      </c>
      <c r="N1730" s="1" t="s">
        <v>253</v>
      </c>
      <c r="O1730" s="1">
        <v>146.96</v>
      </c>
      <c r="P1730" s="1" t="s">
        <v>226</v>
      </c>
    </row>
    <row r="1731" spans="11:16">
      <c r="K1731" s="1" t="s">
        <v>88</v>
      </c>
      <c r="L1731" s="1" t="s">
        <v>245</v>
      </c>
      <c r="M1731" s="1" t="s">
        <v>246</v>
      </c>
      <c r="N1731" s="1" t="s">
        <v>253</v>
      </c>
      <c r="O1731" s="1">
        <v>81.09</v>
      </c>
      <c r="P1731" s="1" t="s">
        <v>226</v>
      </c>
    </row>
    <row r="1732" spans="11:16">
      <c r="K1732" s="1" t="s">
        <v>107</v>
      </c>
      <c r="L1732" s="1" t="s">
        <v>245</v>
      </c>
      <c r="M1732" s="1" t="s">
        <v>246</v>
      </c>
      <c r="N1732" s="1" t="s">
        <v>253</v>
      </c>
      <c r="O1732" s="1">
        <v>264.87</v>
      </c>
      <c r="P1732" s="1" t="s">
        <v>226</v>
      </c>
    </row>
    <row r="1733" spans="11:16">
      <c r="K1733" s="1" t="s">
        <v>107</v>
      </c>
      <c r="L1733" s="1" t="s">
        <v>245</v>
      </c>
      <c r="M1733" s="1" t="s">
        <v>246</v>
      </c>
      <c r="N1733" s="1" t="s">
        <v>253</v>
      </c>
      <c r="O1733" s="1">
        <v>65.7</v>
      </c>
      <c r="P1733" s="1" t="s">
        <v>226</v>
      </c>
    </row>
    <row r="1734" spans="11:16">
      <c r="K1734" s="1" t="s">
        <v>103</v>
      </c>
      <c r="L1734" s="1" t="s">
        <v>264</v>
      </c>
      <c r="M1734" s="1" t="s">
        <v>265</v>
      </c>
      <c r="N1734" s="1" t="s">
        <v>253</v>
      </c>
      <c r="O1734" s="1">
        <v>63.2</v>
      </c>
      <c r="P1734" s="1" t="s">
        <v>226</v>
      </c>
    </row>
    <row r="1735" spans="11:16">
      <c r="K1735" s="1" t="s">
        <v>108</v>
      </c>
      <c r="L1735" s="1" t="s">
        <v>258</v>
      </c>
      <c r="M1735" s="1" t="s">
        <v>259</v>
      </c>
      <c r="N1735" s="1" t="s">
        <v>253</v>
      </c>
      <c r="O1735" s="1">
        <v>82.86</v>
      </c>
      <c r="P1735" s="1" t="s">
        <v>226</v>
      </c>
    </row>
    <row r="1736" spans="11:16">
      <c r="K1736" s="1" t="s">
        <v>110</v>
      </c>
      <c r="L1736" s="1" t="s">
        <v>248</v>
      </c>
      <c r="M1736" s="1" t="s">
        <v>249</v>
      </c>
      <c r="N1736" s="1" t="s">
        <v>253</v>
      </c>
      <c r="O1736" s="1">
        <v>432.68</v>
      </c>
      <c r="P1736" s="1" t="s">
        <v>226</v>
      </c>
    </row>
    <row r="1737" spans="11:16">
      <c r="K1737" s="1" t="s">
        <v>86</v>
      </c>
      <c r="L1737" s="1" t="s">
        <v>248</v>
      </c>
      <c r="M1737" s="1" t="s">
        <v>249</v>
      </c>
      <c r="N1737" s="1" t="s">
        <v>253</v>
      </c>
      <c r="O1737" s="1">
        <v>19.79</v>
      </c>
      <c r="P1737" s="1" t="s">
        <v>226</v>
      </c>
    </row>
    <row r="1738" spans="11:16">
      <c r="K1738" s="1" t="s">
        <v>98</v>
      </c>
      <c r="L1738" s="1" t="s">
        <v>264</v>
      </c>
      <c r="M1738" s="1" t="s">
        <v>265</v>
      </c>
      <c r="N1738" s="1" t="s">
        <v>253</v>
      </c>
      <c r="O1738" s="1">
        <v>109.82</v>
      </c>
      <c r="P1738" s="1" t="s">
        <v>226</v>
      </c>
    </row>
    <row r="1739" spans="11:16">
      <c r="K1739" s="1" t="s">
        <v>107</v>
      </c>
      <c r="L1739" s="1" t="s">
        <v>245</v>
      </c>
      <c r="M1739" s="1" t="s">
        <v>246</v>
      </c>
      <c r="N1739" s="1" t="s">
        <v>253</v>
      </c>
      <c r="O1739" s="1">
        <v>227.18</v>
      </c>
      <c r="P1739" s="1" t="s">
        <v>226</v>
      </c>
    </row>
    <row r="1740" spans="11:16">
      <c r="K1740" s="1" t="s">
        <v>80</v>
      </c>
      <c r="L1740" s="1" t="s">
        <v>245</v>
      </c>
      <c r="M1740" s="1" t="s">
        <v>246</v>
      </c>
      <c r="N1740" s="1" t="s">
        <v>253</v>
      </c>
      <c r="O1740" s="1">
        <v>591.03</v>
      </c>
      <c r="P1740" s="1" t="s">
        <v>226</v>
      </c>
    </row>
    <row r="1741" spans="11:16">
      <c r="K1741" s="1" t="s">
        <v>80</v>
      </c>
      <c r="L1741" s="1" t="s">
        <v>245</v>
      </c>
      <c r="M1741" s="1" t="s">
        <v>246</v>
      </c>
      <c r="N1741" s="1" t="s">
        <v>253</v>
      </c>
      <c r="O1741" s="1">
        <v>179.24</v>
      </c>
      <c r="P1741" s="1" t="s">
        <v>226</v>
      </c>
    </row>
    <row r="1742" spans="11:16">
      <c r="K1742" s="1" t="s">
        <v>109</v>
      </c>
      <c r="L1742" s="1" t="s">
        <v>245</v>
      </c>
      <c r="M1742" s="1" t="s">
        <v>246</v>
      </c>
      <c r="N1742" s="1" t="s">
        <v>253</v>
      </c>
      <c r="O1742" s="1">
        <v>46.06</v>
      </c>
      <c r="P1742" s="1" t="s">
        <v>226</v>
      </c>
    </row>
    <row r="1743" spans="11:16">
      <c r="K1743" s="1" t="s">
        <v>176</v>
      </c>
      <c r="L1743" s="1" t="s">
        <v>258</v>
      </c>
      <c r="M1743" s="1" t="s">
        <v>259</v>
      </c>
      <c r="N1743" s="1" t="s">
        <v>253</v>
      </c>
      <c r="O1743" s="1">
        <v>784</v>
      </c>
      <c r="P1743" s="1" t="s">
        <v>226</v>
      </c>
    </row>
    <row r="1744" spans="11:16">
      <c r="K1744" s="1" t="s">
        <v>77</v>
      </c>
      <c r="L1744" s="1" t="s">
        <v>262</v>
      </c>
      <c r="M1744" s="1" t="s">
        <v>263</v>
      </c>
      <c r="N1744" s="1" t="s">
        <v>253</v>
      </c>
      <c r="O1744" s="1">
        <v>2592.38</v>
      </c>
      <c r="P1744" s="1" t="s">
        <v>226</v>
      </c>
    </row>
    <row r="1745" spans="11:16">
      <c r="K1745" s="1" t="s">
        <v>77</v>
      </c>
      <c r="L1745" s="1" t="s">
        <v>262</v>
      </c>
      <c r="M1745" s="1" t="s">
        <v>263</v>
      </c>
      <c r="N1745" s="1" t="s">
        <v>253</v>
      </c>
      <c r="O1745" s="1">
        <v>177.8</v>
      </c>
      <c r="P1745" s="1" t="s">
        <v>226</v>
      </c>
    </row>
    <row r="1746" spans="11:16">
      <c r="K1746" s="1" t="s">
        <v>98</v>
      </c>
      <c r="L1746" s="1" t="s">
        <v>245</v>
      </c>
      <c r="M1746" s="1" t="s">
        <v>246</v>
      </c>
      <c r="N1746" s="1" t="s">
        <v>253</v>
      </c>
      <c r="O1746" s="1">
        <v>669.24</v>
      </c>
      <c r="P1746" s="1" t="s">
        <v>226</v>
      </c>
    </row>
    <row r="1747" spans="11:16">
      <c r="K1747" s="1" t="s">
        <v>127</v>
      </c>
      <c r="L1747" s="1" t="s">
        <v>245</v>
      </c>
      <c r="M1747" s="1" t="s">
        <v>246</v>
      </c>
      <c r="N1747" s="1" t="s">
        <v>253</v>
      </c>
      <c r="O1747" s="1">
        <v>582.4</v>
      </c>
      <c r="P1747" s="1" t="s">
        <v>226</v>
      </c>
    </row>
    <row r="1748" spans="11:16">
      <c r="K1748" s="1" t="s">
        <v>72</v>
      </c>
      <c r="L1748" s="1" t="s">
        <v>245</v>
      </c>
      <c r="M1748" s="1" t="s">
        <v>246</v>
      </c>
      <c r="N1748" s="1" t="s">
        <v>253</v>
      </c>
      <c r="O1748" s="1">
        <v>56</v>
      </c>
      <c r="P1748" s="1" t="s">
        <v>226</v>
      </c>
    </row>
    <row r="1749" spans="11:16">
      <c r="K1749" s="1" t="s">
        <v>110</v>
      </c>
      <c r="L1749" s="1" t="s">
        <v>264</v>
      </c>
      <c r="M1749" s="1" t="s">
        <v>265</v>
      </c>
      <c r="N1749" s="1" t="s">
        <v>253</v>
      </c>
      <c r="O1749" s="1">
        <v>728.07</v>
      </c>
      <c r="P1749" s="1" t="s">
        <v>226</v>
      </c>
    </row>
    <row r="1750" spans="11:16">
      <c r="K1750" s="1" t="s">
        <v>109</v>
      </c>
      <c r="L1750" s="1" t="s">
        <v>245</v>
      </c>
      <c r="M1750" s="1" t="s">
        <v>246</v>
      </c>
      <c r="N1750" s="1" t="s">
        <v>253</v>
      </c>
      <c r="O1750" s="1">
        <v>7.1</v>
      </c>
      <c r="P1750" s="1" t="s">
        <v>226</v>
      </c>
    </row>
    <row r="1751" spans="11:16">
      <c r="K1751" s="1" t="s">
        <v>80</v>
      </c>
      <c r="L1751" s="1" t="s">
        <v>245</v>
      </c>
      <c r="M1751" s="1" t="s">
        <v>246</v>
      </c>
      <c r="N1751" s="1" t="s">
        <v>253</v>
      </c>
      <c r="O1751" s="1">
        <v>32.65</v>
      </c>
      <c r="P1751" s="1" t="s">
        <v>226</v>
      </c>
    </row>
    <row r="1752" spans="11:16">
      <c r="K1752" s="1" t="s">
        <v>80</v>
      </c>
      <c r="L1752" s="1" t="s">
        <v>245</v>
      </c>
      <c r="M1752" s="1" t="s">
        <v>246</v>
      </c>
      <c r="N1752" s="1" t="s">
        <v>253</v>
      </c>
      <c r="O1752" s="1">
        <v>36.64</v>
      </c>
      <c r="P1752" s="1" t="s">
        <v>226</v>
      </c>
    </row>
    <row r="1753" spans="11:16">
      <c r="K1753" s="1" t="s">
        <v>86</v>
      </c>
      <c r="L1753" s="1" t="s">
        <v>248</v>
      </c>
      <c r="M1753" s="1" t="s">
        <v>249</v>
      </c>
      <c r="N1753" s="1" t="s">
        <v>253</v>
      </c>
      <c r="O1753" s="1">
        <v>2.42</v>
      </c>
      <c r="P1753" s="1" t="s">
        <v>226</v>
      </c>
    </row>
    <row r="1754" spans="11:16">
      <c r="K1754" s="1" t="s">
        <v>109</v>
      </c>
      <c r="L1754" s="1" t="s">
        <v>245</v>
      </c>
      <c r="M1754" s="1" t="s">
        <v>246</v>
      </c>
      <c r="N1754" s="1" t="s">
        <v>253</v>
      </c>
      <c r="O1754" s="1">
        <v>10</v>
      </c>
      <c r="P1754" s="1" t="s">
        <v>226</v>
      </c>
    </row>
    <row r="1755" spans="11:16">
      <c r="K1755" s="1" t="s">
        <v>86</v>
      </c>
      <c r="L1755" s="1" t="s">
        <v>258</v>
      </c>
      <c r="M1755" s="1" t="s">
        <v>259</v>
      </c>
      <c r="N1755" s="1" t="s">
        <v>253</v>
      </c>
      <c r="O1755" s="1">
        <v>29.12</v>
      </c>
      <c r="P1755" s="1" t="s">
        <v>226</v>
      </c>
    </row>
    <row r="1756" spans="11:16">
      <c r="K1756" s="1" t="s">
        <v>86</v>
      </c>
      <c r="L1756" s="1" t="s">
        <v>258</v>
      </c>
      <c r="M1756" s="1" t="s">
        <v>259</v>
      </c>
      <c r="N1756" s="1" t="s">
        <v>253</v>
      </c>
      <c r="O1756" s="1">
        <v>66.56</v>
      </c>
      <c r="P1756" s="1" t="s">
        <v>226</v>
      </c>
    </row>
    <row r="1757" spans="11:16">
      <c r="K1757" s="1" t="s">
        <v>110</v>
      </c>
      <c r="L1757" s="1" t="s">
        <v>258</v>
      </c>
      <c r="M1757" s="1" t="s">
        <v>259</v>
      </c>
      <c r="N1757" s="1" t="s">
        <v>253</v>
      </c>
      <c r="O1757" s="1">
        <v>728.07</v>
      </c>
      <c r="P1757" s="1" t="s">
        <v>226</v>
      </c>
    </row>
    <row r="1758" spans="11:16">
      <c r="K1758" s="1" t="s">
        <v>100</v>
      </c>
      <c r="L1758" s="1" t="s">
        <v>264</v>
      </c>
      <c r="M1758" s="1" t="s">
        <v>265</v>
      </c>
      <c r="N1758" s="1" t="s">
        <v>253</v>
      </c>
      <c r="O1758" s="1">
        <v>520</v>
      </c>
      <c r="P1758" s="1" t="s">
        <v>226</v>
      </c>
    </row>
    <row r="1759" spans="11:16">
      <c r="K1759" s="1" t="s">
        <v>176</v>
      </c>
      <c r="L1759" s="1" t="s">
        <v>248</v>
      </c>
      <c r="M1759" s="1" t="s">
        <v>249</v>
      </c>
      <c r="N1759" s="1" t="s">
        <v>253</v>
      </c>
      <c r="O1759" s="1">
        <v>3142.41</v>
      </c>
      <c r="P1759" s="1" t="s">
        <v>226</v>
      </c>
    </row>
    <row r="1760" spans="11:16">
      <c r="K1760" s="1" t="s">
        <v>127</v>
      </c>
      <c r="L1760" s="1" t="s">
        <v>248</v>
      </c>
      <c r="M1760" s="1" t="s">
        <v>249</v>
      </c>
      <c r="N1760" s="1" t="s">
        <v>253</v>
      </c>
      <c r="O1760" s="1">
        <v>1104.55</v>
      </c>
      <c r="P1760" s="1" t="s">
        <v>226</v>
      </c>
    </row>
    <row r="1761" spans="11:16">
      <c r="K1761" s="1" t="s">
        <v>126</v>
      </c>
      <c r="L1761" s="1" t="s">
        <v>258</v>
      </c>
      <c r="M1761" s="1" t="s">
        <v>259</v>
      </c>
      <c r="N1761" s="1" t="s">
        <v>253</v>
      </c>
      <c r="O1761" s="1">
        <v>18000</v>
      </c>
      <c r="P1761" s="1" t="s">
        <v>226</v>
      </c>
    </row>
    <row r="1762" spans="11:16">
      <c r="K1762" s="1" t="s">
        <v>77</v>
      </c>
      <c r="L1762" s="1" t="s">
        <v>245</v>
      </c>
      <c r="M1762" s="1" t="s">
        <v>246</v>
      </c>
      <c r="N1762" s="1" t="s">
        <v>253</v>
      </c>
      <c r="O1762" s="1">
        <v>745.08</v>
      </c>
      <c r="P1762" s="1" t="s">
        <v>226</v>
      </c>
    </row>
    <row r="1763" spans="11:16">
      <c r="K1763" s="1" t="s">
        <v>127</v>
      </c>
      <c r="L1763" s="1" t="s">
        <v>245</v>
      </c>
      <c r="M1763" s="1" t="s">
        <v>246</v>
      </c>
      <c r="N1763" s="1" t="s">
        <v>253</v>
      </c>
      <c r="O1763" s="1">
        <v>8220.24</v>
      </c>
      <c r="P1763" s="1" t="s">
        <v>226</v>
      </c>
    </row>
    <row r="1764" spans="11:16">
      <c r="K1764" s="1" t="s">
        <v>77</v>
      </c>
      <c r="L1764" s="1" t="s">
        <v>245</v>
      </c>
      <c r="M1764" s="1" t="s">
        <v>246</v>
      </c>
      <c r="N1764" s="1" t="s">
        <v>253</v>
      </c>
      <c r="O1764" s="1">
        <v>210.72</v>
      </c>
      <c r="P1764" s="1" t="s">
        <v>226</v>
      </c>
    </row>
    <row r="1765" spans="11:16">
      <c r="K1765" s="1" t="s">
        <v>98</v>
      </c>
      <c r="L1765" s="1" t="s">
        <v>245</v>
      </c>
      <c r="M1765" s="1" t="s">
        <v>246</v>
      </c>
      <c r="N1765" s="1" t="s">
        <v>253</v>
      </c>
      <c r="O1765" s="1">
        <v>624</v>
      </c>
      <c r="P1765" s="1" t="s">
        <v>226</v>
      </c>
    </row>
    <row r="1766" spans="11:16">
      <c r="K1766" s="1" t="s">
        <v>99</v>
      </c>
      <c r="L1766" s="1" t="s">
        <v>245</v>
      </c>
      <c r="M1766" s="1" t="s">
        <v>246</v>
      </c>
      <c r="N1766" s="1" t="s">
        <v>253</v>
      </c>
      <c r="O1766" s="1">
        <v>244.82</v>
      </c>
      <c r="P1766" s="1" t="s">
        <v>226</v>
      </c>
    </row>
    <row r="1767" spans="11:16">
      <c r="K1767" s="1" t="s">
        <v>128</v>
      </c>
      <c r="L1767" s="1" t="s">
        <v>245</v>
      </c>
      <c r="M1767" s="1" t="s">
        <v>246</v>
      </c>
      <c r="N1767" s="1" t="s">
        <v>253</v>
      </c>
      <c r="O1767" s="1">
        <v>585</v>
      </c>
      <c r="P1767" s="1" t="s">
        <v>226</v>
      </c>
    </row>
    <row r="1768" spans="11:16">
      <c r="K1768" s="1" t="s">
        <v>104</v>
      </c>
      <c r="L1768" s="1" t="s">
        <v>248</v>
      </c>
      <c r="M1768" s="1" t="s">
        <v>249</v>
      </c>
      <c r="N1768" s="1" t="s">
        <v>253</v>
      </c>
      <c r="O1768" s="1">
        <v>1241.77</v>
      </c>
      <c r="P1768" s="1" t="s">
        <v>226</v>
      </c>
    </row>
    <row r="1769" spans="11:16">
      <c r="K1769" s="1" t="s">
        <v>104</v>
      </c>
      <c r="L1769" s="1" t="s">
        <v>248</v>
      </c>
      <c r="M1769" s="1" t="s">
        <v>249</v>
      </c>
      <c r="N1769" s="1" t="s">
        <v>253</v>
      </c>
      <c r="O1769" s="1">
        <v>374.4</v>
      </c>
      <c r="P1769" s="1" t="s">
        <v>226</v>
      </c>
    </row>
    <row r="1770" spans="11:16">
      <c r="K1770" s="1" t="s">
        <v>132</v>
      </c>
      <c r="L1770" s="1" t="s">
        <v>245</v>
      </c>
      <c r="M1770" s="1" t="s">
        <v>246</v>
      </c>
      <c r="N1770" s="1" t="s">
        <v>253</v>
      </c>
      <c r="O1770" s="1">
        <v>73.319999999999993</v>
      </c>
      <c r="P1770" s="1" t="s">
        <v>226</v>
      </c>
    </row>
    <row r="1771" spans="11:16">
      <c r="K1771" s="1" t="s">
        <v>104</v>
      </c>
      <c r="L1771" s="1" t="s">
        <v>248</v>
      </c>
      <c r="M1771" s="1" t="s">
        <v>249</v>
      </c>
      <c r="N1771" s="1" t="s">
        <v>253</v>
      </c>
      <c r="O1771" s="1">
        <v>349.6</v>
      </c>
      <c r="P1771" s="1" t="s">
        <v>226</v>
      </c>
    </row>
    <row r="1772" spans="11:16">
      <c r="K1772" s="1" t="s">
        <v>126</v>
      </c>
      <c r="L1772" s="1" t="s">
        <v>245</v>
      </c>
      <c r="M1772" s="1" t="s">
        <v>246</v>
      </c>
      <c r="N1772" s="1" t="s">
        <v>253</v>
      </c>
      <c r="O1772" s="1">
        <v>1375.21</v>
      </c>
      <c r="P1772" s="1" t="s">
        <v>226</v>
      </c>
    </row>
    <row r="1773" spans="11:16">
      <c r="K1773" s="1" t="s">
        <v>126</v>
      </c>
      <c r="L1773" s="1" t="s">
        <v>245</v>
      </c>
      <c r="M1773" s="1" t="s">
        <v>246</v>
      </c>
      <c r="N1773" s="1" t="s">
        <v>253</v>
      </c>
      <c r="O1773" s="1">
        <v>650</v>
      </c>
      <c r="P1773" s="1" t="s">
        <v>226</v>
      </c>
    </row>
    <row r="1774" spans="11:16">
      <c r="K1774" s="1" t="s">
        <v>102</v>
      </c>
      <c r="L1774" s="1" t="s">
        <v>245</v>
      </c>
      <c r="M1774" s="1" t="s">
        <v>246</v>
      </c>
      <c r="N1774" s="1" t="s">
        <v>253</v>
      </c>
      <c r="O1774" s="1">
        <v>468</v>
      </c>
      <c r="P1774" s="1" t="s">
        <v>226</v>
      </c>
    </row>
    <row r="1775" spans="11:16">
      <c r="K1775" s="1" t="s">
        <v>98</v>
      </c>
      <c r="L1775" s="1" t="s">
        <v>245</v>
      </c>
      <c r="M1775" s="1" t="s">
        <v>246</v>
      </c>
      <c r="N1775" s="1" t="s">
        <v>253</v>
      </c>
      <c r="O1775" s="1">
        <v>122.72</v>
      </c>
      <c r="P1775" s="1" t="s">
        <v>226</v>
      </c>
    </row>
    <row r="1776" spans="11:16">
      <c r="K1776" s="1" t="s">
        <v>122</v>
      </c>
      <c r="L1776" s="1" t="s">
        <v>245</v>
      </c>
      <c r="M1776" s="1" t="s">
        <v>246</v>
      </c>
      <c r="N1776" s="1" t="s">
        <v>253</v>
      </c>
      <c r="O1776" s="1">
        <v>1769.39</v>
      </c>
      <c r="P1776" s="1" t="s">
        <v>226</v>
      </c>
    </row>
    <row r="1777" spans="11:16">
      <c r="K1777" s="1" t="s">
        <v>88</v>
      </c>
      <c r="L1777" s="1" t="s">
        <v>245</v>
      </c>
      <c r="M1777" s="1" t="s">
        <v>246</v>
      </c>
      <c r="N1777" s="1" t="s">
        <v>253</v>
      </c>
      <c r="O1777" s="1">
        <v>92.16</v>
      </c>
      <c r="P1777" s="1" t="s">
        <v>227</v>
      </c>
    </row>
    <row r="1778" spans="11:16">
      <c r="K1778" s="1" t="s">
        <v>77</v>
      </c>
      <c r="L1778" s="1" t="s">
        <v>258</v>
      </c>
      <c r="M1778" s="1" t="s">
        <v>259</v>
      </c>
      <c r="N1778" s="1" t="s">
        <v>253</v>
      </c>
      <c r="O1778" s="1">
        <v>30</v>
      </c>
      <c r="P1778" s="1" t="s">
        <v>227</v>
      </c>
    </row>
    <row r="1779" spans="11:16">
      <c r="K1779" s="1" t="s">
        <v>72</v>
      </c>
      <c r="L1779" s="1" t="s">
        <v>245</v>
      </c>
      <c r="M1779" s="1" t="s">
        <v>246</v>
      </c>
      <c r="N1779" s="1" t="s">
        <v>266</v>
      </c>
      <c r="O1779" s="1">
        <v>2600</v>
      </c>
      <c r="P1779" s="1" t="s">
        <v>228</v>
      </c>
    </row>
    <row r="1780" spans="11:16">
      <c r="K1780" s="1" t="s">
        <v>116</v>
      </c>
      <c r="L1780" s="1" t="s">
        <v>245</v>
      </c>
      <c r="M1780" s="1" t="s">
        <v>246</v>
      </c>
      <c r="N1780" s="1" t="s">
        <v>255</v>
      </c>
      <c r="O1780" s="1">
        <v>78.900000000000006</v>
      </c>
      <c r="P1780" s="1" t="s">
        <v>228</v>
      </c>
    </row>
  </sheetData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5"/>
  <dimension ref="A1:AE1782"/>
  <sheetViews>
    <sheetView tabSelected="1" topLeftCell="E1" zoomScaleNormal="100" workbookViewId="0">
      <selection activeCell="G1" sqref="G1:K1048576"/>
    </sheetView>
  </sheetViews>
  <sheetFormatPr baseColWidth="10" defaultRowHeight="15"/>
  <cols>
    <col min="1" max="1" width="10.7109375" style="7" bestFit="1" customWidth="1"/>
    <col min="2" max="2" width="17.140625" style="1" bestFit="1" customWidth="1"/>
    <col min="3" max="3" width="15.28515625" style="1" bestFit="1" customWidth="1"/>
    <col min="4" max="4" width="15.28515625" style="13" customWidth="1"/>
    <col min="5" max="5" width="13.140625" style="14" customWidth="1"/>
    <col min="6" max="6" width="10" style="1" customWidth="1"/>
    <col min="7" max="7" width="13.140625" style="1" bestFit="1" customWidth="1"/>
    <col min="8" max="8" width="10" style="1" customWidth="1"/>
    <col min="9" max="9" width="9.42578125" style="1" customWidth="1"/>
    <col min="10" max="10" width="14.7109375" style="13" customWidth="1"/>
    <col min="11" max="11" width="11.42578125" style="13" customWidth="1"/>
    <col min="12" max="12" width="11.42578125" style="4" customWidth="1"/>
    <col min="13" max="13" width="15.7109375" style="3" customWidth="1"/>
    <col min="14" max="16384" width="11.42578125" style="3"/>
  </cols>
  <sheetData>
    <row r="1" spans="1:31">
      <c r="A1" s="7" t="s">
        <v>0</v>
      </c>
      <c r="B1" s="5" t="s">
        <v>1</v>
      </c>
      <c r="C1" s="5" t="s">
        <v>2</v>
      </c>
      <c r="D1" s="13" t="s">
        <v>267</v>
      </c>
      <c r="E1" s="14" t="s">
        <v>268</v>
      </c>
      <c r="G1" s="1" t="s">
        <v>62</v>
      </c>
      <c r="H1" s="1" t="s">
        <v>61</v>
      </c>
      <c r="I1" s="1" t="s">
        <v>2</v>
      </c>
      <c r="J1" s="13" t="s">
        <v>267</v>
      </c>
      <c r="K1" s="13" t="s">
        <v>268</v>
      </c>
      <c r="W1" s="15" t="s">
        <v>274</v>
      </c>
      <c r="X1" s="15"/>
      <c r="Y1" s="15"/>
      <c r="Z1" s="15"/>
      <c r="AA1" s="15"/>
      <c r="AB1" s="15"/>
      <c r="AC1" s="15"/>
      <c r="AD1" s="15"/>
      <c r="AE1" s="15"/>
    </row>
    <row r="2" spans="1:31" ht="15" customHeight="1">
      <c r="A2" s="8">
        <v>39904</v>
      </c>
      <c r="B2" s="6">
        <v>-9.15</v>
      </c>
      <c r="C2" s="6" t="s">
        <v>3</v>
      </c>
      <c r="D2" s="13">
        <f>VALUE(MID(C2,9,3))</f>
        <v>311</v>
      </c>
      <c r="E2" s="14">
        <f>MONTH(A2)</f>
        <v>4</v>
      </c>
      <c r="G2" s="1" t="s">
        <v>142</v>
      </c>
      <c r="H2" s="1">
        <v>-640</v>
      </c>
      <c r="I2" s="1" t="s">
        <v>141</v>
      </c>
      <c r="J2" s="13">
        <f>VALUE(MID(I2,1,3))</f>
        <v>60</v>
      </c>
      <c r="K2" s="13">
        <f>VALUE(MID(G2,5,2))</f>
        <v>6</v>
      </c>
      <c r="W2" s="15"/>
      <c r="X2" s="15"/>
      <c r="Y2" s="15"/>
      <c r="Z2" s="15"/>
      <c r="AA2" s="15"/>
      <c r="AB2" s="15"/>
      <c r="AC2" s="15"/>
      <c r="AD2" s="15"/>
      <c r="AE2" s="15"/>
    </row>
    <row r="3" spans="1:31" ht="15.75" thickBot="1">
      <c r="A3" s="7">
        <v>39904</v>
      </c>
      <c r="B3" s="1">
        <v>459.15</v>
      </c>
      <c r="C3" s="1" t="s">
        <v>3</v>
      </c>
      <c r="D3" s="13">
        <f>VALUE(MID(C3,9,3))</f>
        <v>311</v>
      </c>
      <c r="E3" s="14">
        <f>MONTH(A3)</f>
        <v>4</v>
      </c>
      <c r="G3" s="1" t="s">
        <v>64</v>
      </c>
      <c r="H3" s="1">
        <v>9221.1200000000008</v>
      </c>
      <c r="I3" s="1" t="s">
        <v>65</v>
      </c>
      <c r="J3" s="13">
        <f>VALUE(MID(I3,1,3))</f>
        <v>100</v>
      </c>
      <c r="K3" s="13">
        <f>VALUE(MID(G3,5,2))</f>
        <v>1</v>
      </c>
      <c r="W3" s="15"/>
      <c r="X3" s="15"/>
      <c r="Y3" s="15"/>
      <c r="Z3" s="15"/>
      <c r="AA3" s="15"/>
      <c r="AB3" s="15"/>
      <c r="AC3" s="15"/>
      <c r="AD3" s="15"/>
      <c r="AE3" s="15"/>
    </row>
    <row r="4" spans="1:31" ht="15.75" thickBot="1">
      <c r="A4" s="7">
        <v>39995</v>
      </c>
      <c r="B4" s="1">
        <v>358.43</v>
      </c>
      <c r="C4" s="1" t="s">
        <v>5</v>
      </c>
      <c r="D4" s="13">
        <f>VALUE(MID(C4,9,3))</f>
        <v>311</v>
      </c>
      <c r="E4" s="14">
        <f>MONTH(A4)</f>
        <v>7</v>
      </c>
      <c r="G4" s="1" t="s">
        <v>114</v>
      </c>
      <c r="H4" s="1">
        <v>9221.1200000000008</v>
      </c>
      <c r="I4" s="1" t="s">
        <v>65</v>
      </c>
      <c r="J4" s="13">
        <f>VALUE(MID(I4,1,3))</f>
        <v>100</v>
      </c>
      <c r="K4" s="13">
        <f>VALUE(MID(G4,5,2))</f>
        <v>2</v>
      </c>
      <c r="M4" s="18" t="s">
        <v>270</v>
      </c>
      <c r="N4" s="19"/>
    </row>
    <row r="5" spans="1:31">
      <c r="A5" s="7">
        <v>39995</v>
      </c>
      <c r="B5" s="1">
        <v>417.25</v>
      </c>
      <c r="C5" s="1" t="s">
        <v>6</v>
      </c>
      <c r="D5" s="13">
        <f>VALUE(MID(C5,9,3))</f>
        <v>311</v>
      </c>
      <c r="E5" s="14">
        <f>MONTH(A5)</f>
        <v>7</v>
      </c>
      <c r="G5" s="1" t="s">
        <v>131</v>
      </c>
      <c r="H5" s="1">
        <v>9221.1200000000008</v>
      </c>
      <c r="I5" s="1" t="s">
        <v>65</v>
      </c>
      <c r="J5" s="13">
        <f>VALUE(MID(I5,1,3))</f>
        <v>100</v>
      </c>
      <c r="K5" s="13">
        <f>VALUE(MID(G5,5,2))</f>
        <v>3</v>
      </c>
      <c r="M5" s="16" t="s">
        <v>272</v>
      </c>
      <c r="N5" s="17">
        <v>1</v>
      </c>
      <c r="O5" s="9">
        <v>2</v>
      </c>
      <c r="P5" s="9">
        <v>3</v>
      </c>
      <c r="Q5" s="9">
        <v>4</v>
      </c>
      <c r="R5" s="9">
        <v>5</v>
      </c>
      <c r="S5" s="9">
        <v>6</v>
      </c>
      <c r="T5" s="9">
        <v>7</v>
      </c>
      <c r="U5" s="9">
        <v>8</v>
      </c>
      <c r="V5" s="9">
        <v>9</v>
      </c>
      <c r="W5" s="9">
        <v>10</v>
      </c>
      <c r="X5" s="9">
        <v>11</v>
      </c>
      <c r="Y5" s="9">
        <v>12</v>
      </c>
      <c r="Z5" s="11" t="s">
        <v>269</v>
      </c>
    </row>
    <row r="6" spans="1:31">
      <c r="A6" s="7">
        <v>39995</v>
      </c>
      <c r="B6" s="1">
        <v>374.95</v>
      </c>
      <c r="C6" s="1" t="s">
        <v>6</v>
      </c>
      <c r="D6" s="13">
        <f>VALUE(MID(C6,9,3))</f>
        <v>311</v>
      </c>
      <c r="E6" s="14">
        <f>MONTH(A6)</f>
        <v>7</v>
      </c>
      <c r="F6" s="2"/>
      <c r="G6" s="1" t="s">
        <v>149</v>
      </c>
      <c r="H6" s="1">
        <v>9221.1200000000008</v>
      </c>
      <c r="I6" s="1" t="s">
        <v>65</v>
      </c>
      <c r="J6" s="13">
        <f>VALUE(MID(I6,1,3))</f>
        <v>100</v>
      </c>
      <c r="K6" s="13">
        <f>VALUE(MID(G6,5,2))</f>
        <v>4</v>
      </c>
      <c r="M6" s="9">
        <v>311</v>
      </c>
      <c r="N6" s="10">
        <f>SUMIFS($B$2:$B$1622,$D$2:$D$1622,$M6,$E$2:$E$1622,N$5)</f>
        <v>23761.949999999993</v>
      </c>
      <c r="O6" s="10">
        <f>SUMIFS($B$2:$B$1622,$D$2:$D$1622,$M6,$E$2:$E$1622,O$5)</f>
        <v>178050.08000000002</v>
      </c>
      <c r="P6" s="10">
        <f>SUMIFS($B$2:$B$1622,$D$2:$D$1622,$M6,$E$2:$E$1622,P$5)</f>
        <v>11993.78</v>
      </c>
      <c r="Q6" s="10">
        <f>SUMIFS($B$2:$B$1622,$D$2:$D$1622,$M6,$E$2:$E$1622,Q$5)</f>
        <v>14883.529999999997</v>
      </c>
      <c r="R6" s="10">
        <f>SUMIFS($B$2:$B$1622,$D$2:$D$1622,$M6,$E$2:$E$1622,R$5)</f>
        <v>10633.8</v>
      </c>
      <c r="S6" s="10">
        <f>SUMIFS($B$2:$B$1622,$D$2:$D$1622,$M6,$E$2:$E$1622,S$5)</f>
        <v>2640.7799999999997</v>
      </c>
      <c r="T6" s="10">
        <f>SUMIFS($B$2:$B$1622,$D$2:$D$1622,$M6,$E$2:$E$1622,T$5)</f>
        <v>110620.40000000013</v>
      </c>
      <c r="U6" s="10">
        <f>SUMIFS($B$2:$B$1622,$D$2:$D$1622,$M6,$E$2:$E$1622,U$5)</f>
        <v>6299.48</v>
      </c>
      <c r="V6" s="10">
        <f>SUMIFS($B$2:$B$1622,$D$2:$D$1622,$M6,$E$2:$E$1622,V$5)</f>
        <v>183186.15000000005</v>
      </c>
      <c r="W6" s="10">
        <f>SUMIFS($B$2:$B$1622,$D$2:$D$1622,$M6,$E$2:$E$1622,W$5)</f>
        <v>50938.69000000001</v>
      </c>
      <c r="X6" s="10">
        <f>SUMIFS($B$2:$B$1622,$D$2:$D$1622,$M6,$E$2:$E$1622,X$5)</f>
        <v>26614.450000000004</v>
      </c>
      <c r="Y6" s="10">
        <f>SUMIFS($B$2:$B$1622,$D$2:$D$1622,$M6,$E$2:$E$1622,Y$5)</f>
        <v>5866.88</v>
      </c>
      <c r="Z6" s="9">
        <f>SUM(N6:Y6)</f>
        <v>625489.9700000002</v>
      </c>
    </row>
    <row r="7" spans="1:31">
      <c r="A7" s="7">
        <v>40057</v>
      </c>
      <c r="B7" s="1">
        <v>901.5</v>
      </c>
      <c r="C7" s="1" t="s">
        <v>7</v>
      </c>
      <c r="D7" s="13">
        <f>VALUE(MID(C7,9,3))</f>
        <v>311</v>
      </c>
      <c r="E7" s="14">
        <f>MONTH(A7)</f>
        <v>9</v>
      </c>
      <c r="G7" s="1" t="s">
        <v>163</v>
      </c>
      <c r="H7" s="1">
        <v>9221.1200000000008</v>
      </c>
      <c r="I7" s="1" t="s">
        <v>65</v>
      </c>
      <c r="J7" s="13">
        <f>VALUE(MID(I7,1,3))</f>
        <v>100</v>
      </c>
      <c r="K7" s="13">
        <f>VALUE(MID(G7,5,2))</f>
        <v>5</v>
      </c>
      <c r="M7" s="9">
        <v>313</v>
      </c>
      <c r="N7" s="10">
        <f>SUMIFS($B$2:$B$1622,$D$2:$D$1622,$M7,$E$2:$E$1622,N$5)</f>
        <v>4.5</v>
      </c>
      <c r="O7" s="10">
        <f>SUMIFS($B$2:$B$1622,$D$2:$D$1622,$M7,$E$2:$E$1622,O$5)</f>
        <v>9</v>
      </c>
      <c r="P7" s="10">
        <f>SUMIFS($B$2:$B$1622,$D$2:$D$1622,$M7,$E$2:$E$1622,P$5)</f>
        <v>0</v>
      </c>
      <c r="Q7" s="10">
        <f>SUMIFS($B$2:$B$1622,$D$2:$D$1622,$M7,$E$2:$E$1622,Q$5)</f>
        <v>9</v>
      </c>
      <c r="R7" s="10">
        <f>SUMIFS($B$2:$B$1622,$D$2:$D$1622,$M7,$E$2:$E$1622,R$5)</f>
        <v>0</v>
      </c>
      <c r="S7" s="10">
        <f>SUMIFS($B$2:$B$1622,$D$2:$D$1622,$M7,$E$2:$E$1622,S$5)</f>
        <v>31.5</v>
      </c>
      <c r="T7" s="10">
        <f>SUMIFS($B$2:$B$1622,$D$2:$D$1622,$M7,$E$2:$E$1622,T$5)</f>
        <v>18</v>
      </c>
      <c r="U7" s="10">
        <f>SUMIFS($B$2:$B$1622,$D$2:$D$1622,$M7,$E$2:$E$1622,U$5)</f>
        <v>0</v>
      </c>
      <c r="V7" s="10">
        <f>SUMIFS($B$2:$B$1622,$D$2:$D$1622,$M7,$E$2:$E$1622,V$5)</f>
        <v>13.5</v>
      </c>
      <c r="W7" s="10">
        <f>SUMIFS($B$2:$B$1622,$D$2:$D$1622,$M7,$E$2:$E$1622,W$5)</f>
        <v>31.5</v>
      </c>
      <c r="X7" s="10">
        <f>SUMIFS($B$2:$B$1622,$D$2:$D$1622,$M7,$E$2:$E$1622,X$5)</f>
        <v>9</v>
      </c>
      <c r="Y7" s="10">
        <f>SUMIFS($B$2:$B$1622,$D$2:$D$1622,$M7,$E$2:$E$1622,Y$5)</f>
        <v>22.5</v>
      </c>
      <c r="Z7" s="9">
        <f>SUM(N7:Y7)</f>
        <v>148.5</v>
      </c>
    </row>
    <row r="8" spans="1:31">
      <c r="A8" s="7">
        <v>40057</v>
      </c>
      <c r="B8" s="1">
        <v>851.89</v>
      </c>
      <c r="C8" s="1" t="s">
        <v>7</v>
      </c>
      <c r="D8" s="13">
        <f>VALUE(MID(C8,9,3))</f>
        <v>311</v>
      </c>
      <c r="E8" s="14">
        <f>MONTH(A8)</f>
        <v>9</v>
      </c>
      <c r="G8" s="1" t="s">
        <v>167</v>
      </c>
      <c r="H8" s="1">
        <v>9221.1200000000008</v>
      </c>
      <c r="I8" s="1" t="s">
        <v>65</v>
      </c>
      <c r="J8" s="13">
        <f>VALUE(MID(I8,1,3))</f>
        <v>100</v>
      </c>
      <c r="K8" s="13">
        <f>VALUE(MID(G8,5,2))</f>
        <v>6</v>
      </c>
      <c r="M8" s="9">
        <v>319</v>
      </c>
      <c r="N8" s="10">
        <f>SUMIFS($B$2:$B$1622,$D$2:$D$1622,$M8,$E$2:$E$1622,N$5)</f>
        <v>3413.07</v>
      </c>
      <c r="O8" s="10">
        <f>SUMIFS($B$2:$B$1622,$D$2:$D$1622,$M8,$E$2:$E$1622,O$5)</f>
        <v>2976.6</v>
      </c>
      <c r="P8" s="10">
        <f>SUMIFS($B$2:$B$1622,$D$2:$D$1622,$M8,$E$2:$E$1622,P$5)</f>
        <v>499.77</v>
      </c>
      <c r="Q8" s="10">
        <f>SUMIFS($B$2:$B$1622,$D$2:$D$1622,$M8,$E$2:$E$1622,Q$5)</f>
        <v>336.71</v>
      </c>
      <c r="R8" s="10">
        <f>SUMIFS($B$2:$B$1622,$D$2:$D$1622,$M8,$E$2:$E$1622,R$5)</f>
        <v>2187.31</v>
      </c>
      <c r="S8" s="10">
        <f>SUMIFS($B$2:$B$1622,$D$2:$D$1622,$M8,$E$2:$E$1622,S$5)</f>
        <v>447.1</v>
      </c>
      <c r="T8" s="10">
        <f>SUMIFS($B$2:$B$1622,$D$2:$D$1622,$M8,$E$2:$E$1622,T$5)</f>
        <v>18366.750000000004</v>
      </c>
      <c r="U8" s="10">
        <f>SUMIFS($B$2:$B$1622,$D$2:$D$1622,$M8,$E$2:$E$1622,U$5)</f>
        <v>383.46</v>
      </c>
      <c r="V8" s="10">
        <f>SUMIFS($B$2:$B$1622,$D$2:$D$1622,$M8,$E$2:$E$1622,V$5)</f>
        <v>5110.6499999999996</v>
      </c>
      <c r="W8" s="10">
        <f>SUMIFS($B$2:$B$1622,$D$2:$D$1622,$M8,$E$2:$E$1622,W$5)</f>
        <v>16317.720000000001</v>
      </c>
      <c r="X8" s="10">
        <f>SUMIFS($B$2:$B$1622,$D$2:$D$1622,$M8,$E$2:$E$1622,X$5)</f>
        <v>15713.87</v>
      </c>
      <c r="Y8" s="10">
        <f>SUMIFS($B$2:$B$1622,$D$2:$D$1622,$M8,$E$2:$E$1622,Y$5)</f>
        <v>248</v>
      </c>
      <c r="Z8" s="9">
        <f t="shared" ref="Z7:Z14" si="0">SUM(N8:Y8)</f>
        <v>66001.010000000009</v>
      </c>
    </row>
    <row r="9" spans="1:31">
      <c r="A9" s="7">
        <v>40057</v>
      </c>
      <c r="B9" s="1">
        <v>901.5</v>
      </c>
      <c r="C9" s="1" t="s">
        <v>7</v>
      </c>
      <c r="D9" s="13">
        <f>VALUE(MID(C9,9,3))</f>
        <v>311</v>
      </c>
      <c r="E9" s="14">
        <f>MONTH(A9)</f>
        <v>9</v>
      </c>
      <c r="G9" s="1" t="s">
        <v>180</v>
      </c>
      <c r="H9" s="1">
        <v>9221.1200000000008</v>
      </c>
      <c r="I9" s="1" t="s">
        <v>65</v>
      </c>
      <c r="J9" s="13">
        <f>VALUE(MID(I9,1,3))</f>
        <v>100</v>
      </c>
      <c r="K9" s="13">
        <f>VALUE(MID(G9,5,2))</f>
        <v>7</v>
      </c>
      <c r="M9" s="9">
        <v>320</v>
      </c>
      <c r="N9" s="10">
        <f>SUMIFS($B$2:$B$1622,$D$2:$D$1622,$M9,$E$2:$E$1622,N$5)</f>
        <v>0</v>
      </c>
      <c r="O9" s="10">
        <f>SUMIFS($B$2:$B$1622,$D$2:$D$1622,$M9,$E$2:$E$1622,O$5)</f>
        <v>0</v>
      </c>
      <c r="P9" s="10">
        <f>SUMIFS($B$2:$B$1622,$D$2:$D$1622,$M9,$E$2:$E$1622,P$5)</f>
        <v>0</v>
      </c>
      <c r="Q9" s="10">
        <f>SUMIFS($B$2:$B$1622,$D$2:$D$1622,$M9,$E$2:$E$1622,Q$5)</f>
        <v>0</v>
      </c>
      <c r="R9" s="10">
        <f>SUMIFS($B$2:$B$1622,$D$2:$D$1622,$M9,$E$2:$E$1622,R$5)</f>
        <v>0</v>
      </c>
      <c r="S9" s="10">
        <f>SUMIFS($B$2:$B$1622,$D$2:$D$1622,$M9,$E$2:$E$1622,S$5)</f>
        <v>0</v>
      </c>
      <c r="T9" s="10">
        <f>SUMIFS($B$2:$B$1622,$D$2:$D$1622,$M9,$E$2:$E$1622,T$5)</f>
        <v>135</v>
      </c>
      <c r="U9" s="10">
        <f>SUMIFS($B$2:$B$1622,$D$2:$D$1622,$M9,$E$2:$E$1622,U$5)</f>
        <v>45</v>
      </c>
      <c r="V9" s="10">
        <f>SUMIFS($B$2:$B$1622,$D$2:$D$1622,$M9,$E$2:$E$1622,V$5)</f>
        <v>1080</v>
      </c>
      <c r="W9" s="10">
        <f>SUMIFS($B$2:$B$1622,$D$2:$D$1622,$M9,$E$2:$E$1622,W$5)</f>
        <v>0</v>
      </c>
      <c r="X9" s="10">
        <f>SUMIFS($B$2:$B$1622,$D$2:$D$1622,$M9,$E$2:$E$1622,X$5)</f>
        <v>0</v>
      </c>
      <c r="Y9" s="10">
        <f>SUMIFS($B$2:$B$1622,$D$2:$D$1622,$M9,$E$2:$E$1622,Y$5)</f>
        <v>0</v>
      </c>
      <c r="Z9" s="9">
        <f t="shared" si="0"/>
        <v>1260</v>
      </c>
    </row>
    <row r="10" spans="1:31">
      <c r="A10" s="7">
        <v>40057</v>
      </c>
      <c r="B10" s="1">
        <v>1881</v>
      </c>
      <c r="C10" s="1" t="s">
        <v>8</v>
      </c>
      <c r="D10" s="13">
        <f>VALUE(MID(C10,9,3))</f>
        <v>311</v>
      </c>
      <c r="E10" s="14">
        <f>MONTH(A10)</f>
        <v>9</v>
      </c>
      <c r="G10" s="1" t="s">
        <v>186</v>
      </c>
      <c r="H10" s="1">
        <v>9221.1200000000008</v>
      </c>
      <c r="I10" s="1" t="s">
        <v>65</v>
      </c>
      <c r="J10" s="13">
        <f>VALUE(MID(I10,1,3))</f>
        <v>100</v>
      </c>
      <c r="K10" s="13">
        <f>VALUE(MID(G10,5,2))</f>
        <v>8</v>
      </c>
      <c r="M10" s="9">
        <v>400</v>
      </c>
      <c r="N10" s="10">
        <f>SUMIFS($B$2:$B$1622,$D$2:$D$1622,$M10,$E$2:$E$1622,N$5)</f>
        <v>0</v>
      </c>
      <c r="O10" s="10">
        <f>SUMIFS($B$2:$B$1622,$D$2:$D$1622,$M10,$E$2:$E$1622,O$5)</f>
        <v>153517.99</v>
      </c>
      <c r="P10" s="10">
        <f>SUMIFS($B$2:$B$1622,$D$2:$D$1622,$M10,$E$2:$E$1622,P$5)</f>
        <v>111950.89</v>
      </c>
      <c r="Q10" s="10">
        <f>SUMIFS($B$2:$B$1622,$D$2:$D$1622,$M10,$E$2:$E$1622,Q$5)</f>
        <v>0</v>
      </c>
      <c r="R10" s="10">
        <f>SUMIFS($B$2:$B$1622,$D$2:$D$1622,$M10,$E$2:$E$1622,R$5)</f>
        <v>14524.2</v>
      </c>
      <c r="S10" s="10">
        <f>SUMIFS($B$2:$B$1622,$D$2:$D$1622,$M10,$E$2:$E$1622,S$5)</f>
        <v>661700.06000000006</v>
      </c>
      <c r="T10" s="10">
        <f>SUMIFS($B$2:$B$1622,$D$2:$D$1622,$M10,$E$2:$E$1622,T$5)</f>
        <v>169449.03</v>
      </c>
      <c r="U10" s="10">
        <f>SUMIFS($B$2:$B$1622,$D$2:$D$1622,$M10,$E$2:$E$1622,U$5)</f>
        <v>0</v>
      </c>
      <c r="V10" s="10">
        <f>SUMIFS($B$2:$B$1622,$D$2:$D$1622,$M10,$E$2:$E$1622,V$5)</f>
        <v>0</v>
      </c>
      <c r="W10" s="10">
        <f>SUMIFS($B$2:$B$1622,$D$2:$D$1622,$M10,$E$2:$E$1622,W$5)</f>
        <v>299507</v>
      </c>
      <c r="X10" s="10">
        <f>SUMIFS($B$2:$B$1622,$D$2:$D$1622,$M10,$E$2:$E$1622,X$5)</f>
        <v>165449.03</v>
      </c>
      <c r="Y10" s="10">
        <f>SUMIFS($B$2:$B$1622,$D$2:$D$1622,$M10,$E$2:$E$1622,Y$5)</f>
        <v>1600</v>
      </c>
      <c r="Z10" s="9">
        <f t="shared" si="0"/>
        <v>1577698.2000000002</v>
      </c>
    </row>
    <row r="11" spans="1:31">
      <c r="A11" s="7">
        <v>40057</v>
      </c>
      <c r="B11" s="1">
        <v>460.05</v>
      </c>
      <c r="C11" s="1" t="s">
        <v>8</v>
      </c>
      <c r="D11" s="13">
        <f>VALUE(MID(C11,9,3))</f>
        <v>311</v>
      </c>
      <c r="E11" s="14">
        <f>MONTH(A11)</f>
        <v>9</v>
      </c>
      <c r="G11" s="1" t="s">
        <v>198</v>
      </c>
      <c r="H11" s="1">
        <v>9221.1200000000008</v>
      </c>
      <c r="I11" s="1" t="s">
        <v>65</v>
      </c>
      <c r="J11" s="13">
        <f>VALUE(MID(I11,1,3))</f>
        <v>100</v>
      </c>
      <c r="K11" s="13">
        <f>VALUE(MID(G11,5,2))</f>
        <v>9</v>
      </c>
      <c r="M11" s="9">
        <v>440</v>
      </c>
      <c r="N11" s="10">
        <f>SUMIFS($B$2:$B$1622,$D$2:$D$1622,$M11,$E$2:$E$1622,N$5)</f>
        <v>2526</v>
      </c>
      <c r="O11" s="10">
        <f>SUMIFS($B$2:$B$1622,$D$2:$D$1622,$M11,$E$2:$E$1622,O$5)</f>
        <v>0</v>
      </c>
      <c r="P11" s="10">
        <f>SUMIFS($B$2:$B$1622,$D$2:$D$1622,$M11,$E$2:$E$1622,P$5)</f>
        <v>790</v>
      </c>
      <c r="Q11" s="10">
        <f>SUMIFS($B$2:$B$1622,$D$2:$D$1622,$M11,$E$2:$E$1622,Q$5)</f>
        <v>22700</v>
      </c>
      <c r="R11" s="10">
        <f>SUMIFS($B$2:$B$1622,$D$2:$D$1622,$M11,$E$2:$E$1622,R$5)</f>
        <v>1800</v>
      </c>
      <c r="S11" s="10">
        <f>SUMIFS($B$2:$B$1622,$D$2:$D$1622,$M11,$E$2:$E$1622,S$5)</f>
        <v>21482.5</v>
      </c>
      <c r="T11" s="10">
        <f>SUMIFS($B$2:$B$1622,$D$2:$D$1622,$M11,$E$2:$E$1622,T$5)</f>
        <v>25440.06</v>
      </c>
      <c r="U11" s="10">
        <f>SUMIFS($B$2:$B$1622,$D$2:$D$1622,$M11,$E$2:$E$1622,U$5)</f>
        <v>0</v>
      </c>
      <c r="V11" s="10">
        <f>SUMIFS($B$2:$B$1622,$D$2:$D$1622,$M11,$E$2:$E$1622,V$5)</f>
        <v>2498</v>
      </c>
      <c r="W11" s="10">
        <f>SUMIFS($B$2:$B$1622,$D$2:$D$1622,$M11,$E$2:$E$1622,W$5)</f>
        <v>24776.879999999997</v>
      </c>
      <c r="X11" s="10">
        <f>SUMIFS($B$2:$B$1622,$D$2:$D$1622,$M11,$E$2:$E$1622,X$5)</f>
        <v>1312</v>
      </c>
      <c r="Y11" s="10">
        <f>SUMIFS($B$2:$B$1622,$D$2:$D$1622,$M11,$E$2:$E$1622,Y$5)</f>
        <v>0</v>
      </c>
      <c r="Z11" s="9">
        <f t="shared" si="0"/>
        <v>103325.44</v>
      </c>
    </row>
    <row r="12" spans="1:31">
      <c r="A12" s="7">
        <v>40057</v>
      </c>
      <c r="B12" s="1">
        <v>901.5</v>
      </c>
      <c r="C12" s="1" t="s">
        <v>8</v>
      </c>
      <c r="D12" s="13">
        <f>VALUE(MID(C12,9,3))</f>
        <v>311</v>
      </c>
      <c r="E12" s="14">
        <f>MONTH(A12)</f>
        <v>9</v>
      </c>
      <c r="G12" s="1" t="s">
        <v>205</v>
      </c>
      <c r="H12" s="1">
        <v>9221.1200000000008</v>
      </c>
      <c r="I12" s="1" t="s">
        <v>65</v>
      </c>
      <c r="J12" s="13">
        <f>VALUE(MID(I12,1,3))</f>
        <v>100</v>
      </c>
      <c r="K12" s="13">
        <f>VALUE(MID(G12,5,2))</f>
        <v>10</v>
      </c>
      <c r="M12" s="9">
        <v>520</v>
      </c>
      <c r="N12" s="10">
        <f>SUMIFS($B$2:$B$1622,$D$2:$D$1622,$M12,$E$2:$E$1622,N$5)</f>
        <v>1490.25</v>
      </c>
      <c r="O12" s="10">
        <f>SUMIFS($B$2:$B$1622,$D$2:$D$1622,$M12,$E$2:$E$1622,O$5)</f>
        <v>724.47</v>
      </c>
      <c r="P12" s="10">
        <f>SUMIFS($B$2:$B$1622,$D$2:$D$1622,$M12,$E$2:$E$1622,P$5)</f>
        <v>1188.92</v>
      </c>
      <c r="Q12" s="10">
        <f>SUMIFS($B$2:$B$1622,$D$2:$D$1622,$M12,$E$2:$E$1622,Q$5)</f>
        <v>456.86</v>
      </c>
      <c r="R12" s="10">
        <f>SUMIFS($B$2:$B$1622,$D$2:$D$1622,$M12,$E$2:$E$1622,R$5)</f>
        <v>297.72000000000003</v>
      </c>
      <c r="S12" s="10">
        <f>SUMIFS($B$2:$B$1622,$D$2:$D$1622,$M12,$E$2:$E$1622,S$5)</f>
        <v>693.41</v>
      </c>
      <c r="T12" s="10">
        <f>SUMIFS($B$2:$B$1622,$D$2:$D$1622,$M12,$E$2:$E$1622,T$5)</f>
        <v>610.76</v>
      </c>
      <c r="U12" s="10">
        <f>SUMIFS($B$2:$B$1622,$D$2:$D$1622,$M12,$E$2:$E$1622,U$5)</f>
        <v>397.78</v>
      </c>
      <c r="V12" s="10">
        <f>SUMIFS($B$2:$B$1622,$D$2:$D$1622,$M12,$E$2:$E$1622,V$5)</f>
        <v>484.09000000000003</v>
      </c>
      <c r="W12" s="10">
        <f>SUMIFS($B$2:$B$1622,$D$2:$D$1622,$M12,$E$2:$E$1622,W$5)</f>
        <v>408.68</v>
      </c>
      <c r="X12" s="10">
        <f>SUMIFS($B$2:$B$1622,$D$2:$D$1622,$M12,$E$2:$E$1622,X$5)</f>
        <v>411.39</v>
      </c>
      <c r="Y12" s="10">
        <f>SUMIFS($B$2:$B$1622,$D$2:$D$1622,$M12,$E$2:$E$1622,Y$5)</f>
        <v>340.19</v>
      </c>
      <c r="Z12" s="9">
        <f t="shared" si="0"/>
        <v>7504.52</v>
      </c>
    </row>
    <row r="13" spans="1:31">
      <c r="A13" s="7">
        <v>40057</v>
      </c>
      <c r="B13" s="1">
        <v>926.51</v>
      </c>
      <c r="C13" s="1" t="s">
        <v>8</v>
      </c>
      <c r="D13" s="13">
        <f>VALUE(MID(C13,9,3))</f>
        <v>311</v>
      </c>
      <c r="E13" s="14">
        <f>MONTH(A13)</f>
        <v>9</v>
      </c>
      <c r="G13" s="1" t="s">
        <v>213</v>
      </c>
      <c r="H13" s="1">
        <v>9221.1200000000008</v>
      </c>
      <c r="I13" s="1" t="s">
        <v>65</v>
      </c>
      <c r="J13" s="13">
        <f>VALUE(MID(I13,1,3))</f>
        <v>100</v>
      </c>
      <c r="K13" s="13">
        <f>VALUE(MID(G13,5,2))</f>
        <v>11</v>
      </c>
      <c r="M13" s="9">
        <v>541</v>
      </c>
      <c r="N13" s="10">
        <f>SUMIFS($B$2:$B$1622,$D$2:$D$1622,$M13,$E$2:$E$1622,N$5)</f>
        <v>376</v>
      </c>
      <c r="O13" s="10">
        <f>SUMIFS($B$2:$B$1622,$D$2:$D$1622,$M13,$E$2:$E$1622,O$5)</f>
        <v>3128.56</v>
      </c>
      <c r="P13" s="10">
        <f>SUMIFS($B$2:$B$1622,$D$2:$D$1622,$M13,$E$2:$E$1622,P$5)</f>
        <v>601</v>
      </c>
      <c r="Q13" s="10">
        <f>SUMIFS($B$2:$B$1622,$D$2:$D$1622,$M13,$E$2:$E$1622,Q$5)</f>
        <v>518.5</v>
      </c>
      <c r="R13" s="10">
        <f>SUMIFS($B$2:$B$1622,$D$2:$D$1622,$M13,$E$2:$E$1622,R$5)</f>
        <v>364</v>
      </c>
      <c r="S13" s="10">
        <f>SUMIFS($B$2:$B$1622,$D$2:$D$1622,$M13,$E$2:$E$1622,S$5)</f>
        <v>3146.56</v>
      </c>
      <c r="T13" s="10">
        <f>SUMIFS($B$2:$B$1622,$D$2:$D$1622,$M13,$E$2:$E$1622,T$5)</f>
        <v>2697.25</v>
      </c>
      <c r="U13" s="10">
        <f>SUMIFS($B$2:$B$1622,$D$2:$D$1622,$M13,$E$2:$E$1622,U$5)</f>
        <v>352</v>
      </c>
      <c r="V13" s="10">
        <f>SUMIFS($B$2:$B$1622,$D$2:$D$1622,$M13,$E$2:$E$1622,V$5)</f>
        <v>445.75</v>
      </c>
      <c r="W13" s="10">
        <f>SUMIFS($B$2:$B$1622,$D$2:$D$1622,$M13,$E$2:$E$1622,W$5)</f>
        <v>2628.25</v>
      </c>
      <c r="X13" s="10">
        <f>SUMIFS($B$2:$B$1622,$D$2:$D$1622,$M13,$E$2:$E$1622,X$5)</f>
        <v>381.25</v>
      </c>
      <c r="Y13" s="10">
        <f>SUMIFS($B$2:$B$1622,$D$2:$D$1622,$M13,$E$2:$E$1622,Y$5)</f>
        <v>601</v>
      </c>
      <c r="Z13" s="9">
        <f t="shared" si="0"/>
        <v>15240.119999999999</v>
      </c>
    </row>
    <row r="14" spans="1:31">
      <c r="A14" s="7">
        <v>40057</v>
      </c>
      <c r="B14" s="1">
        <v>1912.35</v>
      </c>
      <c r="C14" s="1" t="s">
        <v>9</v>
      </c>
      <c r="D14" s="13">
        <f>VALUE(MID(C14,9,3))</f>
        <v>311</v>
      </c>
      <c r="E14" s="14">
        <f>MONTH(A14)</f>
        <v>9</v>
      </c>
      <c r="G14" s="1" t="s">
        <v>220</v>
      </c>
      <c r="H14" s="1">
        <v>18442.240000000002</v>
      </c>
      <c r="I14" s="1" t="s">
        <v>65</v>
      </c>
      <c r="J14" s="13">
        <f>VALUE(MID(I14,1,3))</f>
        <v>100</v>
      </c>
      <c r="K14" s="13">
        <f>VALUE(MID(G14,5,2))</f>
        <v>12</v>
      </c>
      <c r="M14" s="9">
        <v>702</v>
      </c>
      <c r="N14" s="10">
        <f>SUMIFS($B$2:$B$1622,$D$2:$D$1622,$M14,$E$2:$E$1622,N$5)</f>
        <v>0</v>
      </c>
      <c r="O14" s="10">
        <f>SUMIFS($B$2:$B$1622,$D$2:$D$1622,$M14,$E$2:$E$1622,O$5)</f>
        <v>0</v>
      </c>
      <c r="P14" s="10">
        <f>SUMIFS($B$2:$B$1622,$D$2:$D$1622,$M14,$E$2:$E$1622,P$5)</f>
        <v>0</v>
      </c>
      <c r="Q14" s="10">
        <f>SUMIFS($B$2:$B$1622,$D$2:$D$1622,$M14,$E$2:$E$1622,Q$5)</f>
        <v>0</v>
      </c>
      <c r="R14" s="10">
        <f>SUMIFS($B$2:$B$1622,$D$2:$D$1622,$M14,$E$2:$E$1622,R$5)</f>
        <v>0</v>
      </c>
      <c r="S14" s="10">
        <f>SUMIFS($B$2:$B$1622,$D$2:$D$1622,$M14,$E$2:$E$1622,S$5)</f>
        <v>0</v>
      </c>
      <c r="T14" s="10">
        <f>SUMIFS($B$2:$B$1622,$D$2:$D$1622,$M14,$E$2:$E$1622,T$5)</f>
        <v>0</v>
      </c>
      <c r="U14" s="10">
        <f>SUMIFS($B$2:$B$1622,$D$2:$D$1622,$M14,$E$2:$E$1622,U$5)</f>
        <v>0</v>
      </c>
      <c r="V14" s="10">
        <f>SUMIFS($B$2:$B$1622,$D$2:$D$1622,$M14,$E$2:$E$1622,V$5)</f>
        <v>0</v>
      </c>
      <c r="W14" s="10">
        <f>SUMIFS($B$2:$B$1622,$D$2:$D$1622,$M14,$E$2:$E$1622,W$5)</f>
        <v>0</v>
      </c>
      <c r="X14" s="10">
        <f>SUMIFS($B$2:$B$1622,$D$2:$D$1622,$M14,$E$2:$E$1622,X$5)</f>
        <v>35142.82</v>
      </c>
      <c r="Y14" s="10">
        <f>SUMIFS($B$2:$B$1622,$D$2:$D$1622,$M14,$E$2:$E$1622,Y$5)</f>
        <v>0</v>
      </c>
      <c r="Z14" s="9">
        <f t="shared" si="0"/>
        <v>35142.82</v>
      </c>
    </row>
    <row r="15" spans="1:31">
      <c r="A15" s="7">
        <v>40057</v>
      </c>
      <c r="B15" s="1">
        <v>1881</v>
      </c>
      <c r="C15" s="1" t="s">
        <v>9</v>
      </c>
      <c r="D15" s="13">
        <f>VALUE(MID(C15,9,3))</f>
        <v>311</v>
      </c>
      <c r="E15" s="14">
        <f>MONTH(A15)</f>
        <v>9</v>
      </c>
      <c r="G15" s="2" t="s">
        <v>64</v>
      </c>
      <c r="H15" s="2">
        <v>31368.93</v>
      </c>
      <c r="I15" s="2" t="s">
        <v>63</v>
      </c>
      <c r="J15" s="13">
        <f>VALUE(MID(I15,1,3))</f>
        <v>110</v>
      </c>
      <c r="K15" s="13">
        <f>VALUE(MID(G15,5,2))</f>
        <v>1</v>
      </c>
      <c r="M15" s="11" t="s">
        <v>269</v>
      </c>
      <c r="N15" s="9">
        <f>SUM(N6:N14)</f>
        <v>31571.769999999993</v>
      </c>
      <c r="O15" s="9">
        <f t="shared" ref="O15:Y15" si="1">SUM(O6:O14)</f>
        <v>338406.7</v>
      </c>
      <c r="P15" s="9">
        <f t="shared" si="1"/>
        <v>127024.36</v>
      </c>
      <c r="Q15" s="9">
        <f t="shared" si="1"/>
        <v>38904.6</v>
      </c>
      <c r="R15" s="9">
        <f t="shared" si="1"/>
        <v>29807.03</v>
      </c>
      <c r="S15" s="9">
        <f t="shared" si="1"/>
        <v>690141.91000000015</v>
      </c>
      <c r="T15" s="9">
        <f t="shared" si="1"/>
        <v>327337.25000000012</v>
      </c>
      <c r="U15" s="9">
        <f t="shared" si="1"/>
        <v>7477.7199999999993</v>
      </c>
      <c r="V15" s="9">
        <f t="shared" si="1"/>
        <v>192818.14000000004</v>
      </c>
      <c r="W15" s="9">
        <f t="shared" si="1"/>
        <v>394608.72000000003</v>
      </c>
      <c r="X15" s="9">
        <f t="shared" si="1"/>
        <v>245033.81000000003</v>
      </c>
      <c r="Y15" s="9">
        <f t="shared" si="1"/>
        <v>8678.57</v>
      </c>
      <c r="Z15" s="11">
        <f>Y15+Z14</f>
        <v>43821.39</v>
      </c>
    </row>
    <row r="16" spans="1:31" ht="15.75" thickBot="1">
      <c r="A16" s="7">
        <v>40057</v>
      </c>
      <c r="B16" s="1">
        <v>1943.7</v>
      </c>
      <c r="C16" s="1" t="s">
        <v>9</v>
      </c>
      <c r="D16" s="13">
        <f>VALUE(MID(C16,9,3))</f>
        <v>311</v>
      </c>
      <c r="E16" s="14">
        <f>MONTH(A16)</f>
        <v>9</v>
      </c>
      <c r="G16" s="1" t="s">
        <v>64</v>
      </c>
      <c r="H16" s="1">
        <v>9852.24</v>
      </c>
      <c r="I16" s="1" t="s">
        <v>63</v>
      </c>
      <c r="J16" s="13">
        <f>VALUE(MID(I16,1,3))</f>
        <v>110</v>
      </c>
      <c r="K16" s="13">
        <f>VALUE(MID(G16,5,2))</f>
        <v>1</v>
      </c>
    </row>
    <row r="17" spans="1:26" ht="15.75" thickBot="1">
      <c r="A17" s="7">
        <v>40057</v>
      </c>
      <c r="B17" s="1">
        <v>901.5</v>
      </c>
      <c r="C17" s="1" t="s">
        <v>9</v>
      </c>
      <c r="D17" s="13">
        <f>VALUE(MID(C17,9,3))</f>
        <v>311</v>
      </c>
      <c r="E17" s="14">
        <f>MONTH(A17)</f>
        <v>9</v>
      </c>
      <c r="G17" s="1" t="s">
        <v>64</v>
      </c>
      <c r="H17" s="1">
        <v>1543.49</v>
      </c>
      <c r="I17" s="1" t="s">
        <v>67</v>
      </c>
      <c r="J17" s="13">
        <f>VALUE(MID(I17,1,3))</f>
        <v>110</v>
      </c>
      <c r="K17" s="13">
        <f>VALUE(MID(G17,5,2))</f>
        <v>1</v>
      </c>
      <c r="M17" s="18" t="s">
        <v>271</v>
      </c>
      <c r="N17" s="19"/>
    </row>
    <row r="18" spans="1:26">
      <c r="A18" s="7">
        <v>40057</v>
      </c>
      <c r="B18" s="1">
        <v>901.5</v>
      </c>
      <c r="C18" s="1" t="s">
        <v>9</v>
      </c>
      <c r="D18" s="13">
        <f>VALUE(MID(C18,9,3))</f>
        <v>311</v>
      </c>
      <c r="E18" s="14">
        <f>MONTH(A18)</f>
        <v>9</v>
      </c>
      <c r="G18" s="1" t="s">
        <v>64</v>
      </c>
      <c r="H18" s="1">
        <v>930.46</v>
      </c>
      <c r="I18" s="1" t="s">
        <v>67</v>
      </c>
      <c r="J18" s="13">
        <f>VALUE(MID(I18,1,3))</f>
        <v>110</v>
      </c>
      <c r="K18" s="13">
        <f>VALUE(MID(G18,5,2))</f>
        <v>1</v>
      </c>
      <c r="M18" s="16" t="s">
        <v>272</v>
      </c>
      <c r="N18" s="17">
        <v>1</v>
      </c>
      <c r="O18" s="9">
        <v>2</v>
      </c>
      <c r="P18" s="9">
        <v>3</v>
      </c>
      <c r="Q18" s="9">
        <v>4</v>
      </c>
      <c r="R18" s="9">
        <v>5</v>
      </c>
      <c r="S18" s="9">
        <v>6</v>
      </c>
      <c r="T18" s="9">
        <v>7</v>
      </c>
      <c r="U18" s="9">
        <v>8</v>
      </c>
      <c r="V18" s="9">
        <v>9</v>
      </c>
      <c r="W18" s="9">
        <v>10</v>
      </c>
      <c r="X18" s="9">
        <v>11</v>
      </c>
      <c r="Y18" s="9">
        <v>12</v>
      </c>
      <c r="Z18" s="11" t="s">
        <v>269</v>
      </c>
    </row>
    <row r="19" spans="1:26">
      <c r="A19" s="7">
        <v>40057</v>
      </c>
      <c r="B19" s="1">
        <v>555.54999999999995</v>
      </c>
      <c r="C19" s="1" t="s">
        <v>12</v>
      </c>
      <c r="D19" s="13">
        <f>VALUE(MID(C19,9,3))</f>
        <v>311</v>
      </c>
      <c r="E19" s="14">
        <f>MONTH(A19)</f>
        <v>9</v>
      </c>
      <c r="G19" s="1" t="s">
        <v>64</v>
      </c>
      <c r="H19" s="1">
        <v>4159.26</v>
      </c>
      <c r="I19" s="1" t="s">
        <v>67</v>
      </c>
      <c r="J19" s="13">
        <f>VALUE(MID(I19,1,3))</f>
        <v>110</v>
      </c>
      <c r="K19" s="13">
        <f>VALUE(MID(G19,5,2))</f>
        <v>1</v>
      </c>
      <c r="M19" s="9">
        <v>100</v>
      </c>
      <c r="N19" s="10">
        <f>SUMIFS($H$2:$H$1780,$J$2:$J$1780,$M19,$K$2:$K$1780,N$18)</f>
        <v>9221.1200000000008</v>
      </c>
      <c r="O19" s="10">
        <f>SUMIFS($H$2:$H$1780,$J$2:$J$1780,$M19,$K$2:$K$1780,O$18)</f>
        <v>9221.1200000000008</v>
      </c>
      <c r="P19" s="10">
        <f>SUMIFS($H$2:$H$1780,$J$2:$J$1780,$M19,$K$2:$K$1780,P$18)</f>
        <v>9221.1200000000008</v>
      </c>
      <c r="Q19" s="10">
        <f>SUMIFS($H$2:$H$1780,$J$2:$J$1780,$M19,$K$2:$K$1780,Q$18)</f>
        <v>9221.1200000000008</v>
      </c>
      <c r="R19" s="10">
        <f>SUMIFS($H$2:$H$1780,$J$2:$J$1780,$M19,$K$2:$K$1780,R$18)</f>
        <v>9221.1200000000008</v>
      </c>
      <c r="S19" s="10">
        <f>SUMIFS($H$2:$H$1780,$J$2:$J$1780,$M19,$K$2:$K$1780,S$18)</f>
        <v>9221.1200000000008</v>
      </c>
      <c r="T19" s="10">
        <f>SUMIFS($H$2:$H$1780,$J$2:$J$1780,$M19,$K$2:$K$1780,T$18)</f>
        <v>9221.1200000000008</v>
      </c>
      <c r="U19" s="10">
        <f>SUMIFS($H$2:$H$1780,$J$2:$J$1780,$M19,$K$2:$K$1780,U$18)</f>
        <v>9221.1200000000008</v>
      </c>
      <c r="V19" s="10">
        <f>SUMIFS($H$2:$H$1780,$J$2:$J$1780,$M19,$K$2:$K$1780,V$18)</f>
        <v>9221.1200000000008</v>
      </c>
      <c r="W19" s="10">
        <f>SUMIFS($H$2:$H$1780,$J$2:$J$1780,$M19,$K$2:$K$1780,W$18)</f>
        <v>9221.1200000000008</v>
      </c>
      <c r="X19" s="10">
        <f>SUMIFS($H$2:$H$1780,$J$2:$J$1780,$M19,$K$2:$K$1780,X$18)</f>
        <v>9221.1200000000008</v>
      </c>
      <c r="Y19" s="10">
        <f>SUMIFS($H$2:$H$1780,$J$2:$J$1780,$M19,$K$2:$K$1780,Y$18)</f>
        <v>18442.240000000002</v>
      </c>
      <c r="Z19" s="10">
        <f>SUM(N19:Y19)</f>
        <v>119874.56</v>
      </c>
    </row>
    <row r="20" spans="1:26">
      <c r="A20" s="7">
        <v>40057</v>
      </c>
      <c r="B20" s="1">
        <v>772.35</v>
      </c>
      <c r="C20" s="1" t="s">
        <v>12</v>
      </c>
      <c r="D20" s="13">
        <f>VALUE(MID(C20,9,3))</f>
        <v>311</v>
      </c>
      <c r="E20" s="14">
        <f>MONTH(A20)</f>
        <v>9</v>
      </c>
      <c r="G20" s="1" t="s">
        <v>64</v>
      </c>
      <c r="H20" s="1">
        <v>356.05</v>
      </c>
      <c r="I20" s="1" t="s">
        <v>67</v>
      </c>
      <c r="J20" s="13">
        <f>VALUE(MID(I20,1,3))</f>
        <v>110</v>
      </c>
      <c r="K20" s="13">
        <f>VALUE(MID(G20,5,2))</f>
        <v>1</v>
      </c>
      <c r="M20" s="9">
        <v>110</v>
      </c>
      <c r="N20" s="10">
        <f>SUMIFS($H$2:$H$1780,$J$2:$J$1780,$M20,$K$2:$K$1780,N$18)</f>
        <v>48210.43</v>
      </c>
      <c r="O20" s="10">
        <f>SUMIFS($H$2:$H$1780,$J$2:$J$1780,$M20,$K$2:$K$1780,O$18)</f>
        <v>80894.849999999991</v>
      </c>
      <c r="P20" s="10">
        <f>SUMIFS($H$2:$H$1780,$J$2:$J$1780,$M20,$K$2:$K$1780,P$18)</f>
        <v>85203.319999999992</v>
      </c>
      <c r="Q20" s="10">
        <f>SUMIFS($H$2:$H$1780,$J$2:$J$1780,$M20,$K$2:$K$1780,Q$18)</f>
        <v>84266.849999999991</v>
      </c>
      <c r="R20" s="10">
        <f>SUMIFS($H$2:$H$1780,$J$2:$J$1780,$M20,$K$2:$K$1780,R$18)</f>
        <v>84032.15</v>
      </c>
      <c r="S20" s="10">
        <f>SUMIFS($H$2:$H$1780,$J$2:$J$1780,$M20,$K$2:$K$1780,S$18)</f>
        <v>88296.400000000009</v>
      </c>
      <c r="T20" s="10">
        <f>SUMIFS($H$2:$H$1780,$J$2:$J$1780,$M20,$K$2:$K$1780,T$18)</f>
        <v>87733.930000000008</v>
      </c>
      <c r="U20" s="10">
        <f>SUMIFS($H$2:$H$1780,$J$2:$J$1780,$M20,$K$2:$K$1780,U$18)</f>
        <v>82698.460000000006</v>
      </c>
      <c r="V20" s="10">
        <f>SUMIFS($H$2:$H$1780,$J$2:$J$1780,$M20,$K$2:$K$1780,V$18)</f>
        <v>82281.159999999989</v>
      </c>
      <c r="W20" s="10">
        <f>SUMIFS($H$2:$H$1780,$J$2:$J$1780,$M20,$K$2:$K$1780,W$18)</f>
        <v>84670.48000000001</v>
      </c>
      <c r="X20" s="10">
        <f>SUMIFS($H$2:$H$1780,$J$2:$J$1780,$M20,$K$2:$K$1780,X$18)</f>
        <v>88036.939999999988</v>
      </c>
      <c r="Y20" s="10">
        <f>SUMIFS($H$2:$H$1780,$J$2:$J$1780,$M20,$K$2:$K$1780,Y$18)</f>
        <v>174308.26</v>
      </c>
      <c r="Z20" s="10">
        <f t="shared" ref="Z20:Z42" si="2">SUM(N20:Y20)</f>
        <v>1070633.23</v>
      </c>
    </row>
    <row r="21" spans="1:26">
      <c r="A21" s="7">
        <v>40057</v>
      </c>
      <c r="B21" s="1">
        <v>389.08</v>
      </c>
      <c r="C21" s="1" t="s">
        <v>13</v>
      </c>
      <c r="D21" s="13">
        <f>VALUE(MID(C21,9,3))</f>
        <v>311</v>
      </c>
      <c r="E21" s="14">
        <f>MONTH(A21)</f>
        <v>9</v>
      </c>
      <c r="G21" s="1" t="s">
        <v>114</v>
      </c>
      <c r="H21" s="1">
        <v>20083.36</v>
      </c>
      <c r="I21" s="1" t="s">
        <v>63</v>
      </c>
      <c r="J21" s="13">
        <f>VALUE(MID(I21,1,3))</f>
        <v>110</v>
      </c>
      <c r="K21" s="13">
        <f>VALUE(MID(G21,5,2))</f>
        <v>2</v>
      </c>
      <c r="M21" s="9">
        <v>130</v>
      </c>
      <c r="N21" s="10">
        <f>SUMIFS($H$2:$H$1780,$J$2:$J$1780,$M21,$K$2:$K$1780,N$18)</f>
        <v>17624.45</v>
      </c>
      <c r="O21" s="10">
        <f>SUMIFS($H$2:$H$1780,$J$2:$J$1780,$M21,$K$2:$K$1780,O$18)</f>
        <v>26724.14</v>
      </c>
      <c r="P21" s="10">
        <f>SUMIFS($H$2:$H$1780,$J$2:$J$1780,$M21,$K$2:$K$1780,P$18)</f>
        <v>38717.89</v>
      </c>
      <c r="Q21" s="10">
        <f>SUMIFS($H$2:$H$1780,$J$2:$J$1780,$M21,$K$2:$K$1780,Q$18)</f>
        <v>30175.629999999997</v>
      </c>
      <c r="R21" s="10">
        <f>SUMIFS($H$2:$H$1780,$J$2:$J$1780,$M21,$K$2:$K$1780,R$18)</f>
        <v>28387.66</v>
      </c>
      <c r="S21" s="10">
        <f>SUMIFS($H$2:$H$1780,$J$2:$J$1780,$M21,$K$2:$K$1780,S$18)</f>
        <v>37887.300000000003</v>
      </c>
      <c r="T21" s="10">
        <f>SUMIFS($H$2:$H$1780,$J$2:$J$1780,$M21,$K$2:$K$1780,T$18)</f>
        <v>6775.2900000000009</v>
      </c>
      <c r="U21" s="10">
        <f>SUMIFS($H$2:$H$1780,$J$2:$J$1780,$M21,$K$2:$K$1780,U$18)</f>
        <v>1927.65</v>
      </c>
      <c r="V21" s="10">
        <f>SUMIFS($H$2:$H$1780,$J$2:$J$1780,$M21,$K$2:$K$1780,V$18)</f>
        <v>14436.640000000001</v>
      </c>
      <c r="W21" s="10">
        <f>SUMIFS($H$2:$H$1780,$J$2:$J$1780,$M21,$K$2:$K$1780,W$18)</f>
        <v>27370.559999999998</v>
      </c>
      <c r="X21" s="10">
        <f>SUMIFS($H$2:$H$1780,$J$2:$J$1780,$M21,$K$2:$K$1780,X$18)</f>
        <v>38311.629999999997</v>
      </c>
      <c r="Y21" s="10">
        <f>SUMIFS($H$2:$H$1780,$J$2:$J$1780,$M21,$K$2:$K$1780,Y$18)</f>
        <v>48250.320000000007</v>
      </c>
      <c r="Z21" s="10">
        <f t="shared" si="2"/>
        <v>316589.16000000003</v>
      </c>
    </row>
    <row r="22" spans="1:26">
      <c r="A22" s="7">
        <v>40057</v>
      </c>
      <c r="B22" s="1">
        <v>389.08</v>
      </c>
      <c r="C22" s="1" t="s">
        <v>13</v>
      </c>
      <c r="D22" s="13">
        <f>VALUE(MID(C22,9,3))</f>
        <v>311</v>
      </c>
      <c r="E22" s="14">
        <f>MONTH(A22)</f>
        <v>9</v>
      </c>
      <c r="G22" s="1" t="s">
        <v>114</v>
      </c>
      <c r="H22" s="1">
        <v>12500.06</v>
      </c>
      <c r="I22" s="1" t="s">
        <v>63</v>
      </c>
      <c r="J22" s="13">
        <f>VALUE(MID(I22,1,3))</f>
        <v>110</v>
      </c>
      <c r="K22" s="13">
        <f>VALUE(MID(G22,5,2))</f>
        <v>2</v>
      </c>
      <c r="M22" s="9">
        <v>160</v>
      </c>
      <c r="N22" s="10">
        <f>SUMIFS($H$2:$H$1780,$J$2:$J$1780,$M22,$K$2:$K$1780,N$18)</f>
        <v>14388.419999999998</v>
      </c>
      <c r="O22" s="10">
        <f>SUMIFS($H$2:$H$1780,$J$2:$J$1780,$M22,$K$2:$K$1780,O$18)</f>
        <v>16090.72</v>
      </c>
      <c r="P22" s="10">
        <f>SUMIFS($H$2:$H$1780,$J$2:$J$1780,$M22,$K$2:$K$1780,P$18)</f>
        <v>18253.130000000005</v>
      </c>
      <c r="Q22" s="10">
        <f>SUMIFS($H$2:$H$1780,$J$2:$J$1780,$M22,$K$2:$K$1780,Q$18)</f>
        <v>15774.779999999999</v>
      </c>
      <c r="R22" s="10">
        <f>SUMIFS($H$2:$H$1780,$J$2:$J$1780,$M22,$K$2:$K$1780,R$18)</f>
        <v>16746.12</v>
      </c>
      <c r="S22" s="10">
        <f>SUMIFS($H$2:$H$1780,$J$2:$J$1780,$M22,$K$2:$K$1780,S$18)</f>
        <v>19801.139999999996</v>
      </c>
      <c r="T22" s="10">
        <f>SUMIFS($H$2:$H$1780,$J$2:$J$1780,$M22,$K$2:$K$1780,T$18)</f>
        <v>14454.690000000002</v>
      </c>
      <c r="U22" s="10">
        <f>SUMIFS($H$2:$H$1780,$J$2:$J$1780,$M22,$K$2:$K$1780,U$18)</f>
        <v>13119.510000000002</v>
      </c>
      <c r="V22" s="10">
        <f>SUMIFS($H$2:$H$1780,$J$2:$J$1780,$M22,$K$2:$K$1780,V$18)</f>
        <v>14687.380000000001</v>
      </c>
      <c r="W22" s="10">
        <f>SUMIFS($H$2:$H$1780,$J$2:$J$1780,$M22,$K$2:$K$1780,W$18)</f>
        <v>16621.770000000004</v>
      </c>
      <c r="X22" s="10">
        <f>SUMIFS($H$2:$H$1780,$J$2:$J$1780,$M22,$K$2:$K$1780,X$18)</f>
        <v>20630.54</v>
      </c>
      <c r="Y22" s="10">
        <f>SUMIFS($H$2:$H$1780,$J$2:$J$1780,$M22,$K$2:$K$1780,Y$18)</f>
        <v>36873.089999999997</v>
      </c>
      <c r="Z22" s="10">
        <f t="shared" si="2"/>
        <v>217441.29000000004</v>
      </c>
    </row>
    <row r="23" spans="1:26">
      <c r="A23" s="7">
        <v>40057</v>
      </c>
      <c r="B23" s="1">
        <v>940.5</v>
      </c>
      <c r="C23" s="1" t="s">
        <v>13</v>
      </c>
      <c r="D23" s="13">
        <f>VALUE(MID(C23,9,3))</f>
        <v>311</v>
      </c>
      <c r="E23" s="14">
        <f>MONTH(A23)</f>
        <v>9</v>
      </c>
      <c r="G23" s="1" t="s">
        <v>114</v>
      </c>
      <c r="H23" s="1">
        <v>30118.639999999999</v>
      </c>
      <c r="I23" s="1" t="s">
        <v>63</v>
      </c>
      <c r="J23" s="13">
        <f>VALUE(MID(I23,1,3))</f>
        <v>110</v>
      </c>
      <c r="K23" s="13">
        <f>VALUE(MID(G23,5,2))</f>
        <v>2</v>
      </c>
      <c r="M23" s="9">
        <v>163</v>
      </c>
      <c r="N23" s="10">
        <f>SUMIFS($H$2:$H$1780,$J$2:$J$1780,$M23,$K$2:$K$1780,N$18)</f>
        <v>7262.41</v>
      </c>
      <c r="O23" s="10">
        <f>SUMIFS($H$2:$H$1780,$J$2:$J$1780,$M23,$K$2:$K$1780,O$18)</f>
        <v>2227.2999999999997</v>
      </c>
      <c r="P23" s="10">
        <f>SUMIFS($H$2:$H$1780,$J$2:$J$1780,$M23,$K$2:$K$1780,P$18)</f>
        <v>1973.4099999999999</v>
      </c>
      <c r="Q23" s="10">
        <f>SUMIFS($H$2:$H$1780,$J$2:$J$1780,$M23,$K$2:$K$1780,Q$18)</f>
        <v>1045.5</v>
      </c>
      <c r="R23" s="10">
        <f>SUMIFS($H$2:$H$1780,$J$2:$J$1780,$M23,$K$2:$K$1780,R$18)</f>
        <v>2270</v>
      </c>
      <c r="S23" s="10">
        <f>SUMIFS($H$2:$H$1780,$J$2:$J$1780,$M23,$K$2:$K$1780,S$18)</f>
        <v>1125.0700000000002</v>
      </c>
      <c r="T23" s="10">
        <f>SUMIFS($H$2:$H$1780,$J$2:$J$1780,$M23,$K$2:$K$1780,T$18)</f>
        <v>2211.52</v>
      </c>
      <c r="U23" s="10">
        <f>SUMIFS($H$2:$H$1780,$J$2:$J$1780,$M23,$K$2:$K$1780,U$18)</f>
        <v>0</v>
      </c>
      <c r="V23" s="10">
        <f>SUMIFS($H$2:$H$1780,$J$2:$J$1780,$M23,$K$2:$K$1780,V$18)</f>
        <v>1054.3499999999999</v>
      </c>
      <c r="W23" s="10">
        <f>SUMIFS($H$2:$H$1780,$J$2:$J$1780,$M23,$K$2:$K$1780,W$18)</f>
        <v>75</v>
      </c>
      <c r="X23" s="10">
        <f>SUMIFS($H$2:$H$1780,$J$2:$J$1780,$M23,$K$2:$K$1780,X$18)</f>
        <v>520</v>
      </c>
      <c r="Y23" s="10">
        <f>SUMIFS($H$2:$H$1780,$J$2:$J$1780,$M23,$K$2:$K$1780,Y$18)</f>
        <v>582.79999999999995</v>
      </c>
      <c r="Z23" s="10">
        <f t="shared" si="2"/>
        <v>20347.359999999997</v>
      </c>
    </row>
    <row r="24" spans="1:26">
      <c r="A24" s="7">
        <v>40057</v>
      </c>
      <c r="B24" s="1">
        <v>470.25</v>
      </c>
      <c r="C24" s="1" t="s">
        <v>13</v>
      </c>
      <c r="D24" s="13">
        <f>VALUE(MID(C24,9,3))</f>
        <v>311</v>
      </c>
      <c r="E24" s="14">
        <f>MONTH(A24)</f>
        <v>9</v>
      </c>
      <c r="G24" s="1" t="s">
        <v>114</v>
      </c>
      <c r="H24" s="1">
        <v>10857.48</v>
      </c>
      <c r="I24" s="1" t="s">
        <v>63</v>
      </c>
      <c r="J24" s="13">
        <f>VALUE(MID(I24,1,3))</f>
        <v>110</v>
      </c>
      <c r="K24" s="13">
        <f>VALUE(MID(G24,5,2))</f>
        <v>2</v>
      </c>
      <c r="M24" s="9">
        <v>202</v>
      </c>
      <c r="N24" s="10">
        <f>SUMIFS($H$2:$H$1780,$J$2:$J$1780,$M24,$K$2:$K$1780,N$18)</f>
        <v>0</v>
      </c>
      <c r="O24" s="10">
        <f>SUMIFS($H$2:$H$1780,$J$2:$J$1780,$M24,$K$2:$K$1780,O$18)</f>
        <v>754.23</v>
      </c>
      <c r="P24" s="10">
        <f>SUMIFS($H$2:$H$1780,$J$2:$J$1780,$M24,$K$2:$K$1780,P$18)</f>
        <v>754.23</v>
      </c>
      <c r="Q24" s="10">
        <f>SUMIFS($H$2:$H$1780,$J$2:$J$1780,$M24,$K$2:$K$1780,Q$18)</f>
        <v>754.23</v>
      </c>
      <c r="R24" s="10">
        <f>SUMIFS($H$2:$H$1780,$J$2:$J$1780,$M24,$K$2:$K$1780,R$18)</f>
        <v>754.23</v>
      </c>
      <c r="S24" s="10">
        <f>SUMIFS($H$2:$H$1780,$J$2:$J$1780,$M24,$K$2:$K$1780,S$18)</f>
        <v>754.23</v>
      </c>
      <c r="T24" s="10">
        <f>SUMIFS($H$2:$H$1780,$J$2:$J$1780,$M24,$K$2:$K$1780,T$18)</f>
        <v>754.23</v>
      </c>
      <c r="U24" s="10">
        <f>SUMIFS($H$2:$H$1780,$J$2:$J$1780,$M24,$K$2:$K$1780,U$18)</f>
        <v>754.23</v>
      </c>
      <c r="V24" s="10">
        <f>SUMIFS($H$2:$H$1780,$J$2:$J$1780,$M24,$K$2:$K$1780,V$18)</f>
        <v>1354.23</v>
      </c>
      <c r="W24" s="10">
        <f>SUMIFS($H$2:$H$1780,$J$2:$J$1780,$M24,$K$2:$K$1780,W$18)</f>
        <v>754.23</v>
      </c>
      <c r="X24" s="10">
        <f>SUMIFS($H$2:$H$1780,$J$2:$J$1780,$M24,$K$2:$K$1780,X$18)</f>
        <v>904.23</v>
      </c>
      <c r="Y24" s="10">
        <f>SUMIFS($H$2:$H$1780,$J$2:$J$1780,$M24,$K$2:$K$1780,Y$18)</f>
        <v>754.23</v>
      </c>
      <c r="Z24" s="10">
        <f t="shared" si="2"/>
        <v>9046.5299999999988</v>
      </c>
    </row>
    <row r="25" spans="1:26">
      <c r="A25" s="7">
        <v>40057</v>
      </c>
      <c r="B25" s="1">
        <v>470.25</v>
      </c>
      <c r="C25" s="1" t="s">
        <v>13</v>
      </c>
      <c r="D25" s="13">
        <f>VALUE(MID(C25,9,3))</f>
        <v>311</v>
      </c>
      <c r="E25" s="14">
        <f>MONTH(A25)</f>
        <v>9</v>
      </c>
      <c r="G25" s="1" t="s">
        <v>114</v>
      </c>
      <c r="H25" s="1">
        <v>1781.67</v>
      </c>
      <c r="I25" s="1" t="s">
        <v>67</v>
      </c>
      <c r="J25" s="13">
        <f>VALUE(MID(I25,1,3))</f>
        <v>110</v>
      </c>
      <c r="K25" s="13">
        <f>VALUE(MID(G25,5,2))</f>
        <v>2</v>
      </c>
      <c r="M25" s="9">
        <v>213</v>
      </c>
      <c r="N25" s="10">
        <f>SUMIFS($H$2:$H$1780,$J$2:$J$1780,$M25,$K$2:$K$1780,N$18)</f>
        <v>7405.22</v>
      </c>
      <c r="O25" s="10">
        <f>SUMIFS($H$2:$H$1780,$J$2:$J$1780,$M25,$K$2:$K$1780,O$18)</f>
        <v>7767.6100000000006</v>
      </c>
      <c r="P25" s="10">
        <f>SUMIFS($H$2:$H$1780,$J$2:$J$1780,$M25,$K$2:$K$1780,P$18)</f>
        <v>4469.1399999999994</v>
      </c>
      <c r="Q25" s="10">
        <f>SUMIFS($H$2:$H$1780,$J$2:$J$1780,$M25,$K$2:$K$1780,Q$18)</f>
        <v>7530.85</v>
      </c>
      <c r="R25" s="10">
        <f>SUMIFS($H$2:$H$1780,$J$2:$J$1780,$M25,$K$2:$K$1780,R$18)</f>
        <v>4044.74</v>
      </c>
      <c r="S25" s="10">
        <f>SUMIFS($H$2:$H$1780,$J$2:$J$1780,$M25,$K$2:$K$1780,S$18)</f>
        <v>4652.3499999999995</v>
      </c>
      <c r="T25" s="10">
        <f>SUMIFS($H$2:$H$1780,$J$2:$J$1780,$M25,$K$2:$K$1780,T$18)</f>
        <v>9089.57</v>
      </c>
      <c r="U25" s="10">
        <f>SUMIFS($H$2:$H$1780,$J$2:$J$1780,$M25,$K$2:$K$1780,U$18)</f>
        <v>0</v>
      </c>
      <c r="V25" s="10">
        <f>SUMIFS($H$2:$H$1780,$J$2:$J$1780,$M25,$K$2:$K$1780,V$18)</f>
        <v>10753.929999999998</v>
      </c>
      <c r="W25" s="10">
        <f>SUMIFS($H$2:$H$1780,$J$2:$J$1780,$M25,$K$2:$K$1780,W$18)</f>
        <v>7243.5700000000006</v>
      </c>
      <c r="X25" s="10">
        <f>SUMIFS($H$2:$H$1780,$J$2:$J$1780,$M25,$K$2:$K$1780,X$18)</f>
        <v>6694.38</v>
      </c>
      <c r="Y25" s="10">
        <f>SUMIFS($H$2:$H$1780,$J$2:$J$1780,$M25,$K$2:$K$1780,Y$18)</f>
        <v>4383.9499999999989</v>
      </c>
      <c r="Z25" s="10">
        <f t="shared" si="2"/>
        <v>74035.31</v>
      </c>
    </row>
    <row r="26" spans="1:26">
      <c r="A26" s="7">
        <v>40057</v>
      </c>
      <c r="B26" s="1">
        <v>329.82</v>
      </c>
      <c r="C26" s="1" t="s">
        <v>13</v>
      </c>
      <c r="D26" s="13">
        <f>VALUE(MID(C26,9,3))</f>
        <v>311</v>
      </c>
      <c r="E26" s="14">
        <f>MONTH(A26)</f>
        <v>9</v>
      </c>
      <c r="G26" s="1" t="s">
        <v>114</v>
      </c>
      <c r="H26" s="1">
        <v>948.89</v>
      </c>
      <c r="I26" s="1" t="s">
        <v>67</v>
      </c>
      <c r="J26" s="13">
        <f>VALUE(MID(I26,1,3))</f>
        <v>110</v>
      </c>
      <c r="K26" s="13">
        <f>VALUE(MID(G26,5,2))</f>
        <v>2</v>
      </c>
      <c r="M26" s="9">
        <v>215</v>
      </c>
      <c r="N26" s="10">
        <f>SUMIFS($H$2:$H$1780,$J$2:$J$1780,$M26,$K$2:$K$1780,N$18)</f>
        <v>82.86</v>
      </c>
      <c r="O26" s="10">
        <f>SUMIFS($H$2:$H$1780,$J$2:$J$1780,$M26,$K$2:$K$1780,O$18)</f>
        <v>82.86</v>
      </c>
      <c r="P26" s="10">
        <f>SUMIFS($H$2:$H$1780,$J$2:$J$1780,$M26,$K$2:$K$1780,P$18)</f>
        <v>82.86</v>
      </c>
      <c r="Q26" s="10">
        <f>SUMIFS($H$2:$H$1780,$J$2:$J$1780,$M26,$K$2:$K$1780,Q$18)</f>
        <v>82.86</v>
      </c>
      <c r="R26" s="10">
        <f>SUMIFS($H$2:$H$1780,$J$2:$J$1780,$M26,$K$2:$K$1780,R$18)</f>
        <v>82.86</v>
      </c>
      <c r="S26" s="10">
        <f>SUMIFS($H$2:$H$1780,$J$2:$J$1780,$M26,$K$2:$K$1780,S$18)</f>
        <v>82.86</v>
      </c>
      <c r="T26" s="10">
        <f>SUMIFS($H$2:$H$1780,$J$2:$J$1780,$M26,$K$2:$K$1780,T$18)</f>
        <v>82.86</v>
      </c>
      <c r="U26" s="10">
        <f>SUMIFS($H$2:$H$1780,$J$2:$J$1780,$M26,$K$2:$K$1780,U$18)</f>
        <v>0</v>
      </c>
      <c r="V26" s="10">
        <f>SUMIFS($H$2:$H$1780,$J$2:$J$1780,$M26,$K$2:$K$1780,V$18)</f>
        <v>165.72</v>
      </c>
      <c r="W26" s="10">
        <f>SUMIFS($H$2:$H$1780,$J$2:$J$1780,$M26,$K$2:$K$1780,W$18)</f>
        <v>82.86</v>
      </c>
      <c r="X26" s="10">
        <f>SUMIFS($H$2:$H$1780,$J$2:$J$1780,$M26,$K$2:$K$1780,X$18)</f>
        <v>82.86</v>
      </c>
      <c r="Y26" s="10">
        <f>SUMIFS($H$2:$H$1780,$J$2:$J$1780,$M26,$K$2:$K$1780,Y$18)</f>
        <v>82.86</v>
      </c>
      <c r="Z26" s="10">
        <f t="shared" si="2"/>
        <v>994.32</v>
      </c>
    </row>
    <row r="27" spans="1:26">
      <c r="A27" s="7">
        <v>40057</v>
      </c>
      <c r="B27" s="1">
        <v>517.28</v>
      </c>
      <c r="C27" s="1" t="s">
        <v>3</v>
      </c>
      <c r="D27" s="13">
        <f>VALUE(MID(C27,9,3))</f>
        <v>311</v>
      </c>
      <c r="E27" s="14">
        <f>MONTH(A27)</f>
        <v>9</v>
      </c>
      <c r="G27" s="1" t="s">
        <v>114</v>
      </c>
      <c r="H27" s="1">
        <v>4137.8500000000004</v>
      </c>
      <c r="I27" s="1" t="s">
        <v>67</v>
      </c>
      <c r="J27" s="13">
        <f>VALUE(MID(I27,1,3))</f>
        <v>110</v>
      </c>
      <c r="K27" s="13">
        <f>VALUE(MID(G27,5,2))</f>
        <v>2</v>
      </c>
      <c r="M27" s="9">
        <v>216</v>
      </c>
      <c r="N27" s="10">
        <f>SUMIFS($H$2:$H$1780,$J$2:$J$1780,$M27,$K$2:$K$1780,N$18)</f>
        <v>0</v>
      </c>
      <c r="O27" s="10">
        <f>SUMIFS($H$2:$H$1780,$J$2:$J$1780,$M27,$K$2:$K$1780,O$18)</f>
        <v>0</v>
      </c>
      <c r="P27" s="10">
        <f>SUMIFS($H$2:$H$1780,$J$2:$J$1780,$M27,$K$2:$K$1780,P$18)</f>
        <v>0</v>
      </c>
      <c r="Q27" s="10">
        <f>SUMIFS($H$2:$H$1780,$J$2:$J$1780,$M27,$K$2:$K$1780,Q$18)</f>
        <v>0</v>
      </c>
      <c r="R27" s="10">
        <f>SUMIFS($H$2:$H$1780,$J$2:$J$1780,$M27,$K$2:$K$1780,R$18)</f>
        <v>45.71</v>
      </c>
      <c r="S27" s="10">
        <f>SUMIFS($H$2:$H$1780,$J$2:$J$1780,$M27,$K$2:$K$1780,S$18)</f>
        <v>0</v>
      </c>
      <c r="T27" s="10">
        <f>SUMIFS($H$2:$H$1780,$J$2:$J$1780,$M27,$K$2:$K$1780,T$18)</f>
        <v>0</v>
      </c>
      <c r="U27" s="10">
        <f>SUMIFS($H$2:$H$1780,$J$2:$J$1780,$M27,$K$2:$K$1780,U$18)</f>
        <v>0</v>
      </c>
      <c r="V27" s="10">
        <f>SUMIFS($H$2:$H$1780,$J$2:$J$1780,$M27,$K$2:$K$1780,V$18)</f>
        <v>0</v>
      </c>
      <c r="W27" s="10">
        <f>SUMIFS($H$2:$H$1780,$J$2:$J$1780,$M27,$K$2:$K$1780,W$18)</f>
        <v>0</v>
      </c>
      <c r="X27" s="10">
        <f>SUMIFS($H$2:$H$1780,$J$2:$J$1780,$M27,$K$2:$K$1780,X$18)</f>
        <v>0</v>
      </c>
      <c r="Y27" s="10">
        <f>SUMIFS($H$2:$H$1780,$J$2:$J$1780,$M27,$K$2:$K$1780,Y$18)</f>
        <v>0</v>
      </c>
      <c r="Z27" s="10">
        <f t="shared" si="2"/>
        <v>45.71</v>
      </c>
    </row>
    <row r="28" spans="1:26">
      <c r="A28" s="7">
        <v>40057</v>
      </c>
      <c r="B28" s="1">
        <v>587.80999999999995</v>
      </c>
      <c r="C28" s="1" t="s">
        <v>3</v>
      </c>
      <c r="D28" s="13">
        <f>VALUE(MID(C28,9,3))</f>
        <v>311</v>
      </c>
      <c r="E28" s="14">
        <f>MONTH(A28)</f>
        <v>9</v>
      </c>
      <c r="G28" s="1" t="s">
        <v>114</v>
      </c>
      <c r="H28" s="1">
        <v>466.9</v>
      </c>
      <c r="I28" s="1" t="s">
        <v>67</v>
      </c>
      <c r="J28" s="13">
        <f>VALUE(MID(I28,1,3))</f>
        <v>110</v>
      </c>
      <c r="K28" s="13">
        <f>VALUE(MID(G28,5,2))</f>
        <v>2</v>
      </c>
      <c r="M28" s="9">
        <v>220</v>
      </c>
      <c r="N28" s="10">
        <f>SUMIFS($H$2:$H$1780,$J$2:$J$1780,$M28,$K$2:$K$1780,N$18)</f>
        <v>3402.23</v>
      </c>
      <c r="O28" s="10">
        <f>SUMIFS($H$2:$H$1780,$J$2:$J$1780,$M28,$K$2:$K$1780,O$18)</f>
        <v>7829.55</v>
      </c>
      <c r="P28" s="10">
        <f>SUMIFS($H$2:$H$1780,$J$2:$J$1780,$M28,$K$2:$K$1780,P$18)</f>
        <v>1896.6999999999996</v>
      </c>
      <c r="Q28" s="10">
        <f>SUMIFS($H$2:$H$1780,$J$2:$J$1780,$M28,$K$2:$K$1780,Q$18)</f>
        <v>4242.4400000000005</v>
      </c>
      <c r="R28" s="10">
        <f>SUMIFS($H$2:$H$1780,$J$2:$J$1780,$M28,$K$2:$K$1780,R$18)</f>
        <v>2768.07</v>
      </c>
      <c r="S28" s="10">
        <f>SUMIFS($H$2:$H$1780,$J$2:$J$1780,$M28,$K$2:$K$1780,S$18)</f>
        <v>2613.87</v>
      </c>
      <c r="T28" s="10">
        <f>SUMIFS($H$2:$H$1780,$J$2:$J$1780,$M28,$K$2:$K$1780,T$18)</f>
        <v>2410.9399999999996</v>
      </c>
      <c r="U28" s="10">
        <f>SUMIFS($H$2:$H$1780,$J$2:$J$1780,$M28,$K$2:$K$1780,U$18)</f>
        <v>0</v>
      </c>
      <c r="V28" s="10">
        <f>SUMIFS($H$2:$H$1780,$J$2:$J$1780,$M28,$K$2:$K$1780,V$18)</f>
        <v>1536.34</v>
      </c>
      <c r="W28" s="10">
        <f>SUMIFS($H$2:$H$1780,$J$2:$J$1780,$M28,$K$2:$K$1780,W$18)</f>
        <v>4147.78</v>
      </c>
      <c r="X28" s="10">
        <f>SUMIFS($H$2:$H$1780,$J$2:$J$1780,$M28,$K$2:$K$1780,X$18)</f>
        <v>5468.0700000000006</v>
      </c>
      <c r="Y28" s="10">
        <f>SUMIFS($H$2:$H$1780,$J$2:$J$1780,$M28,$K$2:$K$1780,Y$18)</f>
        <v>3588.96</v>
      </c>
      <c r="Z28" s="10">
        <f t="shared" si="2"/>
        <v>39904.949999999997</v>
      </c>
    </row>
    <row r="29" spans="1:26">
      <c r="A29" s="7">
        <v>40057</v>
      </c>
      <c r="B29" s="1">
        <v>1081.58</v>
      </c>
      <c r="C29" s="1" t="s">
        <v>3</v>
      </c>
      <c r="D29" s="13">
        <f>VALUE(MID(C29,9,3))</f>
        <v>311</v>
      </c>
      <c r="E29" s="14">
        <f>MONTH(A29)</f>
        <v>9</v>
      </c>
      <c r="G29" s="1" t="s">
        <v>131</v>
      </c>
      <c r="H29" s="1">
        <v>21518.07</v>
      </c>
      <c r="I29" s="1" t="s">
        <v>63</v>
      </c>
      <c r="J29" s="13">
        <f>VALUE(MID(I29,1,3))</f>
        <v>110</v>
      </c>
      <c r="K29" s="13">
        <f>VALUE(MID(G29,5,2))</f>
        <v>3</v>
      </c>
      <c r="M29" s="9">
        <v>221</v>
      </c>
      <c r="N29" s="10">
        <f>SUMIFS($H$2:$H$1780,$J$2:$J$1780,$M29,$K$2:$K$1780,N$18)</f>
        <v>4679.8</v>
      </c>
      <c r="O29" s="10">
        <f>SUMIFS($H$2:$H$1780,$J$2:$J$1780,$M29,$K$2:$K$1780,O$18)</f>
        <v>3635.83</v>
      </c>
      <c r="P29" s="10">
        <f>SUMIFS($H$2:$H$1780,$J$2:$J$1780,$M29,$K$2:$K$1780,P$18)</f>
        <v>8256.5799999999981</v>
      </c>
      <c r="Q29" s="10">
        <f>SUMIFS($H$2:$H$1780,$J$2:$J$1780,$M29,$K$2:$K$1780,Q$18)</f>
        <v>4013.99</v>
      </c>
      <c r="R29" s="10">
        <f>SUMIFS($H$2:$H$1780,$J$2:$J$1780,$M29,$K$2:$K$1780,R$18)</f>
        <v>6737.9399999999987</v>
      </c>
      <c r="S29" s="10">
        <f>SUMIFS($H$2:$H$1780,$J$2:$J$1780,$M29,$K$2:$K$1780,S$18)</f>
        <v>4329.46</v>
      </c>
      <c r="T29" s="10">
        <f>SUMIFS($H$2:$H$1780,$J$2:$J$1780,$M29,$K$2:$K$1780,T$18)</f>
        <v>3972.1499999999996</v>
      </c>
      <c r="U29" s="10">
        <f>SUMIFS($H$2:$H$1780,$J$2:$J$1780,$M29,$K$2:$K$1780,U$18)</f>
        <v>3545.0900000000006</v>
      </c>
      <c r="V29" s="10">
        <f>SUMIFS($H$2:$H$1780,$J$2:$J$1780,$M29,$K$2:$K$1780,V$18)</f>
        <v>3475.6100000000006</v>
      </c>
      <c r="W29" s="10">
        <f>SUMIFS($H$2:$H$1780,$J$2:$J$1780,$M29,$K$2:$K$1780,W$18)</f>
        <v>4115.2699999999995</v>
      </c>
      <c r="X29" s="10">
        <f>SUMIFS($H$2:$H$1780,$J$2:$J$1780,$M29,$K$2:$K$1780,X$18)</f>
        <v>4267.51</v>
      </c>
      <c r="Y29" s="10">
        <f>SUMIFS($H$2:$H$1780,$J$2:$J$1780,$M29,$K$2:$K$1780,Y$18)</f>
        <v>8428.67</v>
      </c>
      <c r="Z29" s="10">
        <f t="shared" si="2"/>
        <v>59457.899999999994</v>
      </c>
    </row>
    <row r="30" spans="1:26">
      <c r="A30" s="7">
        <v>40057</v>
      </c>
      <c r="B30" s="1">
        <v>783.75</v>
      </c>
      <c r="C30" s="1" t="s">
        <v>3</v>
      </c>
      <c r="D30" s="13">
        <f>VALUE(MID(C30,9,3))</f>
        <v>311</v>
      </c>
      <c r="E30" s="14">
        <f>MONTH(A30)</f>
        <v>9</v>
      </c>
      <c r="G30" s="1" t="s">
        <v>131</v>
      </c>
      <c r="H30" s="1">
        <v>13076.52</v>
      </c>
      <c r="I30" s="1" t="s">
        <v>63</v>
      </c>
      <c r="J30" s="13">
        <f>VALUE(MID(I30,1,3))</f>
        <v>110</v>
      </c>
      <c r="K30" s="13">
        <f>VALUE(MID(G30,5,2))</f>
        <v>3</v>
      </c>
      <c r="M30" s="9">
        <v>222</v>
      </c>
      <c r="N30" s="10">
        <f>SUMIFS($H$2:$H$1780,$J$2:$J$1780,$M30,$K$2:$K$1780,N$18)</f>
        <v>912.88</v>
      </c>
      <c r="O30" s="10">
        <f>SUMIFS($H$2:$H$1780,$J$2:$J$1780,$M30,$K$2:$K$1780,O$18)</f>
        <v>1146.0899999999999</v>
      </c>
      <c r="P30" s="10">
        <f>SUMIFS($H$2:$H$1780,$J$2:$J$1780,$M30,$K$2:$K$1780,P$18)</f>
        <v>1137.75</v>
      </c>
      <c r="Q30" s="10">
        <f>SUMIFS($H$2:$H$1780,$J$2:$J$1780,$M30,$K$2:$K$1780,Q$18)</f>
        <v>1434.16</v>
      </c>
      <c r="R30" s="10">
        <f>SUMIFS($H$2:$H$1780,$J$2:$J$1780,$M30,$K$2:$K$1780,R$18)</f>
        <v>1093.67</v>
      </c>
      <c r="S30" s="10">
        <f>SUMIFS($H$2:$H$1780,$J$2:$J$1780,$M30,$K$2:$K$1780,S$18)</f>
        <v>1128.21</v>
      </c>
      <c r="T30" s="10">
        <f>SUMIFS($H$2:$H$1780,$J$2:$J$1780,$M30,$K$2:$K$1780,T$18)</f>
        <v>1243.44</v>
      </c>
      <c r="U30" s="10">
        <f>SUMIFS($H$2:$H$1780,$J$2:$J$1780,$M30,$K$2:$K$1780,U$18)</f>
        <v>1025.75</v>
      </c>
      <c r="V30" s="10">
        <f>SUMIFS($H$2:$H$1780,$J$2:$J$1780,$M30,$K$2:$K$1780,V$18)</f>
        <v>539.84</v>
      </c>
      <c r="W30" s="10">
        <f>SUMIFS($H$2:$H$1780,$J$2:$J$1780,$M30,$K$2:$K$1780,W$18)</f>
        <v>1205.1500000000001</v>
      </c>
      <c r="X30" s="10">
        <f>SUMIFS($H$2:$H$1780,$J$2:$J$1780,$M30,$K$2:$K$1780,X$18)</f>
        <v>978.9</v>
      </c>
      <c r="Y30" s="10">
        <f>SUMIFS($H$2:$H$1780,$J$2:$J$1780,$M30,$K$2:$K$1780,Y$18)</f>
        <v>1010.62</v>
      </c>
      <c r="Z30" s="10">
        <f t="shared" si="2"/>
        <v>12856.460000000001</v>
      </c>
    </row>
    <row r="31" spans="1:26">
      <c r="A31" s="7">
        <v>40057</v>
      </c>
      <c r="B31" s="1">
        <v>1159.95</v>
      </c>
      <c r="C31" s="1" t="s">
        <v>3</v>
      </c>
      <c r="D31" s="13">
        <f>VALUE(MID(C31,9,3))</f>
        <v>311</v>
      </c>
      <c r="E31" s="14">
        <f>MONTH(A31)</f>
        <v>9</v>
      </c>
      <c r="G31" s="1" t="s">
        <v>131</v>
      </c>
      <c r="H31" s="1">
        <v>-823.63</v>
      </c>
      <c r="I31" s="1" t="s">
        <v>63</v>
      </c>
      <c r="J31" s="13">
        <f>VALUE(MID(I31,1,3))</f>
        <v>110</v>
      </c>
      <c r="K31" s="13">
        <f>VALUE(MID(G31,5,2))</f>
        <v>3</v>
      </c>
      <c r="M31" s="9">
        <v>223</v>
      </c>
      <c r="N31" s="10">
        <f>SUMIFS($H$2:$H$1780,$J$2:$J$1780,$M31,$K$2:$K$1780,N$18)</f>
        <v>2519.25</v>
      </c>
      <c r="O31" s="10">
        <f>SUMIFS($H$2:$H$1780,$J$2:$J$1780,$M31,$K$2:$K$1780,O$18)</f>
        <v>674.75999999999988</v>
      </c>
      <c r="P31" s="10">
        <f>SUMIFS($H$2:$H$1780,$J$2:$J$1780,$M31,$K$2:$K$1780,P$18)</f>
        <v>1293.7299999999998</v>
      </c>
      <c r="Q31" s="10">
        <f>SUMIFS($H$2:$H$1780,$J$2:$J$1780,$M31,$K$2:$K$1780,Q$18)</f>
        <v>194.79</v>
      </c>
      <c r="R31" s="10">
        <f>SUMIFS($H$2:$H$1780,$J$2:$J$1780,$M31,$K$2:$K$1780,R$18)</f>
        <v>1327.71</v>
      </c>
      <c r="S31" s="10">
        <f>SUMIFS($H$2:$H$1780,$J$2:$J$1780,$M31,$K$2:$K$1780,S$18)</f>
        <v>2573.5499999999993</v>
      </c>
      <c r="T31" s="10">
        <f>SUMIFS($H$2:$H$1780,$J$2:$J$1780,$M31,$K$2:$K$1780,T$18)</f>
        <v>156.19</v>
      </c>
      <c r="U31" s="10">
        <f>SUMIFS($H$2:$H$1780,$J$2:$J$1780,$M31,$K$2:$K$1780,U$18)</f>
        <v>0</v>
      </c>
      <c r="V31" s="10">
        <f>SUMIFS($H$2:$H$1780,$J$2:$J$1780,$M31,$K$2:$K$1780,V$18)</f>
        <v>1377.28</v>
      </c>
      <c r="W31" s="10">
        <f>SUMIFS($H$2:$H$1780,$J$2:$J$1780,$M31,$K$2:$K$1780,W$18)</f>
        <v>490.55</v>
      </c>
      <c r="X31" s="10">
        <f>SUMIFS($H$2:$H$1780,$J$2:$J$1780,$M31,$K$2:$K$1780,X$18)</f>
        <v>1667.0800000000002</v>
      </c>
      <c r="Y31" s="10">
        <f>SUMIFS($H$2:$H$1780,$J$2:$J$1780,$M31,$K$2:$K$1780,Y$18)</f>
        <v>968.27</v>
      </c>
      <c r="Z31" s="10">
        <f t="shared" si="2"/>
        <v>13243.16</v>
      </c>
    </row>
    <row r="32" spans="1:26">
      <c r="A32" s="7">
        <v>40057</v>
      </c>
      <c r="B32" s="1">
        <v>595.48</v>
      </c>
      <c r="C32" s="1" t="s">
        <v>5</v>
      </c>
      <c r="D32" s="13">
        <f>VALUE(MID(C32,9,3))</f>
        <v>311</v>
      </c>
      <c r="E32" s="14">
        <f>MONTH(A32)</f>
        <v>9</v>
      </c>
      <c r="G32" s="1" t="s">
        <v>131</v>
      </c>
      <c r="H32" s="1">
        <v>31979.62</v>
      </c>
      <c r="I32" s="1" t="s">
        <v>63</v>
      </c>
      <c r="J32" s="13">
        <f>VALUE(MID(I32,1,3))</f>
        <v>110</v>
      </c>
      <c r="K32" s="13">
        <f>VALUE(MID(G32,5,2))</f>
        <v>3</v>
      </c>
      <c r="M32" s="9">
        <v>224</v>
      </c>
      <c r="N32" s="10">
        <f>SUMIFS($H$2:$H$1780,$J$2:$J$1780,$M32,$K$2:$K$1780,N$18)</f>
        <v>468.01</v>
      </c>
      <c r="O32" s="10">
        <f>SUMIFS($H$2:$H$1780,$J$2:$J$1780,$M32,$K$2:$K$1780,O$18)</f>
        <v>7624.51</v>
      </c>
      <c r="P32" s="10">
        <f>SUMIFS($H$2:$H$1780,$J$2:$J$1780,$M32,$K$2:$K$1780,P$18)</f>
        <v>0</v>
      </c>
      <c r="Q32" s="10">
        <f>SUMIFS($H$2:$H$1780,$J$2:$J$1780,$M32,$K$2:$K$1780,Q$18)</f>
        <v>0</v>
      </c>
      <c r="R32" s="10">
        <f>SUMIFS($H$2:$H$1780,$J$2:$J$1780,$M32,$K$2:$K$1780,R$18)</f>
        <v>652.01</v>
      </c>
      <c r="S32" s="10">
        <f>SUMIFS($H$2:$H$1780,$J$2:$J$1780,$M32,$K$2:$K$1780,S$18)</f>
        <v>1092</v>
      </c>
      <c r="T32" s="10">
        <f>SUMIFS($H$2:$H$1780,$J$2:$J$1780,$M32,$K$2:$K$1780,T$18)</f>
        <v>3416.04</v>
      </c>
      <c r="U32" s="10">
        <f>SUMIFS($H$2:$H$1780,$J$2:$J$1780,$M32,$K$2:$K$1780,U$18)</f>
        <v>0</v>
      </c>
      <c r="V32" s="10">
        <f>SUMIFS($H$2:$H$1780,$J$2:$J$1780,$M32,$K$2:$K$1780,V$18)</f>
        <v>0</v>
      </c>
      <c r="W32" s="10">
        <f>SUMIFS($H$2:$H$1780,$J$2:$J$1780,$M32,$K$2:$K$1780,W$18)</f>
        <v>4626.42</v>
      </c>
      <c r="X32" s="10">
        <f>SUMIFS($H$2:$H$1780,$J$2:$J$1780,$M32,$K$2:$K$1780,X$18)</f>
        <v>28</v>
      </c>
      <c r="Y32" s="10">
        <f>SUMIFS($H$2:$H$1780,$J$2:$J$1780,$M32,$K$2:$K$1780,Y$18)</f>
        <v>79.510000000000005</v>
      </c>
      <c r="Z32" s="10">
        <f t="shared" si="2"/>
        <v>17986.499999999996</v>
      </c>
    </row>
    <row r="33" spans="1:26">
      <c r="A33" s="7">
        <v>40057</v>
      </c>
      <c r="B33" s="1">
        <v>414.46</v>
      </c>
      <c r="C33" s="1" t="s">
        <v>6</v>
      </c>
      <c r="D33" s="13">
        <f>VALUE(MID(C33,9,3))</f>
        <v>311</v>
      </c>
      <c r="E33" s="14">
        <f>MONTH(A33)</f>
        <v>9</v>
      </c>
      <c r="G33" s="1" t="s">
        <v>131</v>
      </c>
      <c r="H33" s="1">
        <v>12342.79</v>
      </c>
      <c r="I33" s="1" t="s">
        <v>63</v>
      </c>
      <c r="J33" s="13">
        <f>VALUE(MID(I33,1,3))</f>
        <v>110</v>
      </c>
      <c r="K33" s="13">
        <f>VALUE(MID(G33,5,2))</f>
        <v>3</v>
      </c>
      <c r="M33" s="9">
        <v>226</v>
      </c>
      <c r="N33" s="10">
        <f>SUMIFS($H$2:$H$1780,$J$2:$J$1780,$M33,$K$2:$K$1780,N$18)</f>
        <v>2165.3100000000004</v>
      </c>
      <c r="O33" s="10">
        <f>SUMIFS($H$2:$H$1780,$J$2:$J$1780,$M33,$K$2:$K$1780,O$18)</f>
        <v>3505.98</v>
      </c>
      <c r="P33" s="10">
        <f>SUMIFS($H$2:$H$1780,$J$2:$J$1780,$M33,$K$2:$K$1780,P$18)</f>
        <v>3691.2700000000004</v>
      </c>
      <c r="Q33" s="10">
        <f>SUMIFS($H$2:$H$1780,$J$2:$J$1780,$M33,$K$2:$K$1780,Q$18)</f>
        <v>5105.7299999999996</v>
      </c>
      <c r="R33" s="10">
        <f>SUMIFS($H$2:$H$1780,$J$2:$J$1780,$M33,$K$2:$K$1780,R$18)</f>
        <v>18710.519999999997</v>
      </c>
      <c r="S33" s="10">
        <f>SUMIFS($H$2:$H$1780,$J$2:$J$1780,$M33,$K$2:$K$1780,S$18)</f>
        <v>8754.7599999999984</v>
      </c>
      <c r="T33" s="10">
        <f>SUMIFS($H$2:$H$1780,$J$2:$J$1780,$M33,$K$2:$K$1780,T$18)</f>
        <v>3812.52</v>
      </c>
      <c r="U33" s="10">
        <f>SUMIFS($H$2:$H$1780,$J$2:$J$1780,$M33,$K$2:$K$1780,U$18)</f>
        <v>0</v>
      </c>
      <c r="V33" s="10">
        <f>SUMIFS($H$2:$H$1780,$J$2:$J$1780,$M33,$K$2:$K$1780,V$18)</f>
        <v>1627.71</v>
      </c>
      <c r="W33" s="10">
        <f>SUMIFS($H$2:$H$1780,$J$2:$J$1780,$M33,$K$2:$K$1780,W$18)</f>
        <v>1669.28</v>
      </c>
      <c r="X33" s="10">
        <f>SUMIFS($H$2:$H$1780,$J$2:$J$1780,$M33,$K$2:$K$1780,X$18)</f>
        <v>6172.5999999999995</v>
      </c>
      <c r="Y33" s="10">
        <f>SUMIFS($H$2:$H$1780,$J$2:$J$1780,$M33,$K$2:$K$1780,Y$18)</f>
        <v>555.71999999999991</v>
      </c>
      <c r="Z33" s="10">
        <f t="shared" si="2"/>
        <v>55771.399999999987</v>
      </c>
    </row>
    <row r="34" spans="1:26">
      <c r="A34" s="7">
        <v>40087</v>
      </c>
      <c r="B34" s="1">
        <v>489.75</v>
      </c>
      <c r="C34" s="1" t="s">
        <v>9</v>
      </c>
      <c r="D34" s="13">
        <f>VALUE(MID(C34,9,3))</f>
        <v>311</v>
      </c>
      <c r="E34" s="14">
        <f>MONTH(A34)</f>
        <v>10</v>
      </c>
      <c r="G34" s="1" t="s">
        <v>131</v>
      </c>
      <c r="H34" s="1">
        <v>1781.67</v>
      </c>
      <c r="I34" s="1" t="s">
        <v>67</v>
      </c>
      <c r="J34" s="13">
        <f>VALUE(MID(I34,1,3))</f>
        <v>110</v>
      </c>
      <c r="K34" s="13">
        <f>VALUE(MID(G34,5,2))</f>
        <v>3</v>
      </c>
      <c r="M34" s="9">
        <v>227</v>
      </c>
      <c r="N34" s="10">
        <f>SUMIFS($H$2:$H$1780,$J$2:$J$1780,$M34,$K$2:$K$1780,N$18)</f>
        <v>187078.12</v>
      </c>
      <c r="O34" s="10">
        <f>SUMIFS($H$2:$H$1780,$J$2:$J$1780,$M34,$K$2:$K$1780,O$18)</f>
        <v>36848.35</v>
      </c>
      <c r="P34" s="10">
        <f>SUMIFS($H$2:$H$1780,$J$2:$J$1780,$M34,$K$2:$K$1780,P$18)</f>
        <v>26758.109999999997</v>
      </c>
      <c r="Q34" s="10">
        <f>SUMIFS($H$2:$H$1780,$J$2:$J$1780,$M34,$K$2:$K$1780,Q$18)</f>
        <v>26194.02</v>
      </c>
      <c r="R34" s="10">
        <f>SUMIFS($H$2:$H$1780,$J$2:$J$1780,$M34,$K$2:$K$1780,R$18)</f>
        <v>27469.200000000004</v>
      </c>
      <c r="S34" s="10">
        <f>SUMIFS($H$2:$H$1780,$J$2:$J$1780,$M34,$K$2:$K$1780,S$18)</f>
        <v>17133.379999999997</v>
      </c>
      <c r="T34" s="10">
        <f>SUMIFS($H$2:$H$1780,$J$2:$J$1780,$M34,$K$2:$K$1780,T$18)</f>
        <v>17293.149999999998</v>
      </c>
      <c r="U34" s="10">
        <f>SUMIFS($H$2:$H$1780,$J$2:$J$1780,$M34,$K$2:$K$1780,U$18)</f>
        <v>0</v>
      </c>
      <c r="V34" s="10">
        <f>SUMIFS($H$2:$H$1780,$J$2:$J$1780,$M34,$K$2:$K$1780,V$18)</f>
        <v>223171.87</v>
      </c>
      <c r="W34" s="10">
        <f>SUMIFS($H$2:$H$1780,$J$2:$J$1780,$M34,$K$2:$K$1780,W$18)</f>
        <v>31504.119999999995</v>
      </c>
      <c r="X34" s="10">
        <f>SUMIFS($H$2:$H$1780,$J$2:$J$1780,$M34,$K$2:$K$1780,X$18)</f>
        <v>29108.210000000006</v>
      </c>
      <c r="Y34" s="10">
        <f>SUMIFS($H$2:$H$1780,$J$2:$J$1780,$M34,$K$2:$K$1780,Y$18)</f>
        <v>40842.519999999982</v>
      </c>
      <c r="Z34" s="10">
        <f t="shared" si="2"/>
        <v>663401.04999999993</v>
      </c>
    </row>
    <row r="35" spans="1:26">
      <c r="A35" s="7">
        <v>40087</v>
      </c>
      <c r="B35" s="1">
        <v>575</v>
      </c>
      <c r="C35" s="1" t="s">
        <v>17</v>
      </c>
      <c r="D35" s="13">
        <f>VALUE(MID(C35,9,3))</f>
        <v>311</v>
      </c>
      <c r="E35" s="14">
        <f>MONTH(A35)</f>
        <v>10</v>
      </c>
      <c r="G35" s="1" t="s">
        <v>131</v>
      </c>
      <c r="H35" s="1">
        <v>948.89</v>
      </c>
      <c r="I35" s="1" t="s">
        <v>67</v>
      </c>
      <c r="J35" s="13">
        <f>VALUE(MID(I35,1,3))</f>
        <v>110</v>
      </c>
      <c r="K35" s="13">
        <f>VALUE(MID(G35,5,2))</f>
        <v>3</v>
      </c>
      <c r="M35" s="9">
        <v>230</v>
      </c>
      <c r="N35" s="10">
        <f>SUMIFS($H$2:$H$1780,$J$2:$J$1780,$M35,$K$2:$K$1780,N$18)</f>
        <v>0</v>
      </c>
      <c r="O35" s="10">
        <f>SUMIFS($H$2:$H$1780,$J$2:$J$1780,$M35,$K$2:$K$1780,O$18)</f>
        <v>0</v>
      </c>
      <c r="P35" s="10">
        <f>SUMIFS($H$2:$H$1780,$J$2:$J$1780,$M35,$K$2:$K$1780,P$18)</f>
        <v>0</v>
      </c>
      <c r="Q35" s="10">
        <f>SUMIFS($H$2:$H$1780,$J$2:$J$1780,$M35,$K$2:$K$1780,Q$18)</f>
        <v>0</v>
      </c>
      <c r="R35" s="10">
        <f>SUMIFS($H$2:$H$1780,$J$2:$J$1780,$M35,$K$2:$K$1780,R$18)</f>
        <v>0</v>
      </c>
      <c r="S35" s="10">
        <f>SUMIFS($H$2:$H$1780,$J$2:$J$1780,$M35,$K$2:$K$1780,S$18)</f>
        <v>463.21000000000004</v>
      </c>
      <c r="T35" s="10">
        <f>SUMIFS($H$2:$H$1780,$J$2:$J$1780,$M35,$K$2:$K$1780,T$18)</f>
        <v>485.5</v>
      </c>
      <c r="U35" s="10">
        <f>SUMIFS($H$2:$H$1780,$J$2:$J$1780,$M35,$K$2:$K$1780,U$18)</f>
        <v>0</v>
      </c>
      <c r="V35" s="10">
        <f>SUMIFS($H$2:$H$1780,$J$2:$J$1780,$M35,$K$2:$K$1780,V$18)</f>
        <v>153.91</v>
      </c>
      <c r="W35" s="10">
        <f>SUMIFS($H$2:$H$1780,$J$2:$J$1780,$M35,$K$2:$K$1780,W$18)</f>
        <v>630.04</v>
      </c>
      <c r="X35" s="10">
        <f>SUMIFS($H$2:$H$1780,$J$2:$J$1780,$M35,$K$2:$K$1780,X$18)</f>
        <v>283.79000000000002</v>
      </c>
      <c r="Y35" s="10">
        <f>SUMIFS($H$2:$H$1780,$J$2:$J$1780,$M35,$K$2:$K$1780,Y$18)</f>
        <v>61.1</v>
      </c>
      <c r="Z35" s="10">
        <f t="shared" si="2"/>
        <v>2077.5500000000002</v>
      </c>
    </row>
    <row r="36" spans="1:26">
      <c r="A36" s="7">
        <v>40087</v>
      </c>
      <c r="B36" s="1">
        <v>575</v>
      </c>
      <c r="C36" s="1" t="s">
        <v>17</v>
      </c>
      <c r="D36" s="13">
        <f>VALUE(MID(C36,9,3))</f>
        <v>311</v>
      </c>
      <c r="E36" s="14">
        <f>MONTH(A36)</f>
        <v>10</v>
      </c>
      <c r="G36" s="1" t="s">
        <v>131</v>
      </c>
      <c r="H36" s="1">
        <v>-225.36</v>
      </c>
      <c r="I36" s="1" t="s">
        <v>67</v>
      </c>
      <c r="J36" s="13">
        <f>VALUE(MID(I36,1,3))</f>
        <v>110</v>
      </c>
      <c r="K36" s="13">
        <f>VALUE(MID(G36,5,2))</f>
        <v>3</v>
      </c>
      <c r="M36" s="9">
        <v>231</v>
      </c>
      <c r="N36" s="10">
        <f>SUMIFS($H$2:$H$1780,$J$2:$J$1780,$M36,$K$2:$K$1780,N$18)</f>
        <v>324.40999999999997</v>
      </c>
      <c r="O36" s="10">
        <f>SUMIFS($H$2:$H$1780,$J$2:$J$1780,$M36,$K$2:$K$1780,O$18)</f>
        <v>2.8</v>
      </c>
      <c r="P36" s="10">
        <f>SUMIFS($H$2:$H$1780,$J$2:$J$1780,$M36,$K$2:$K$1780,P$18)</f>
        <v>15.45</v>
      </c>
      <c r="Q36" s="10">
        <f>SUMIFS($H$2:$H$1780,$J$2:$J$1780,$M36,$K$2:$K$1780,Q$18)</f>
        <v>35.1</v>
      </c>
      <c r="R36" s="10">
        <f>SUMIFS($H$2:$H$1780,$J$2:$J$1780,$M36,$K$2:$K$1780,R$18)</f>
        <v>417.42</v>
      </c>
      <c r="S36" s="10">
        <f>SUMIFS($H$2:$H$1780,$J$2:$J$1780,$M36,$K$2:$K$1780,S$18)</f>
        <v>1838.2900000000002</v>
      </c>
      <c r="T36" s="10">
        <f>SUMIFS($H$2:$H$1780,$J$2:$J$1780,$M36,$K$2:$K$1780,T$18)</f>
        <v>2554.6400000000003</v>
      </c>
      <c r="U36" s="10">
        <f>SUMIFS($H$2:$H$1780,$J$2:$J$1780,$M36,$K$2:$K$1780,U$18)</f>
        <v>0</v>
      </c>
      <c r="V36" s="10">
        <f>SUMIFS($H$2:$H$1780,$J$2:$J$1780,$M36,$K$2:$K$1780,V$18)</f>
        <v>1033.58</v>
      </c>
      <c r="W36" s="10">
        <f>SUMIFS($H$2:$H$1780,$J$2:$J$1780,$M36,$K$2:$K$1780,W$18)</f>
        <v>1912.9100000000003</v>
      </c>
      <c r="X36" s="10">
        <f>SUMIFS($H$2:$H$1780,$J$2:$J$1780,$M36,$K$2:$K$1780,X$18)</f>
        <v>1226.3000000000002</v>
      </c>
      <c r="Y36" s="10">
        <f>SUMIFS($H$2:$H$1780,$J$2:$J$1780,$M36,$K$2:$K$1780,Y$18)</f>
        <v>854.13</v>
      </c>
      <c r="Z36" s="10">
        <f t="shared" si="2"/>
        <v>10215.030000000001</v>
      </c>
    </row>
    <row r="37" spans="1:26">
      <c r="A37" s="7">
        <v>40087</v>
      </c>
      <c r="B37" s="1">
        <v>287.5</v>
      </c>
      <c r="C37" s="1" t="s">
        <v>17</v>
      </c>
      <c r="D37" s="13">
        <f>VALUE(MID(C37,9,3))</f>
        <v>311</v>
      </c>
      <c r="E37" s="14">
        <f>MONTH(A37)</f>
        <v>10</v>
      </c>
      <c r="G37" s="1" t="s">
        <v>131</v>
      </c>
      <c r="H37" s="1">
        <v>4137.8500000000004</v>
      </c>
      <c r="I37" s="1" t="s">
        <v>67</v>
      </c>
      <c r="J37" s="13">
        <f>VALUE(MID(I37,1,3))</f>
        <v>110</v>
      </c>
      <c r="K37" s="13">
        <f>VALUE(MID(G37,5,2))</f>
        <v>3</v>
      </c>
      <c r="M37" s="9">
        <v>249</v>
      </c>
      <c r="N37" s="10">
        <f>SUMIFS($H$2:$H$1780,$J$2:$J$1780,$M37,$K$2:$K$1780,N$18)</f>
        <v>0</v>
      </c>
      <c r="O37" s="10">
        <f>SUMIFS($H$2:$H$1780,$J$2:$J$1780,$M37,$K$2:$K$1780,O$18)</f>
        <v>0</v>
      </c>
      <c r="P37" s="10">
        <f>SUMIFS($H$2:$H$1780,$J$2:$J$1780,$M37,$K$2:$K$1780,P$18)</f>
        <v>0</v>
      </c>
      <c r="Q37" s="10">
        <f>SUMIFS($H$2:$H$1780,$J$2:$J$1780,$M37,$K$2:$K$1780,Q$18)</f>
        <v>0</v>
      </c>
      <c r="R37" s="10">
        <f>SUMIFS($H$2:$H$1780,$J$2:$J$1780,$M37,$K$2:$K$1780,R$18)</f>
        <v>0</v>
      </c>
      <c r="S37" s="10">
        <f>SUMIFS($H$2:$H$1780,$J$2:$J$1780,$M37,$K$2:$K$1780,S$18)</f>
        <v>0</v>
      </c>
      <c r="T37" s="10">
        <f>SUMIFS($H$2:$H$1780,$J$2:$J$1780,$M37,$K$2:$K$1780,T$18)</f>
        <v>0</v>
      </c>
      <c r="U37" s="10">
        <f>SUMIFS($H$2:$H$1780,$J$2:$J$1780,$M37,$K$2:$K$1780,U$18)</f>
        <v>0</v>
      </c>
      <c r="V37" s="10">
        <f>SUMIFS($H$2:$H$1780,$J$2:$J$1780,$M37,$K$2:$K$1780,V$18)</f>
        <v>0</v>
      </c>
      <c r="W37" s="10">
        <f>SUMIFS($H$2:$H$1780,$J$2:$J$1780,$M37,$K$2:$K$1780,W$18)</f>
        <v>0</v>
      </c>
      <c r="X37" s="10">
        <f>SUMIFS($H$2:$H$1780,$J$2:$J$1780,$M37,$K$2:$K$1780,X$18)</f>
        <v>0</v>
      </c>
      <c r="Y37" s="10">
        <f>SUMIFS($H$2:$H$1780,$J$2:$J$1780,$M37,$K$2:$K$1780,Y$18)</f>
        <v>0</v>
      </c>
      <c r="Z37" s="10">
        <f t="shared" si="2"/>
        <v>0</v>
      </c>
    </row>
    <row r="38" spans="1:26">
      <c r="A38" s="7">
        <v>40087</v>
      </c>
      <c r="B38" s="1">
        <v>575</v>
      </c>
      <c r="C38" s="1" t="s">
        <v>17</v>
      </c>
      <c r="D38" s="13">
        <f>VALUE(MID(C38,9,3))</f>
        <v>311</v>
      </c>
      <c r="E38" s="14">
        <f>MONTH(A38)</f>
        <v>10</v>
      </c>
      <c r="G38" s="1" t="s">
        <v>131</v>
      </c>
      <c r="H38" s="1">
        <v>466.9</v>
      </c>
      <c r="I38" s="1" t="s">
        <v>67</v>
      </c>
      <c r="J38" s="13">
        <f>VALUE(MID(I38,1,3))</f>
        <v>110</v>
      </c>
      <c r="K38" s="13">
        <f>VALUE(MID(G38,5,2))</f>
        <v>3</v>
      </c>
      <c r="M38" s="9">
        <v>482</v>
      </c>
      <c r="N38" s="10">
        <f>SUMIFS($H$2:$H$1780,$J$2:$J$1780,$M38,$K$2:$K$1780,N$18)</f>
        <v>22510.16</v>
      </c>
      <c r="O38" s="10">
        <f>SUMIFS($H$2:$H$1780,$J$2:$J$1780,$M38,$K$2:$K$1780,O$18)</f>
        <v>0</v>
      </c>
      <c r="P38" s="10">
        <f>SUMIFS($H$2:$H$1780,$J$2:$J$1780,$M38,$K$2:$K$1780,P$18)</f>
        <v>23727.390000000003</v>
      </c>
      <c r="Q38" s="10">
        <f>SUMIFS($H$2:$H$1780,$J$2:$J$1780,$M38,$K$2:$K$1780,Q$18)</f>
        <v>1213.23</v>
      </c>
      <c r="R38" s="10">
        <f>SUMIFS($H$2:$H$1780,$J$2:$J$1780,$M38,$K$2:$K$1780,R$18)</f>
        <v>1400</v>
      </c>
      <c r="S38" s="10">
        <f>SUMIFS($H$2:$H$1780,$J$2:$J$1780,$M38,$K$2:$K$1780,S$18)</f>
        <v>435.73</v>
      </c>
      <c r="T38" s="10">
        <f>SUMIFS($H$2:$H$1780,$J$2:$J$1780,$M38,$K$2:$K$1780,T$18)</f>
        <v>960</v>
      </c>
      <c r="U38" s="10">
        <f>SUMIFS($H$2:$H$1780,$J$2:$J$1780,$M38,$K$2:$K$1780,U$18)</f>
        <v>0</v>
      </c>
      <c r="V38" s="10">
        <f>SUMIFS($H$2:$H$1780,$J$2:$J$1780,$M38,$K$2:$K$1780,V$18)</f>
        <v>958.23</v>
      </c>
      <c r="W38" s="10">
        <f>SUMIFS($H$2:$H$1780,$J$2:$J$1780,$M38,$K$2:$K$1780,W$18)</f>
        <v>1958.23</v>
      </c>
      <c r="X38" s="10">
        <f>SUMIFS($H$2:$H$1780,$J$2:$J$1780,$M38,$K$2:$K$1780,X$18)</f>
        <v>1154.3800000000001</v>
      </c>
      <c r="Y38" s="10">
        <f>SUMIFS($H$2:$H$1780,$J$2:$J$1780,$M38,$K$2:$K$1780,Y$18)</f>
        <v>18000</v>
      </c>
      <c r="Z38" s="10">
        <f t="shared" si="2"/>
        <v>72317.350000000006</v>
      </c>
    </row>
    <row r="39" spans="1:26">
      <c r="A39" s="7">
        <v>40087</v>
      </c>
      <c r="B39" s="1">
        <v>287.5</v>
      </c>
      <c r="C39" s="1" t="s">
        <v>17</v>
      </c>
      <c r="D39" s="13">
        <f>VALUE(MID(C39,9,3))</f>
        <v>311</v>
      </c>
      <c r="E39" s="14">
        <f>MONTH(A39)</f>
        <v>10</v>
      </c>
      <c r="G39" s="1" t="s">
        <v>149</v>
      </c>
      <c r="H39" s="1">
        <v>20075.21</v>
      </c>
      <c r="I39" s="1" t="s">
        <v>63</v>
      </c>
      <c r="J39" s="13">
        <f>VALUE(MID(I39,1,3))</f>
        <v>110</v>
      </c>
      <c r="K39" s="13">
        <f>VALUE(MID(G39,5,2))</f>
        <v>4</v>
      </c>
      <c r="M39" s="9">
        <v>602</v>
      </c>
      <c r="N39" s="10">
        <f>SUMIFS($H$2:$H$1780,$J$2:$J$1780,$M39,$K$2:$K$1780,N$18)</f>
        <v>0</v>
      </c>
      <c r="O39" s="10">
        <f>SUMIFS($H$2:$H$1780,$J$2:$J$1780,$M39,$K$2:$K$1780,O$18)</f>
        <v>0</v>
      </c>
      <c r="P39" s="10">
        <f>SUMIFS($H$2:$H$1780,$J$2:$J$1780,$M39,$K$2:$K$1780,P$18)</f>
        <v>0</v>
      </c>
      <c r="Q39" s="10">
        <f>SUMIFS($H$2:$H$1780,$J$2:$J$1780,$M39,$K$2:$K$1780,Q$18)</f>
        <v>0</v>
      </c>
      <c r="R39" s="10">
        <f>SUMIFS($H$2:$H$1780,$J$2:$J$1780,$M39,$K$2:$K$1780,R$18)</f>
        <v>0</v>
      </c>
      <c r="S39" s="10">
        <f>SUMIFS($H$2:$H$1780,$J$2:$J$1780,$M39,$K$2:$K$1780,S$18)</f>
        <v>0</v>
      </c>
      <c r="T39" s="10">
        <f>SUMIFS($H$2:$H$1780,$J$2:$J$1780,$M39,$K$2:$K$1780,T$18)</f>
        <v>0</v>
      </c>
      <c r="U39" s="10">
        <f>SUMIFS($H$2:$H$1780,$J$2:$J$1780,$M39,$K$2:$K$1780,U$18)</f>
        <v>0</v>
      </c>
      <c r="V39" s="10">
        <f>SUMIFS($H$2:$H$1780,$J$2:$J$1780,$M39,$K$2:$K$1780,V$18)</f>
        <v>0</v>
      </c>
      <c r="W39" s="10">
        <f>SUMIFS($H$2:$H$1780,$J$2:$J$1780,$M39,$K$2:$K$1780,W$18)</f>
        <v>0</v>
      </c>
      <c r="X39" s="10">
        <f>SUMIFS($H$2:$H$1780,$J$2:$J$1780,$M39,$K$2:$K$1780,X$18)</f>
        <v>0</v>
      </c>
      <c r="Y39" s="10">
        <f>SUMIFS($H$2:$H$1780,$J$2:$J$1780,$M39,$K$2:$K$1780,Y$18)</f>
        <v>0</v>
      </c>
      <c r="Z39" s="10">
        <f t="shared" si="2"/>
        <v>0</v>
      </c>
    </row>
    <row r="40" spans="1:26">
      <c r="A40" s="7">
        <v>40087</v>
      </c>
      <c r="B40" s="1">
        <v>65</v>
      </c>
      <c r="C40" s="1" t="s">
        <v>18</v>
      </c>
      <c r="D40" s="13">
        <f>VALUE(MID(C40,9,3))</f>
        <v>311</v>
      </c>
      <c r="E40" s="14">
        <f>MONTH(A40)</f>
        <v>10</v>
      </c>
      <c r="G40" s="1" t="s">
        <v>149</v>
      </c>
      <c r="H40" s="1">
        <v>12521.45</v>
      </c>
      <c r="I40" s="1" t="s">
        <v>63</v>
      </c>
      <c r="J40" s="13">
        <f>VALUE(MID(I40,1,3))</f>
        <v>110</v>
      </c>
      <c r="K40" s="13">
        <f>VALUE(MID(G40,5,2))</f>
        <v>4</v>
      </c>
      <c r="M40" s="9">
        <v>605</v>
      </c>
      <c r="N40" s="10">
        <f>SUMIFS($H$2:$H$1780,$J$2:$J$1780,$M40,$K$2:$K$1780,N$18)</f>
        <v>20025.21</v>
      </c>
      <c r="O40" s="10">
        <f>SUMIFS($H$2:$H$1780,$J$2:$J$1780,$M40,$K$2:$K$1780,O$18)</f>
        <v>0</v>
      </c>
      <c r="P40" s="10">
        <f>SUMIFS($H$2:$H$1780,$J$2:$J$1780,$M40,$K$2:$K$1780,P$18)</f>
        <v>712.4</v>
      </c>
      <c r="Q40" s="10">
        <f>SUMIFS($H$2:$H$1780,$J$2:$J$1780,$M40,$K$2:$K$1780,Q$18)</f>
        <v>1399.42</v>
      </c>
      <c r="R40" s="10">
        <f>SUMIFS($H$2:$H$1780,$J$2:$J$1780,$M40,$K$2:$K$1780,R$18)</f>
        <v>640</v>
      </c>
      <c r="S40" s="10">
        <f>SUMIFS($H$2:$H$1780,$J$2:$J$1780,$M40,$K$2:$K$1780,S$18)</f>
        <v>9395</v>
      </c>
      <c r="T40" s="10">
        <f>SUMIFS($H$2:$H$1780,$J$2:$J$1780,$M40,$K$2:$K$1780,T$18)</f>
        <v>195</v>
      </c>
      <c r="U40" s="10">
        <f>SUMIFS($H$2:$H$1780,$J$2:$J$1780,$M40,$K$2:$K$1780,U$18)</f>
        <v>0</v>
      </c>
      <c r="V40" s="10">
        <f>SUMIFS($H$2:$H$1780,$J$2:$J$1780,$M40,$K$2:$K$1780,V$18)</f>
        <v>0</v>
      </c>
      <c r="W40" s="10">
        <f>SUMIFS($H$2:$H$1780,$J$2:$J$1780,$M40,$K$2:$K$1780,W$18)</f>
        <v>8839.7200000000012</v>
      </c>
      <c r="X40" s="10">
        <f>SUMIFS($H$2:$H$1780,$J$2:$J$1780,$M40,$K$2:$K$1780,X$18)</f>
        <v>5939.67</v>
      </c>
      <c r="Y40" s="10">
        <f>SUMIFS($H$2:$H$1780,$J$2:$J$1780,$M40,$K$2:$K$1780,Y$18)</f>
        <v>1501.8600000000001</v>
      </c>
      <c r="Z40" s="10">
        <f t="shared" si="2"/>
        <v>48648.28</v>
      </c>
    </row>
    <row r="41" spans="1:26">
      <c r="A41" s="7">
        <v>40087</v>
      </c>
      <c r="B41" s="1">
        <v>50</v>
      </c>
      <c r="C41" s="1" t="s">
        <v>19</v>
      </c>
      <c r="D41" s="13">
        <f>VALUE(MID(C41,9,3))</f>
        <v>311</v>
      </c>
      <c r="E41" s="14">
        <f>MONTH(A41)</f>
        <v>10</v>
      </c>
      <c r="G41" s="1" t="s">
        <v>149</v>
      </c>
      <c r="H41" s="1">
        <v>-1685.59</v>
      </c>
      <c r="I41" s="1" t="s">
        <v>63</v>
      </c>
      <c r="J41" s="13">
        <f>VALUE(MID(I41,1,3))</f>
        <v>110</v>
      </c>
      <c r="K41" s="13">
        <f>VALUE(MID(G41,5,2))</f>
        <v>4</v>
      </c>
      <c r="M41" s="9">
        <v>606</v>
      </c>
      <c r="N41" s="10">
        <f>SUMIFS($H$2:$H$1780,$J$2:$J$1780,$M41,$K$2:$K$1780,N$18)</f>
        <v>0</v>
      </c>
      <c r="O41" s="10">
        <f>SUMIFS($H$2:$H$1780,$J$2:$J$1780,$M41,$K$2:$K$1780,O$18)</f>
        <v>359.99</v>
      </c>
      <c r="P41" s="10">
        <f>SUMIFS($H$2:$H$1780,$J$2:$J$1780,$M41,$K$2:$K$1780,P$18)</f>
        <v>0</v>
      </c>
      <c r="Q41" s="10">
        <f>SUMIFS($H$2:$H$1780,$J$2:$J$1780,$M41,$K$2:$K$1780,Q$18)</f>
        <v>1100</v>
      </c>
      <c r="R41" s="10">
        <f>SUMIFS($H$2:$H$1780,$J$2:$J$1780,$M41,$K$2:$K$1780,R$18)</f>
        <v>0</v>
      </c>
      <c r="S41" s="10">
        <f>SUMIFS($H$2:$H$1780,$J$2:$J$1780,$M41,$K$2:$K$1780,S$18)</f>
        <v>491.67</v>
      </c>
      <c r="T41" s="10">
        <f>SUMIFS($H$2:$H$1780,$J$2:$J$1780,$M41,$K$2:$K$1780,T$18)</f>
        <v>668.56</v>
      </c>
      <c r="U41" s="10">
        <f>SUMIFS($H$2:$H$1780,$J$2:$J$1780,$M41,$K$2:$K$1780,U$18)</f>
        <v>0</v>
      </c>
      <c r="V41" s="10">
        <f>SUMIFS($H$2:$H$1780,$J$2:$J$1780,$M41,$K$2:$K$1780,V$18)</f>
        <v>651.33000000000004</v>
      </c>
      <c r="W41" s="10">
        <f>SUMIFS($H$2:$H$1780,$J$2:$J$1780,$M41,$K$2:$K$1780,W$18)</f>
        <v>5326.4</v>
      </c>
      <c r="X41" s="10">
        <f>SUMIFS($H$2:$H$1780,$J$2:$J$1780,$M41,$K$2:$K$1780,X$18)</f>
        <v>7785.26</v>
      </c>
      <c r="Y41" s="10">
        <f>SUMIFS($H$2:$H$1780,$J$2:$J$1780,$M41,$K$2:$K$1780,Y$18)</f>
        <v>3769.8</v>
      </c>
      <c r="Z41" s="10">
        <f t="shared" si="2"/>
        <v>20153.010000000002</v>
      </c>
    </row>
    <row r="42" spans="1:26">
      <c r="A42" s="7">
        <v>40087</v>
      </c>
      <c r="B42" s="1">
        <v>300</v>
      </c>
      <c r="C42" s="1" t="s">
        <v>20</v>
      </c>
      <c r="D42" s="13">
        <f>VALUE(MID(C42,9,3))</f>
        <v>311</v>
      </c>
      <c r="E42" s="14">
        <f>MONTH(A42)</f>
        <v>10</v>
      </c>
      <c r="G42" s="1" t="s">
        <v>149</v>
      </c>
      <c r="H42" s="1">
        <v>33390</v>
      </c>
      <c r="I42" s="1" t="s">
        <v>63</v>
      </c>
      <c r="J42" s="13">
        <f>VALUE(MID(I42,1,3))</f>
        <v>110</v>
      </c>
      <c r="K42" s="13">
        <f>VALUE(MID(G42,5,2))</f>
        <v>4</v>
      </c>
      <c r="M42" s="9">
        <v>640</v>
      </c>
      <c r="N42" s="10">
        <f>SUMIFS($H$2:$H$1780,$J$2:$J$1780,$M42,$K$2:$K$1780,N$18)</f>
        <v>7150</v>
      </c>
      <c r="O42" s="10">
        <f>SUMIFS($H$2:$H$1780,$J$2:$J$1780,$M42,$K$2:$K$1780,O$18)</f>
        <v>0</v>
      </c>
      <c r="P42" s="10">
        <f>SUMIFS($H$2:$H$1780,$J$2:$J$1780,$M42,$K$2:$K$1780,P$18)</f>
        <v>163.9</v>
      </c>
      <c r="Q42" s="10">
        <f>SUMIFS($H$2:$H$1780,$J$2:$J$1780,$M42,$K$2:$K$1780,Q$18)</f>
        <v>145</v>
      </c>
      <c r="R42" s="10">
        <f>SUMIFS($H$2:$H$1780,$J$2:$J$1780,$M42,$K$2:$K$1780,R$18)</f>
        <v>6194.99</v>
      </c>
      <c r="S42" s="10">
        <f>SUMIFS($H$2:$H$1780,$J$2:$J$1780,$M42,$K$2:$K$1780,S$18)</f>
        <v>1804.27</v>
      </c>
      <c r="T42" s="10">
        <f>SUMIFS($H$2:$H$1780,$J$2:$J$1780,$M42,$K$2:$K$1780,T$18)</f>
        <v>879.2</v>
      </c>
      <c r="U42" s="10">
        <f>SUMIFS($H$2:$H$1780,$J$2:$J$1780,$M42,$K$2:$K$1780,U$18)</f>
        <v>0</v>
      </c>
      <c r="V42" s="10">
        <f>SUMIFS($H$2:$H$1780,$J$2:$J$1780,$M42,$K$2:$K$1780,V$18)</f>
        <v>31879.72</v>
      </c>
      <c r="W42" s="10">
        <f>SUMIFS($H$2:$H$1780,$J$2:$J$1780,$M42,$K$2:$K$1780,W$18)</f>
        <v>880</v>
      </c>
      <c r="X42" s="10">
        <f>SUMIFS($H$2:$H$1780,$J$2:$J$1780,$M42,$K$2:$K$1780,X$18)</f>
        <v>0</v>
      </c>
      <c r="Y42" s="10">
        <f>SUMIFS($H$2:$H$1780,$J$2:$J$1780,$M42,$K$2:$K$1780,Y$18)</f>
        <v>696.28</v>
      </c>
      <c r="Z42" s="10">
        <f t="shared" si="2"/>
        <v>49793.36</v>
      </c>
    </row>
    <row r="43" spans="1:26">
      <c r="A43" s="7">
        <v>40087</v>
      </c>
      <c r="B43" s="1">
        <v>111.9</v>
      </c>
      <c r="C43" s="1" t="s">
        <v>20</v>
      </c>
      <c r="D43" s="13">
        <f>VALUE(MID(C43,9,3))</f>
        <v>311</v>
      </c>
      <c r="E43" s="14">
        <f>MONTH(A43)</f>
        <v>10</v>
      </c>
      <c r="G43" s="1" t="s">
        <v>149</v>
      </c>
      <c r="H43" s="1">
        <v>12630.47</v>
      </c>
      <c r="I43" s="1" t="s">
        <v>63</v>
      </c>
      <c r="J43" s="13">
        <f>VALUE(MID(I43,1,3))</f>
        <v>110</v>
      </c>
      <c r="K43" s="13">
        <f>VALUE(MID(G43,5,2))</f>
        <v>4</v>
      </c>
      <c r="M43" s="11" t="s">
        <v>269</v>
      </c>
      <c r="N43" s="10">
        <f>SUM(N19:N42)</f>
        <v>355430.29</v>
      </c>
      <c r="O43" s="10">
        <f t="shared" ref="O43:Y43" si="3">SUM(O19:O42)</f>
        <v>205390.68999999994</v>
      </c>
      <c r="P43" s="10">
        <f t="shared" si="3"/>
        <v>226328.37999999998</v>
      </c>
      <c r="Q43" s="10">
        <f t="shared" si="3"/>
        <v>193929.7</v>
      </c>
      <c r="R43" s="10">
        <f t="shared" si="3"/>
        <v>212996.12</v>
      </c>
      <c r="S43" s="10">
        <f t="shared" si="3"/>
        <v>213873.87</v>
      </c>
      <c r="T43" s="10">
        <f t="shared" si="3"/>
        <v>168370.54</v>
      </c>
      <c r="U43" s="10">
        <f t="shared" si="3"/>
        <v>112291.80999999998</v>
      </c>
      <c r="V43" s="10">
        <f t="shared" si="3"/>
        <v>400359.94999999995</v>
      </c>
      <c r="W43" s="10">
        <f t="shared" si="3"/>
        <v>213345.46</v>
      </c>
      <c r="X43" s="10">
        <f t="shared" si="3"/>
        <v>228481.47000000003</v>
      </c>
      <c r="Y43" s="10">
        <f t="shared" si="3"/>
        <v>364035.18999999994</v>
      </c>
      <c r="Z43" s="11">
        <f>Y43+Z42</f>
        <v>413828.54999999993</v>
      </c>
    </row>
    <row r="44" spans="1:26">
      <c r="A44" s="7">
        <v>40148</v>
      </c>
      <c r="B44" s="1">
        <v>489.75</v>
      </c>
      <c r="C44" s="1" t="s">
        <v>8</v>
      </c>
      <c r="D44" s="13">
        <f>VALUE(MID(C44,9,3))</f>
        <v>311</v>
      </c>
      <c r="E44" s="14">
        <f>MONTH(A44)</f>
        <v>12</v>
      </c>
      <c r="G44" s="1" t="s">
        <v>149</v>
      </c>
      <c r="H44" s="1">
        <v>1781.67</v>
      </c>
      <c r="I44" s="1" t="s">
        <v>67</v>
      </c>
      <c r="J44" s="13">
        <f>VALUE(MID(I44,1,3))</f>
        <v>110</v>
      </c>
      <c r="K44" s="13">
        <f>VALUE(MID(G44,5,2))</f>
        <v>4</v>
      </c>
    </row>
    <row r="45" spans="1:26">
      <c r="A45" s="7">
        <v>39815</v>
      </c>
      <c r="B45" s="1">
        <v>75</v>
      </c>
      <c r="C45" s="1" t="s">
        <v>21</v>
      </c>
      <c r="D45" s="13">
        <f>VALUE(MID(C45,9,3))</f>
        <v>311</v>
      </c>
      <c r="E45" s="14">
        <f>MONTH(A45)</f>
        <v>1</v>
      </c>
      <c r="G45" s="1" t="s">
        <v>149</v>
      </c>
      <c r="H45" s="1">
        <v>948.89</v>
      </c>
      <c r="I45" s="1" t="s">
        <v>67</v>
      </c>
      <c r="J45" s="13">
        <f>VALUE(MID(I45,1,3))</f>
        <v>110</v>
      </c>
      <c r="K45" s="13">
        <f>VALUE(MID(G45,5,2))</f>
        <v>4</v>
      </c>
      <c r="N45" s="9">
        <v>1</v>
      </c>
      <c r="O45" s="9">
        <v>2</v>
      </c>
      <c r="P45" s="9">
        <v>3</v>
      </c>
      <c r="Q45" s="9">
        <v>4</v>
      </c>
      <c r="R45" s="9">
        <v>5</v>
      </c>
      <c r="S45" s="9">
        <v>6</v>
      </c>
      <c r="T45" s="9">
        <v>7</v>
      </c>
      <c r="U45" s="9">
        <v>8</v>
      </c>
      <c r="V45" s="9">
        <v>9</v>
      </c>
      <c r="W45" s="9">
        <v>10</v>
      </c>
      <c r="X45" s="9">
        <v>11</v>
      </c>
      <c r="Y45" s="9">
        <v>12</v>
      </c>
    </row>
    <row r="46" spans="1:26">
      <c r="A46" s="7">
        <v>39815</v>
      </c>
      <c r="B46" s="1">
        <v>360</v>
      </c>
      <c r="C46" s="1" t="s">
        <v>22</v>
      </c>
      <c r="D46" s="13">
        <f>VALUE(MID(C46,9,3))</f>
        <v>311</v>
      </c>
      <c r="E46" s="14">
        <f>MONTH(A46)</f>
        <v>1</v>
      </c>
      <c r="G46" s="1" t="s">
        <v>149</v>
      </c>
      <c r="H46" s="1">
        <v>4137.8500000000004</v>
      </c>
      <c r="I46" s="1" t="s">
        <v>67</v>
      </c>
      <c r="J46" s="13">
        <f>VALUE(MID(I46,1,3))</f>
        <v>110</v>
      </c>
      <c r="K46" s="13">
        <f>VALUE(MID(G46,5,2))</f>
        <v>4</v>
      </c>
      <c r="M46" s="12" t="s">
        <v>273</v>
      </c>
      <c r="N46" s="10">
        <f>N15-N43</f>
        <v>-323858.51999999996</v>
      </c>
      <c r="O46" s="10">
        <f t="shared" ref="O46:Y46" si="4">O15-O43</f>
        <v>133016.01000000007</v>
      </c>
      <c r="P46" s="10">
        <f t="shared" si="4"/>
        <v>-99304.019999999975</v>
      </c>
      <c r="Q46" s="10">
        <f t="shared" si="4"/>
        <v>-155025.1</v>
      </c>
      <c r="R46" s="10">
        <f t="shared" si="4"/>
        <v>-183189.09</v>
      </c>
      <c r="S46" s="10">
        <f t="shared" si="4"/>
        <v>476268.04000000015</v>
      </c>
      <c r="T46" s="10">
        <f t="shared" si="4"/>
        <v>158966.71000000011</v>
      </c>
      <c r="U46" s="10">
        <f t="shared" si="4"/>
        <v>-104814.08999999998</v>
      </c>
      <c r="V46" s="10">
        <f t="shared" si="4"/>
        <v>-207541.80999999991</v>
      </c>
      <c r="W46" s="10">
        <f t="shared" si="4"/>
        <v>181263.26000000004</v>
      </c>
      <c r="X46" s="10">
        <f t="shared" si="4"/>
        <v>16552.339999999997</v>
      </c>
      <c r="Y46" s="10">
        <f t="shared" si="4"/>
        <v>-355356.61999999994</v>
      </c>
      <c r="Z46" s="4"/>
    </row>
    <row r="47" spans="1:26">
      <c r="A47" s="7">
        <v>39846</v>
      </c>
      <c r="B47" s="1">
        <v>880.75</v>
      </c>
      <c r="C47" s="1" t="s">
        <v>12</v>
      </c>
      <c r="D47" s="13">
        <f>VALUE(MID(C47,9,3))</f>
        <v>311</v>
      </c>
      <c r="E47" s="14">
        <f>MONTH(A47)</f>
        <v>2</v>
      </c>
      <c r="G47" s="1" t="s">
        <v>149</v>
      </c>
      <c r="H47" s="1">
        <v>466.9</v>
      </c>
      <c r="I47" s="1" t="s">
        <v>67</v>
      </c>
      <c r="J47" s="13">
        <f>VALUE(MID(I47,1,3))</f>
        <v>110</v>
      </c>
      <c r="K47" s="13">
        <f>VALUE(MID(G47,5,2))</f>
        <v>4</v>
      </c>
    </row>
    <row r="48" spans="1:26">
      <c r="A48" s="7">
        <v>39846</v>
      </c>
      <c r="B48" s="1">
        <v>799.42</v>
      </c>
      <c r="C48" s="1" t="s">
        <v>13</v>
      </c>
      <c r="D48" s="13">
        <f>VALUE(MID(C48,9,3))</f>
        <v>311</v>
      </c>
      <c r="E48" s="14">
        <f>MONTH(A48)</f>
        <v>2</v>
      </c>
      <c r="G48" s="1" t="s">
        <v>163</v>
      </c>
      <c r="H48" s="1">
        <v>20365.48</v>
      </c>
      <c r="I48" s="1" t="s">
        <v>63</v>
      </c>
      <c r="J48" s="13">
        <f>VALUE(MID(I48,1,3))</f>
        <v>110</v>
      </c>
      <c r="K48" s="13">
        <f>VALUE(MID(G48,5,2))</f>
        <v>5</v>
      </c>
    </row>
    <row r="49" spans="1:11">
      <c r="A49" s="7">
        <v>39846</v>
      </c>
      <c r="B49" s="1">
        <v>831.39</v>
      </c>
      <c r="C49" s="1" t="s">
        <v>13</v>
      </c>
      <c r="D49" s="13">
        <f>VALUE(MID(C49,9,3))</f>
        <v>311</v>
      </c>
      <c r="E49" s="14">
        <f>MONTH(A49)</f>
        <v>2</v>
      </c>
      <c r="G49" s="1" t="s">
        <v>163</v>
      </c>
      <c r="H49" s="1">
        <v>12839.25</v>
      </c>
      <c r="I49" s="1" t="s">
        <v>63</v>
      </c>
      <c r="J49" s="13">
        <f>VALUE(MID(I49,1,3))</f>
        <v>110</v>
      </c>
      <c r="K49" s="13">
        <f>VALUE(MID(G49,5,2))</f>
        <v>5</v>
      </c>
    </row>
    <row r="50" spans="1:11">
      <c r="A50" s="7">
        <v>39846</v>
      </c>
      <c r="B50" s="1">
        <v>329.18</v>
      </c>
      <c r="C50" s="1" t="s">
        <v>13</v>
      </c>
      <c r="D50" s="13">
        <f>VALUE(MID(C50,9,3))</f>
        <v>311</v>
      </c>
      <c r="E50" s="14">
        <f>MONTH(A50)</f>
        <v>2</v>
      </c>
      <c r="G50" s="1" t="s">
        <v>163</v>
      </c>
      <c r="H50" s="1">
        <v>-2407.9899999999998</v>
      </c>
      <c r="I50" s="1" t="s">
        <v>63</v>
      </c>
      <c r="J50" s="13">
        <f>VALUE(MID(I50,1,3))</f>
        <v>110</v>
      </c>
      <c r="K50" s="13">
        <f>VALUE(MID(G50,5,2))</f>
        <v>5</v>
      </c>
    </row>
    <row r="51" spans="1:11">
      <c r="A51" s="7">
        <v>39846</v>
      </c>
      <c r="B51" s="1">
        <v>909.15</v>
      </c>
      <c r="C51" s="1" t="s">
        <v>3</v>
      </c>
      <c r="D51" s="13">
        <f>VALUE(MID(C51,9,3))</f>
        <v>311</v>
      </c>
      <c r="E51" s="14">
        <f>MONTH(A51)</f>
        <v>2</v>
      </c>
      <c r="G51" s="1" t="s">
        <v>163</v>
      </c>
      <c r="H51" s="1">
        <v>33229.5</v>
      </c>
      <c r="I51" s="1" t="s">
        <v>63</v>
      </c>
      <c r="J51" s="13">
        <f>VALUE(MID(I51,1,3))</f>
        <v>110</v>
      </c>
      <c r="K51" s="13">
        <f>VALUE(MID(G51,5,2))</f>
        <v>5</v>
      </c>
    </row>
    <row r="52" spans="1:11">
      <c r="A52" s="7">
        <v>39996</v>
      </c>
      <c r="B52" s="1">
        <v>437.44</v>
      </c>
      <c r="C52" s="1" t="s">
        <v>5</v>
      </c>
      <c r="D52" s="13">
        <f>VALUE(MID(C52,9,3))</f>
        <v>311</v>
      </c>
      <c r="E52" s="14">
        <f>MONTH(A52)</f>
        <v>7</v>
      </c>
      <c r="G52" s="1" t="s">
        <v>163</v>
      </c>
      <c r="H52" s="1">
        <v>12670.6</v>
      </c>
      <c r="I52" s="1" t="s">
        <v>63</v>
      </c>
      <c r="J52" s="13">
        <f>VALUE(MID(I52,1,3))</f>
        <v>110</v>
      </c>
      <c r="K52" s="13">
        <f>VALUE(MID(G52,5,2))</f>
        <v>5</v>
      </c>
    </row>
    <row r="53" spans="1:11">
      <c r="A53" s="7">
        <v>39996</v>
      </c>
      <c r="B53" s="1">
        <v>572.5</v>
      </c>
      <c r="C53" s="1" t="s">
        <v>6</v>
      </c>
      <c r="D53" s="13">
        <f>VALUE(MID(C53,9,3))</f>
        <v>311</v>
      </c>
      <c r="E53" s="14">
        <f>MONTH(A53)</f>
        <v>7</v>
      </c>
      <c r="G53" s="1" t="s">
        <v>163</v>
      </c>
      <c r="H53" s="1">
        <v>1781.67</v>
      </c>
      <c r="I53" s="1" t="s">
        <v>67</v>
      </c>
      <c r="J53" s="13">
        <f>VALUE(MID(I53,1,3))</f>
        <v>110</v>
      </c>
      <c r="K53" s="13">
        <f>VALUE(MID(G53,5,2))</f>
        <v>5</v>
      </c>
    </row>
    <row r="54" spans="1:11">
      <c r="A54" s="7">
        <v>39996</v>
      </c>
      <c r="B54" s="1">
        <v>374.95</v>
      </c>
      <c r="C54" s="1" t="s">
        <v>6</v>
      </c>
      <c r="D54" s="13">
        <f>VALUE(MID(C54,9,3))</f>
        <v>311</v>
      </c>
      <c r="E54" s="14">
        <f>MONTH(A54)</f>
        <v>7</v>
      </c>
      <c r="G54" s="1" t="s">
        <v>163</v>
      </c>
      <c r="H54" s="1">
        <v>948.89</v>
      </c>
      <c r="I54" s="1" t="s">
        <v>67</v>
      </c>
      <c r="J54" s="13">
        <f>VALUE(MID(I54,1,3))</f>
        <v>110</v>
      </c>
      <c r="K54" s="13">
        <f>VALUE(MID(G54,5,2))</f>
        <v>5</v>
      </c>
    </row>
    <row r="55" spans="1:11">
      <c r="A55" s="7">
        <v>39996</v>
      </c>
      <c r="B55" s="1">
        <v>374.95</v>
      </c>
      <c r="C55" s="1" t="s">
        <v>6</v>
      </c>
      <c r="D55" s="13">
        <f>VALUE(MID(C55,9,3))</f>
        <v>311</v>
      </c>
      <c r="E55" s="14">
        <f>MONTH(A55)</f>
        <v>7</v>
      </c>
      <c r="G55" s="1" t="s">
        <v>163</v>
      </c>
      <c r="H55" s="1">
        <v>4137.8500000000004</v>
      </c>
      <c r="I55" s="1" t="s">
        <v>67</v>
      </c>
      <c r="J55" s="13">
        <f>VALUE(MID(I55,1,3))</f>
        <v>110</v>
      </c>
      <c r="K55" s="13">
        <f>VALUE(MID(G55,5,2))</f>
        <v>5</v>
      </c>
    </row>
    <row r="56" spans="1:11">
      <c r="A56" s="7">
        <v>39996</v>
      </c>
      <c r="B56" s="1">
        <v>300</v>
      </c>
      <c r="C56" s="1" t="s">
        <v>20</v>
      </c>
      <c r="D56" s="13">
        <f>VALUE(MID(C56,9,3))</f>
        <v>311</v>
      </c>
      <c r="E56" s="14">
        <f>MONTH(A56)</f>
        <v>7</v>
      </c>
      <c r="G56" s="1" t="s">
        <v>163</v>
      </c>
      <c r="H56" s="1">
        <v>466.9</v>
      </c>
      <c r="I56" s="1" t="s">
        <v>67</v>
      </c>
      <c r="J56" s="13">
        <f>VALUE(MID(I56,1,3))</f>
        <v>110</v>
      </c>
      <c r="K56" s="13">
        <f>VALUE(MID(G56,5,2))</f>
        <v>5</v>
      </c>
    </row>
    <row r="57" spans="1:11">
      <c r="A57" s="7">
        <v>40058</v>
      </c>
      <c r="B57" s="1">
        <v>901.5</v>
      </c>
      <c r="C57" s="1" t="s">
        <v>7</v>
      </c>
      <c r="D57" s="13">
        <f>VALUE(MID(C57,9,3))</f>
        <v>311</v>
      </c>
      <c r="E57" s="14">
        <f>MONTH(A57)</f>
        <v>9</v>
      </c>
      <c r="G57" s="1" t="s">
        <v>167</v>
      </c>
      <c r="H57" s="1">
        <v>97</v>
      </c>
      <c r="I57" s="1" t="s">
        <v>169</v>
      </c>
      <c r="J57" s="13">
        <f>VALUE(MID(I57,1,3))</f>
        <v>110</v>
      </c>
      <c r="K57" s="13">
        <f>VALUE(MID(G57,5,2))</f>
        <v>6</v>
      </c>
    </row>
    <row r="58" spans="1:11">
      <c r="A58" s="7">
        <v>40058</v>
      </c>
      <c r="B58" s="1">
        <v>1881</v>
      </c>
      <c r="C58" s="1" t="s">
        <v>8</v>
      </c>
      <c r="D58" s="13">
        <f>VALUE(MID(C58,9,3))</f>
        <v>311</v>
      </c>
      <c r="E58" s="14">
        <f>MONTH(A58)</f>
        <v>9</v>
      </c>
      <c r="G58" s="1" t="s">
        <v>167</v>
      </c>
      <c r="H58" s="1">
        <v>23237.02</v>
      </c>
      <c r="I58" s="1" t="s">
        <v>63</v>
      </c>
      <c r="J58" s="13">
        <f>VALUE(MID(I58,1,3))</f>
        <v>110</v>
      </c>
      <c r="K58" s="13">
        <f>VALUE(MID(G58,5,2))</f>
        <v>6</v>
      </c>
    </row>
    <row r="59" spans="1:11">
      <c r="A59" s="7">
        <v>40058</v>
      </c>
      <c r="B59" s="1">
        <v>901.5</v>
      </c>
      <c r="C59" s="1" t="s">
        <v>8</v>
      </c>
      <c r="D59" s="13">
        <f>VALUE(MID(C59,9,3))</f>
        <v>311</v>
      </c>
      <c r="E59" s="14">
        <f>MONTH(A59)</f>
        <v>9</v>
      </c>
      <c r="G59" s="1" t="s">
        <v>167</v>
      </c>
      <c r="H59" s="1">
        <v>13839.89</v>
      </c>
      <c r="I59" s="1" t="s">
        <v>63</v>
      </c>
      <c r="J59" s="13">
        <f>VALUE(MID(I59,1,3))</f>
        <v>110</v>
      </c>
      <c r="K59" s="13">
        <f>VALUE(MID(G59,5,2))</f>
        <v>6</v>
      </c>
    </row>
    <row r="60" spans="1:11">
      <c r="A60" s="7">
        <v>40058</v>
      </c>
      <c r="B60" s="1">
        <v>1457.78</v>
      </c>
      <c r="C60" s="1" t="s">
        <v>8</v>
      </c>
      <c r="D60" s="13">
        <f>VALUE(MID(C60,9,3))</f>
        <v>311</v>
      </c>
      <c r="E60" s="14">
        <f>MONTH(A60)</f>
        <v>9</v>
      </c>
      <c r="G60" s="1" t="s">
        <v>167</v>
      </c>
      <c r="H60" s="1">
        <v>-2407.9899999999998</v>
      </c>
      <c r="I60" s="1" t="s">
        <v>63</v>
      </c>
      <c r="J60" s="13">
        <f>VALUE(MID(I60,1,3))</f>
        <v>110</v>
      </c>
      <c r="K60" s="13">
        <f>VALUE(MID(G60,5,2))</f>
        <v>6</v>
      </c>
    </row>
    <row r="61" spans="1:11">
      <c r="A61" s="7">
        <v>40058</v>
      </c>
      <c r="B61" s="1">
        <v>1120.95</v>
      </c>
      <c r="C61" s="1" t="s">
        <v>9</v>
      </c>
      <c r="D61" s="13">
        <f>VALUE(MID(C61,9,3))</f>
        <v>311</v>
      </c>
      <c r="E61" s="14">
        <f>MONTH(A61)</f>
        <v>9</v>
      </c>
      <c r="G61" s="1" t="s">
        <v>167</v>
      </c>
      <c r="H61" s="1">
        <v>33709.599999999999</v>
      </c>
      <c r="I61" s="1" t="s">
        <v>63</v>
      </c>
      <c r="J61" s="13">
        <f>VALUE(MID(I61,1,3))</f>
        <v>110</v>
      </c>
      <c r="K61" s="13">
        <f>VALUE(MID(G61,5,2))</f>
        <v>6</v>
      </c>
    </row>
    <row r="62" spans="1:11">
      <c r="A62" s="7">
        <v>40058</v>
      </c>
      <c r="B62" s="1">
        <v>881.05</v>
      </c>
      <c r="C62" s="1" t="s">
        <v>9</v>
      </c>
      <c r="D62" s="13">
        <f>VALUE(MID(C62,9,3))</f>
        <v>311</v>
      </c>
      <c r="E62" s="14">
        <f>MONTH(A62)</f>
        <v>9</v>
      </c>
      <c r="G62" s="1" t="s">
        <v>167</v>
      </c>
      <c r="H62" s="1">
        <v>12381.77</v>
      </c>
      <c r="I62" s="1" t="s">
        <v>63</v>
      </c>
      <c r="J62" s="13">
        <f>VALUE(MID(I62,1,3))</f>
        <v>110</v>
      </c>
      <c r="K62" s="13">
        <f>VALUE(MID(G62,5,2))</f>
        <v>6</v>
      </c>
    </row>
    <row r="63" spans="1:11">
      <c r="A63" s="7">
        <v>40058</v>
      </c>
      <c r="B63" s="1">
        <v>722</v>
      </c>
      <c r="C63" s="1" t="s">
        <v>9</v>
      </c>
      <c r="D63" s="13">
        <f>VALUE(MID(C63,9,3))</f>
        <v>311</v>
      </c>
      <c r="E63" s="14">
        <f>MONTH(A63)</f>
        <v>9</v>
      </c>
      <c r="G63" s="1" t="s">
        <v>167</v>
      </c>
      <c r="H63" s="1">
        <v>1885.47</v>
      </c>
      <c r="I63" s="1" t="s">
        <v>67</v>
      </c>
      <c r="J63" s="13">
        <f>VALUE(MID(I63,1,3))</f>
        <v>110</v>
      </c>
      <c r="K63" s="13">
        <f>VALUE(MID(G63,5,2))</f>
        <v>6</v>
      </c>
    </row>
    <row r="64" spans="1:11">
      <c r="A64" s="7">
        <v>40058</v>
      </c>
      <c r="B64" s="1">
        <v>731.7</v>
      </c>
      <c r="C64" s="1" t="s">
        <v>12</v>
      </c>
      <c r="D64" s="13">
        <f>VALUE(MID(C64,9,3))</f>
        <v>311</v>
      </c>
      <c r="E64" s="14">
        <f>MONTH(A64)</f>
        <v>9</v>
      </c>
      <c r="G64" s="1" t="s">
        <v>167</v>
      </c>
      <c r="H64" s="1">
        <v>948.89</v>
      </c>
      <c r="I64" s="1" t="s">
        <v>67</v>
      </c>
      <c r="J64" s="13">
        <f>VALUE(MID(I64,1,3))</f>
        <v>110</v>
      </c>
      <c r="K64" s="13">
        <f>VALUE(MID(G64,5,2))</f>
        <v>6</v>
      </c>
    </row>
    <row r="65" spans="1:11">
      <c r="A65" s="7">
        <v>40058</v>
      </c>
      <c r="B65" s="1">
        <v>803.88</v>
      </c>
      <c r="C65" s="1" t="s">
        <v>12</v>
      </c>
      <c r="D65" s="13">
        <f>VALUE(MID(C65,9,3))</f>
        <v>311</v>
      </c>
      <c r="E65" s="14">
        <f>MONTH(A65)</f>
        <v>9</v>
      </c>
      <c r="G65" s="1" t="s">
        <v>167</v>
      </c>
      <c r="H65" s="1">
        <v>4137.8500000000004</v>
      </c>
      <c r="I65" s="1" t="s">
        <v>67</v>
      </c>
      <c r="J65" s="13">
        <f>VALUE(MID(I65,1,3))</f>
        <v>110</v>
      </c>
      <c r="K65" s="13">
        <f>VALUE(MID(G65,5,2))</f>
        <v>6</v>
      </c>
    </row>
    <row r="66" spans="1:11">
      <c r="A66" s="7">
        <v>40058</v>
      </c>
      <c r="B66" s="1">
        <v>957.46</v>
      </c>
      <c r="C66" s="1" t="s">
        <v>13</v>
      </c>
      <c r="D66" s="13">
        <f>VALUE(MID(C66,9,3))</f>
        <v>311</v>
      </c>
      <c r="E66" s="14">
        <f>MONTH(A66)</f>
        <v>9</v>
      </c>
      <c r="G66" s="1" t="s">
        <v>167</v>
      </c>
      <c r="H66" s="1">
        <v>466.9</v>
      </c>
      <c r="I66" s="1" t="s">
        <v>67</v>
      </c>
      <c r="J66" s="13">
        <f>VALUE(MID(I66,1,3))</f>
        <v>110</v>
      </c>
      <c r="K66" s="13">
        <f>VALUE(MID(G66,5,2))</f>
        <v>6</v>
      </c>
    </row>
    <row r="67" spans="1:11">
      <c r="A67" s="7">
        <v>40058</v>
      </c>
      <c r="B67" s="1">
        <v>1159.95</v>
      </c>
      <c r="C67" s="1" t="s">
        <v>3</v>
      </c>
      <c r="D67" s="13">
        <f>VALUE(MID(C67,9,3))</f>
        <v>311</v>
      </c>
      <c r="E67" s="14">
        <f>MONTH(A67)</f>
        <v>9</v>
      </c>
      <c r="G67" s="1" t="s">
        <v>180</v>
      </c>
      <c r="H67" s="1">
        <v>23092.82</v>
      </c>
      <c r="I67" s="1" t="s">
        <v>63</v>
      </c>
      <c r="J67" s="13">
        <f>VALUE(MID(I67,1,3))</f>
        <v>110</v>
      </c>
      <c r="K67" s="13">
        <f>VALUE(MID(G67,5,2))</f>
        <v>7</v>
      </c>
    </row>
    <row r="68" spans="1:11">
      <c r="A68" s="7">
        <v>40058</v>
      </c>
      <c r="B68" s="1">
        <v>1159.95</v>
      </c>
      <c r="C68" s="1" t="s">
        <v>3</v>
      </c>
      <c r="D68" s="13">
        <f>VALUE(MID(C68,9,3))</f>
        <v>311</v>
      </c>
      <c r="E68" s="14">
        <f>MONTH(A68)</f>
        <v>9</v>
      </c>
      <c r="G68" s="1" t="s">
        <v>180</v>
      </c>
      <c r="H68" s="1">
        <v>13709.89</v>
      </c>
      <c r="I68" s="1" t="s">
        <v>63</v>
      </c>
      <c r="J68" s="13">
        <f>VALUE(MID(I68,1,3))</f>
        <v>110</v>
      </c>
      <c r="K68" s="13">
        <f>VALUE(MID(G68,5,2))</f>
        <v>7</v>
      </c>
    </row>
    <row r="69" spans="1:11">
      <c r="A69" s="7">
        <v>40058</v>
      </c>
      <c r="B69" s="1">
        <v>721.05</v>
      </c>
      <c r="C69" s="1" t="s">
        <v>3</v>
      </c>
      <c r="D69" s="13">
        <f>VALUE(MID(C69,9,3))</f>
        <v>311</v>
      </c>
      <c r="E69" s="14">
        <f>MONTH(A69)</f>
        <v>9</v>
      </c>
      <c r="G69" s="1" t="s">
        <v>180</v>
      </c>
      <c r="H69" s="1">
        <v>-2407.9899999999998</v>
      </c>
      <c r="I69" s="1" t="s">
        <v>63</v>
      </c>
      <c r="J69" s="13">
        <f>VALUE(MID(I69,1,3))</f>
        <v>110</v>
      </c>
      <c r="K69" s="13">
        <f>VALUE(MID(G69,5,2))</f>
        <v>7</v>
      </c>
    </row>
    <row r="70" spans="1:11">
      <c r="A70" s="7">
        <v>40058</v>
      </c>
      <c r="B70" s="1">
        <v>323.92</v>
      </c>
      <c r="C70" s="1" t="s">
        <v>6</v>
      </c>
      <c r="D70" s="13">
        <f>VALUE(MID(C70,9,3))</f>
        <v>311</v>
      </c>
      <c r="E70" s="14">
        <f>MONTH(A70)</f>
        <v>9</v>
      </c>
      <c r="G70" s="1" t="s">
        <v>180</v>
      </c>
      <c r="H70" s="1">
        <v>33229.5</v>
      </c>
      <c r="I70" s="1" t="s">
        <v>63</v>
      </c>
      <c r="J70" s="13">
        <f>VALUE(MID(I70,1,3))</f>
        <v>110</v>
      </c>
      <c r="K70" s="13">
        <f>VALUE(MID(G70,5,2))</f>
        <v>7</v>
      </c>
    </row>
    <row r="71" spans="1:11">
      <c r="A71" s="7">
        <v>40058</v>
      </c>
      <c r="B71" s="1">
        <v>414.46</v>
      </c>
      <c r="C71" s="1" t="s">
        <v>6</v>
      </c>
      <c r="D71" s="13">
        <f>VALUE(MID(C71,9,3))</f>
        <v>311</v>
      </c>
      <c r="E71" s="14">
        <f>MONTH(A71)</f>
        <v>9</v>
      </c>
      <c r="G71" s="1" t="s">
        <v>180</v>
      </c>
      <c r="H71" s="1">
        <v>12670.6</v>
      </c>
      <c r="I71" s="1" t="s">
        <v>63</v>
      </c>
      <c r="J71" s="13">
        <f>VALUE(MID(I71,1,3))</f>
        <v>110</v>
      </c>
      <c r="K71" s="13">
        <f>VALUE(MID(G71,5,2))</f>
        <v>7</v>
      </c>
    </row>
    <row r="72" spans="1:11">
      <c r="A72" s="7">
        <v>40088</v>
      </c>
      <c r="B72" s="1">
        <v>-117.75</v>
      </c>
      <c r="C72" s="1" t="s">
        <v>8</v>
      </c>
      <c r="D72" s="13">
        <f>VALUE(MID(C72,9,3))</f>
        <v>311</v>
      </c>
      <c r="E72" s="14">
        <f>MONTH(A72)</f>
        <v>10</v>
      </c>
      <c r="G72" s="1" t="s">
        <v>180</v>
      </c>
      <c r="H72" s="1">
        <v>1885.47</v>
      </c>
      <c r="I72" s="1" t="s">
        <v>67</v>
      </c>
      <c r="J72" s="13">
        <f>VALUE(MID(I72,1,3))</f>
        <v>110</v>
      </c>
      <c r="K72" s="13">
        <f>VALUE(MID(G72,5,2))</f>
        <v>7</v>
      </c>
    </row>
    <row r="73" spans="1:11">
      <c r="A73" s="7">
        <v>40088</v>
      </c>
      <c r="B73" s="1">
        <v>575</v>
      </c>
      <c r="C73" s="1" t="s">
        <v>17</v>
      </c>
      <c r="D73" s="13">
        <f>VALUE(MID(C73,9,3))</f>
        <v>311</v>
      </c>
      <c r="E73" s="14">
        <f>MONTH(A73)</f>
        <v>10</v>
      </c>
      <c r="G73" s="1" t="s">
        <v>180</v>
      </c>
      <c r="H73" s="1">
        <v>948.89</v>
      </c>
      <c r="I73" s="1" t="s">
        <v>67</v>
      </c>
      <c r="J73" s="13">
        <f>VALUE(MID(I73,1,3))</f>
        <v>110</v>
      </c>
      <c r="K73" s="13">
        <f>VALUE(MID(G73,5,2))</f>
        <v>7</v>
      </c>
    </row>
    <row r="74" spans="1:11">
      <c r="A74" s="7">
        <v>40088</v>
      </c>
      <c r="B74" s="1">
        <v>575</v>
      </c>
      <c r="C74" s="1" t="s">
        <v>17</v>
      </c>
      <c r="D74" s="13">
        <f>VALUE(MID(C74,9,3))</f>
        <v>311</v>
      </c>
      <c r="E74" s="14">
        <f>MONTH(A74)</f>
        <v>10</v>
      </c>
      <c r="G74" s="1" t="s">
        <v>180</v>
      </c>
      <c r="H74" s="1">
        <v>4137.8500000000004</v>
      </c>
      <c r="I74" s="1" t="s">
        <v>67</v>
      </c>
      <c r="J74" s="13">
        <f>VALUE(MID(I74,1,3))</f>
        <v>110</v>
      </c>
      <c r="K74" s="13">
        <f>VALUE(MID(G74,5,2))</f>
        <v>7</v>
      </c>
    </row>
    <row r="75" spans="1:11">
      <c r="A75" s="7">
        <v>40088</v>
      </c>
      <c r="B75" s="1">
        <v>575</v>
      </c>
      <c r="C75" s="1" t="s">
        <v>17</v>
      </c>
      <c r="D75" s="13">
        <f>VALUE(MID(C75,9,3))</f>
        <v>311</v>
      </c>
      <c r="E75" s="14">
        <f>MONTH(A75)</f>
        <v>10</v>
      </c>
      <c r="G75" s="1" t="s">
        <v>180</v>
      </c>
      <c r="H75" s="1">
        <v>466.9</v>
      </c>
      <c r="I75" s="1" t="s">
        <v>67</v>
      </c>
      <c r="J75" s="13">
        <f>VALUE(MID(I75,1,3))</f>
        <v>110</v>
      </c>
      <c r="K75" s="13">
        <f>VALUE(MID(G75,5,2))</f>
        <v>7</v>
      </c>
    </row>
    <row r="76" spans="1:11">
      <c r="A76" s="7">
        <v>40088</v>
      </c>
      <c r="B76" s="1">
        <v>575</v>
      </c>
      <c r="C76" s="1" t="s">
        <v>17</v>
      </c>
      <c r="D76" s="13">
        <f>VALUE(MID(C76,9,3))</f>
        <v>311</v>
      </c>
      <c r="E76" s="14">
        <f>MONTH(A76)</f>
        <v>10</v>
      </c>
      <c r="G76" s="1" t="s">
        <v>186</v>
      </c>
      <c r="H76" s="1">
        <v>23092.82</v>
      </c>
      <c r="I76" s="1" t="s">
        <v>63</v>
      </c>
      <c r="J76" s="13">
        <f>VALUE(MID(I76,1,3))</f>
        <v>110</v>
      </c>
      <c r="K76" s="13">
        <f>VALUE(MID(G76,5,2))</f>
        <v>8</v>
      </c>
    </row>
    <row r="77" spans="1:11">
      <c r="A77" s="7">
        <v>40088</v>
      </c>
      <c r="B77" s="1">
        <v>575</v>
      </c>
      <c r="C77" s="1" t="s">
        <v>17</v>
      </c>
      <c r="D77" s="13">
        <f>VALUE(MID(C77,9,3))</f>
        <v>311</v>
      </c>
      <c r="E77" s="14">
        <f>MONTH(A77)</f>
        <v>10</v>
      </c>
      <c r="G77" s="1" t="s">
        <v>186</v>
      </c>
      <c r="H77" s="1">
        <v>12680.35</v>
      </c>
      <c r="I77" s="1" t="s">
        <v>63</v>
      </c>
      <c r="J77" s="13">
        <f>VALUE(MID(I77,1,3))</f>
        <v>110</v>
      </c>
      <c r="K77" s="13">
        <f>VALUE(MID(G77,5,2))</f>
        <v>8</v>
      </c>
    </row>
    <row r="78" spans="1:11">
      <c r="A78" s="7">
        <v>40088</v>
      </c>
      <c r="B78" s="1">
        <v>575</v>
      </c>
      <c r="C78" s="1" t="s">
        <v>17</v>
      </c>
      <c r="D78" s="13">
        <f>VALUE(MID(C78,9,3))</f>
        <v>311</v>
      </c>
      <c r="E78" s="14">
        <f>MONTH(A78)</f>
        <v>10</v>
      </c>
      <c r="G78" s="1" t="s">
        <v>186</v>
      </c>
      <c r="H78" s="1">
        <v>-2407.9899999999998</v>
      </c>
      <c r="I78" s="1" t="s">
        <v>63</v>
      </c>
      <c r="J78" s="13">
        <f>VALUE(MID(I78,1,3))</f>
        <v>110</v>
      </c>
      <c r="K78" s="13">
        <f>VALUE(MID(G78,5,2))</f>
        <v>8</v>
      </c>
    </row>
    <row r="79" spans="1:11">
      <c r="A79" s="7">
        <v>40088</v>
      </c>
      <c r="B79" s="1">
        <v>287.5</v>
      </c>
      <c r="C79" s="1" t="s">
        <v>17</v>
      </c>
      <c r="D79" s="13">
        <f>VALUE(MID(C79,9,3))</f>
        <v>311</v>
      </c>
      <c r="E79" s="14">
        <f>MONTH(A79)</f>
        <v>10</v>
      </c>
      <c r="G79" s="1" t="s">
        <v>186</v>
      </c>
      <c r="H79" s="1">
        <v>31586.1</v>
      </c>
      <c r="I79" s="1" t="s">
        <v>63</v>
      </c>
      <c r="J79" s="13">
        <f>VALUE(MID(I79,1,3))</f>
        <v>110</v>
      </c>
      <c r="K79" s="13">
        <f>VALUE(MID(G79,5,2))</f>
        <v>8</v>
      </c>
    </row>
    <row r="80" spans="1:11">
      <c r="A80" s="7">
        <v>40088</v>
      </c>
      <c r="B80" s="1">
        <v>575</v>
      </c>
      <c r="C80" s="1" t="s">
        <v>17</v>
      </c>
      <c r="D80" s="13">
        <f>VALUE(MID(C80,9,3))</f>
        <v>311</v>
      </c>
      <c r="E80" s="14">
        <f>MONTH(A80)</f>
        <v>10</v>
      </c>
      <c r="G80" s="1" t="s">
        <v>186</v>
      </c>
      <c r="H80" s="1">
        <v>10308.07</v>
      </c>
      <c r="I80" s="1" t="s">
        <v>63</v>
      </c>
      <c r="J80" s="13">
        <f>VALUE(MID(I80,1,3))</f>
        <v>110</v>
      </c>
      <c r="K80" s="13">
        <f>VALUE(MID(G80,5,2))</f>
        <v>8</v>
      </c>
    </row>
    <row r="81" spans="1:11">
      <c r="A81" s="7">
        <v>40088</v>
      </c>
      <c r="B81" s="1">
        <v>80</v>
      </c>
      <c r="C81" s="1" t="s">
        <v>18</v>
      </c>
      <c r="D81" s="13">
        <f>VALUE(MID(C81,9,3))</f>
        <v>311</v>
      </c>
      <c r="E81" s="14">
        <f>MONTH(A81)</f>
        <v>10</v>
      </c>
      <c r="G81" s="1" t="s">
        <v>186</v>
      </c>
      <c r="H81" s="1">
        <v>1885.47</v>
      </c>
      <c r="I81" s="1" t="s">
        <v>67</v>
      </c>
      <c r="J81" s="13">
        <f>VALUE(MID(I81,1,3))</f>
        <v>110</v>
      </c>
      <c r="K81" s="13">
        <f>VALUE(MID(G81,5,2))</f>
        <v>8</v>
      </c>
    </row>
    <row r="82" spans="1:11">
      <c r="A82" s="7">
        <v>40088</v>
      </c>
      <c r="B82" s="1">
        <v>80</v>
      </c>
      <c r="C82" s="1" t="s">
        <v>18</v>
      </c>
      <c r="D82" s="13">
        <f>VALUE(MID(C82,9,3))</f>
        <v>311</v>
      </c>
      <c r="E82" s="14">
        <f>MONTH(A82)</f>
        <v>10</v>
      </c>
      <c r="G82" s="1" t="s">
        <v>186</v>
      </c>
      <c r="H82" s="1">
        <v>948.89</v>
      </c>
      <c r="I82" s="1" t="s">
        <v>67</v>
      </c>
      <c r="J82" s="13">
        <f>VALUE(MID(I82,1,3))</f>
        <v>110</v>
      </c>
      <c r="K82" s="13">
        <f>VALUE(MID(G82,5,2))</f>
        <v>8</v>
      </c>
    </row>
    <row r="83" spans="1:11">
      <c r="A83" s="7">
        <v>40088</v>
      </c>
      <c r="B83" s="1">
        <v>50</v>
      </c>
      <c r="C83" s="1" t="s">
        <v>19</v>
      </c>
      <c r="D83" s="13">
        <f>VALUE(MID(C83,9,3))</f>
        <v>311</v>
      </c>
      <c r="E83" s="14">
        <f>MONTH(A83)</f>
        <v>10</v>
      </c>
      <c r="G83" s="1" t="s">
        <v>186</v>
      </c>
      <c r="H83" s="1">
        <v>4137.8500000000004</v>
      </c>
      <c r="I83" s="1" t="s">
        <v>67</v>
      </c>
      <c r="J83" s="13">
        <f>VALUE(MID(I83,1,3))</f>
        <v>110</v>
      </c>
      <c r="K83" s="13">
        <f>VALUE(MID(G83,5,2))</f>
        <v>8</v>
      </c>
    </row>
    <row r="84" spans="1:11">
      <c r="A84" s="7">
        <v>40119</v>
      </c>
      <c r="B84" s="1">
        <v>80</v>
      </c>
      <c r="C84" s="1" t="s">
        <v>18</v>
      </c>
      <c r="D84" s="13">
        <f>VALUE(MID(C84,9,3))</f>
        <v>311</v>
      </c>
      <c r="E84" s="14">
        <f>MONTH(A84)</f>
        <v>11</v>
      </c>
      <c r="G84" s="1" t="s">
        <v>186</v>
      </c>
      <c r="H84" s="1">
        <v>466.9</v>
      </c>
      <c r="I84" s="1" t="s">
        <v>67</v>
      </c>
      <c r="J84" s="13">
        <f>VALUE(MID(I84,1,3))</f>
        <v>110</v>
      </c>
      <c r="K84" s="13">
        <f>VALUE(MID(G84,5,2))</f>
        <v>8</v>
      </c>
    </row>
    <row r="85" spans="1:11">
      <c r="A85" s="7">
        <v>40119</v>
      </c>
      <c r="B85" s="1">
        <v>65</v>
      </c>
      <c r="C85" s="1" t="s">
        <v>18</v>
      </c>
      <c r="D85" s="13">
        <f>VALUE(MID(C85,9,3))</f>
        <v>311</v>
      </c>
      <c r="E85" s="14">
        <f>MONTH(A85)</f>
        <v>11</v>
      </c>
      <c r="G85" s="1" t="s">
        <v>198</v>
      </c>
      <c r="H85" s="1">
        <v>23092.82</v>
      </c>
      <c r="I85" s="1" t="s">
        <v>63</v>
      </c>
      <c r="J85" s="13">
        <f>VALUE(MID(I85,1,3))</f>
        <v>110</v>
      </c>
      <c r="K85" s="13">
        <f>VALUE(MID(G85,5,2))</f>
        <v>9</v>
      </c>
    </row>
    <row r="86" spans="1:11">
      <c r="A86" s="7">
        <v>40119</v>
      </c>
      <c r="B86" s="1">
        <v>15</v>
      </c>
      <c r="C86" s="1" t="s">
        <v>18</v>
      </c>
      <c r="D86" s="13">
        <f>VALUE(MID(C86,9,3))</f>
        <v>311</v>
      </c>
      <c r="E86" s="14">
        <f>MONTH(A86)</f>
        <v>11</v>
      </c>
      <c r="G86" s="1" t="s">
        <v>198</v>
      </c>
      <c r="H86" s="1">
        <v>-486.5</v>
      </c>
      <c r="I86" s="1" t="s">
        <v>63</v>
      </c>
      <c r="J86" s="13">
        <f>VALUE(MID(I86,1,3))</f>
        <v>110</v>
      </c>
      <c r="K86" s="13">
        <f>VALUE(MID(G86,5,2))</f>
        <v>9</v>
      </c>
    </row>
    <row r="87" spans="1:11">
      <c r="A87" s="7">
        <v>40119</v>
      </c>
      <c r="B87" s="1">
        <v>65</v>
      </c>
      <c r="C87" s="1" t="s">
        <v>18</v>
      </c>
      <c r="D87" s="13">
        <f>VALUE(MID(C87,9,3))</f>
        <v>311</v>
      </c>
      <c r="E87" s="14">
        <f>MONTH(A87)</f>
        <v>11</v>
      </c>
      <c r="G87" s="1" t="s">
        <v>198</v>
      </c>
      <c r="H87" s="1">
        <v>12680.35</v>
      </c>
      <c r="I87" s="1" t="s">
        <v>63</v>
      </c>
      <c r="J87" s="13">
        <f>VALUE(MID(I87,1,3))</f>
        <v>110</v>
      </c>
      <c r="K87" s="13">
        <f>VALUE(MID(G87,5,2))</f>
        <v>9</v>
      </c>
    </row>
    <row r="88" spans="1:11">
      <c r="A88" s="7">
        <v>40119</v>
      </c>
      <c r="B88" s="1">
        <v>15</v>
      </c>
      <c r="C88" s="1" t="s">
        <v>18</v>
      </c>
      <c r="D88" s="13">
        <f>VALUE(MID(C88,9,3))</f>
        <v>311</v>
      </c>
      <c r="E88" s="14">
        <f>MONTH(A88)</f>
        <v>11</v>
      </c>
      <c r="G88" s="1" t="s">
        <v>198</v>
      </c>
      <c r="H88" s="1">
        <v>-2407.9899999999998</v>
      </c>
      <c r="I88" s="1" t="s">
        <v>63</v>
      </c>
      <c r="J88" s="13">
        <f>VALUE(MID(I88,1,3))</f>
        <v>110</v>
      </c>
      <c r="K88" s="13">
        <f>VALUE(MID(G88,5,2))</f>
        <v>9</v>
      </c>
    </row>
    <row r="89" spans="1:11">
      <c r="A89" s="7">
        <v>40119</v>
      </c>
      <c r="B89" s="1">
        <v>80</v>
      </c>
      <c r="C89" s="1" t="s">
        <v>18</v>
      </c>
      <c r="D89" s="13">
        <f>VALUE(MID(C89,9,3))</f>
        <v>311</v>
      </c>
      <c r="E89" s="14">
        <f>MONTH(A89)</f>
        <v>11</v>
      </c>
      <c r="G89" s="1" t="s">
        <v>198</v>
      </c>
      <c r="H89" s="1">
        <v>31586.1</v>
      </c>
      <c r="I89" s="1" t="s">
        <v>63</v>
      </c>
      <c r="J89" s="13">
        <f>VALUE(MID(I89,1,3))</f>
        <v>110</v>
      </c>
      <c r="K89" s="13">
        <f>VALUE(MID(G89,5,2))</f>
        <v>9</v>
      </c>
    </row>
    <row r="90" spans="1:11">
      <c r="A90" s="7">
        <v>40149</v>
      </c>
      <c r="B90" s="1">
        <v>1650</v>
      </c>
      <c r="C90" s="1" t="s">
        <v>27</v>
      </c>
      <c r="D90" s="13">
        <f>VALUE(MID(C90,9,3))</f>
        <v>311</v>
      </c>
      <c r="E90" s="14">
        <f>MONTH(A90)</f>
        <v>12</v>
      </c>
      <c r="G90" s="1" t="s">
        <v>198</v>
      </c>
      <c r="H90" s="1">
        <v>10308.07</v>
      </c>
      <c r="I90" s="1" t="s">
        <v>63</v>
      </c>
      <c r="J90" s="13">
        <f>VALUE(MID(I90,1,3))</f>
        <v>110</v>
      </c>
      <c r="K90" s="13">
        <f>VALUE(MID(G90,5,2))</f>
        <v>9</v>
      </c>
    </row>
    <row r="91" spans="1:11">
      <c r="A91" s="7">
        <v>39847</v>
      </c>
      <c r="B91" s="1">
        <v>447.15</v>
      </c>
      <c r="C91" s="1" t="s">
        <v>12</v>
      </c>
      <c r="D91" s="13">
        <f>VALUE(MID(C91,9,3))</f>
        <v>311</v>
      </c>
      <c r="E91" s="14">
        <f>MONTH(A91)</f>
        <v>2</v>
      </c>
      <c r="G91" s="1" t="s">
        <v>198</v>
      </c>
      <c r="H91" s="1">
        <v>1885.47</v>
      </c>
      <c r="I91" s="1" t="s">
        <v>67</v>
      </c>
      <c r="J91" s="13">
        <f>VALUE(MID(I91,1,3))</f>
        <v>110</v>
      </c>
      <c r="K91" s="13">
        <f>VALUE(MID(G91,5,2))</f>
        <v>9</v>
      </c>
    </row>
    <row r="92" spans="1:11">
      <c r="A92" s="7">
        <v>39847</v>
      </c>
      <c r="B92" s="1">
        <v>813</v>
      </c>
      <c r="C92" s="1" t="s">
        <v>12</v>
      </c>
      <c r="D92" s="13">
        <f>VALUE(MID(C92,9,3))</f>
        <v>311</v>
      </c>
      <c r="E92" s="14">
        <f>MONTH(A92)</f>
        <v>2</v>
      </c>
      <c r="G92" s="1" t="s">
        <v>198</v>
      </c>
      <c r="H92" s="1">
        <v>-34.6</v>
      </c>
      <c r="I92" s="1" t="s">
        <v>67</v>
      </c>
      <c r="J92" s="13">
        <f>VALUE(MID(I92,1,3))</f>
        <v>110</v>
      </c>
      <c r="K92" s="13">
        <f>VALUE(MID(G92,5,2))</f>
        <v>9</v>
      </c>
    </row>
    <row r="93" spans="1:11">
      <c r="A93" s="7">
        <v>39847</v>
      </c>
      <c r="B93" s="1">
        <v>691.05</v>
      </c>
      <c r="C93" s="1" t="s">
        <v>12</v>
      </c>
      <c r="D93" s="13">
        <f>VALUE(MID(C93,9,3))</f>
        <v>311</v>
      </c>
      <c r="E93" s="14">
        <f>MONTH(A93)</f>
        <v>2</v>
      </c>
      <c r="G93" s="1" t="s">
        <v>198</v>
      </c>
      <c r="H93" s="1">
        <v>1052.69</v>
      </c>
      <c r="I93" s="1" t="s">
        <v>67</v>
      </c>
      <c r="J93" s="13">
        <f>VALUE(MID(I93,1,3))</f>
        <v>110</v>
      </c>
      <c r="K93" s="13">
        <f>VALUE(MID(G93,5,2))</f>
        <v>9</v>
      </c>
    </row>
    <row r="94" spans="1:11">
      <c r="A94" s="7">
        <v>39847</v>
      </c>
      <c r="B94" s="1">
        <v>813</v>
      </c>
      <c r="C94" s="1" t="s">
        <v>12</v>
      </c>
      <c r="D94" s="13">
        <f>VALUE(MID(C94,9,3))</f>
        <v>311</v>
      </c>
      <c r="E94" s="14">
        <f>MONTH(A94)</f>
        <v>2</v>
      </c>
      <c r="G94" s="1" t="s">
        <v>198</v>
      </c>
      <c r="H94" s="1">
        <v>-103.8</v>
      </c>
      <c r="I94" s="1" t="s">
        <v>67</v>
      </c>
      <c r="J94" s="13">
        <f>VALUE(MID(I94,1,3))</f>
        <v>110</v>
      </c>
      <c r="K94" s="13">
        <f>VALUE(MID(G94,5,2))</f>
        <v>9</v>
      </c>
    </row>
    <row r="95" spans="1:11">
      <c r="A95" s="7">
        <v>39847</v>
      </c>
      <c r="B95" s="1">
        <v>753.84</v>
      </c>
      <c r="C95" s="1" t="s">
        <v>13</v>
      </c>
      <c r="D95" s="13">
        <f>VALUE(MID(C95,9,3))</f>
        <v>311</v>
      </c>
      <c r="E95" s="14">
        <f>MONTH(A95)</f>
        <v>2</v>
      </c>
      <c r="G95" s="1" t="s">
        <v>198</v>
      </c>
      <c r="H95" s="1">
        <v>4241.6499999999996</v>
      </c>
      <c r="I95" s="1" t="s">
        <v>67</v>
      </c>
      <c r="J95" s="13">
        <f>VALUE(MID(I95,1,3))</f>
        <v>110</v>
      </c>
      <c r="K95" s="13">
        <f>VALUE(MID(G95,5,2))</f>
        <v>9</v>
      </c>
    </row>
    <row r="96" spans="1:11">
      <c r="A96" s="7">
        <v>39847</v>
      </c>
      <c r="B96" s="1">
        <v>360.53</v>
      </c>
      <c r="C96" s="1" t="s">
        <v>13</v>
      </c>
      <c r="D96" s="13">
        <f>VALUE(MID(C96,9,3))</f>
        <v>311</v>
      </c>
      <c r="E96" s="14">
        <f>MONTH(A96)</f>
        <v>2</v>
      </c>
      <c r="G96" s="1" t="s">
        <v>198</v>
      </c>
      <c r="H96" s="1">
        <v>466.9</v>
      </c>
      <c r="I96" s="1" t="s">
        <v>67</v>
      </c>
      <c r="J96" s="13">
        <f>VALUE(MID(I96,1,3))</f>
        <v>110</v>
      </c>
      <c r="K96" s="13">
        <f>VALUE(MID(G96,5,2))</f>
        <v>9</v>
      </c>
    </row>
    <row r="97" spans="1:11">
      <c r="A97" s="7">
        <v>39847</v>
      </c>
      <c r="B97" s="1">
        <v>588.98</v>
      </c>
      <c r="C97" s="1" t="s">
        <v>13</v>
      </c>
      <c r="D97" s="13">
        <f>VALUE(MID(C97,9,3))</f>
        <v>311</v>
      </c>
      <c r="E97" s="14">
        <f>MONTH(A97)</f>
        <v>2</v>
      </c>
      <c r="G97" s="1" t="s">
        <v>205</v>
      </c>
      <c r="H97" s="1">
        <v>23092.82</v>
      </c>
      <c r="I97" s="1" t="s">
        <v>63</v>
      </c>
      <c r="J97" s="13">
        <f>VALUE(MID(I97,1,3))</f>
        <v>110</v>
      </c>
      <c r="K97" s="13">
        <f>VALUE(MID(G97,5,2))</f>
        <v>10</v>
      </c>
    </row>
    <row r="98" spans="1:11">
      <c r="A98" s="7">
        <v>39847</v>
      </c>
      <c r="B98" s="1">
        <v>768.08</v>
      </c>
      <c r="C98" s="1" t="s">
        <v>13</v>
      </c>
      <c r="D98" s="13">
        <f>VALUE(MID(C98,9,3))</f>
        <v>311</v>
      </c>
      <c r="E98" s="14">
        <f>MONTH(A98)</f>
        <v>2</v>
      </c>
      <c r="G98" s="1" t="s">
        <v>205</v>
      </c>
      <c r="H98" s="1">
        <v>12542.64</v>
      </c>
      <c r="I98" s="1" t="s">
        <v>63</v>
      </c>
      <c r="J98" s="13">
        <f>VALUE(MID(I98,1,3))</f>
        <v>110</v>
      </c>
      <c r="K98" s="13">
        <f>VALUE(MID(G98,5,2))</f>
        <v>10</v>
      </c>
    </row>
    <row r="99" spans="1:11">
      <c r="A99" s="7">
        <v>39847</v>
      </c>
      <c r="B99" s="1">
        <v>973.14</v>
      </c>
      <c r="C99" s="1" t="s">
        <v>13</v>
      </c>
      <c r="D99" s="13">
        <f>VALUE(MID(C99,9,3))</f>
        <v>311</v>
      </c>
      <c r="E99" s="14">
        <f>MONTH(A99)</f>
        <v>2</v>
      </c>
      <c r="G99" s="1" t="s">
        <v>205</v>
      </c>
      <c r="H99" s="1">
        <v>-1043.46</v>
      </c>
      <c r="I99" s="1" t="s">
        <v>63</v>
      </c>
      <c r="J99" s="13">
        <f>VALUE(MID(I99,1,3))</f>
        <v>110</v>
      </c>
      <c r="K99" s="13">
        <f>VALUE(MID(G99,5,2))</f>
        <v>10</v>
      </c>
    </row>
    <row r="100" spans="1:11">
      <c r="A100" s="7">
        <v>39847</v>
      </c>
      <c r="B100" s="1">
        <v>783.84</v>
      </c>
      <c r="C100" s="1" t="s">
        <v>13</v>
      </c>
      <c r="D100" s="13">
        <f>VALUE(MID(C100,9,3))</f>
        <v>311</v>
      </c>
      <c r="E100" s="14">
        <f>MONTH(A100)</f>
        <v>2</v>
      </c>
      <c r="G100" s="1" t="s">
        <v>205</v>
      </c>
      <c r="H100" s="1">
        <v>31586.1</v>
      </c>
      <c r="I100" s="1" t="s">
        <v>63</v>
      </c>
      <c r="J100" s="13">
        <f>VALUE(MID(I100,1,3))</f>
        <v>110</v>
      </c>
      <c r="K100" s="13">
        <f>VALUE(MID(G100,5,2))</f>
        <v>10</v>
      </c>
    </row>
    <row r="101" spans="1:11">
      <c r="A101" s="7">
        <v>39847</v>
      </c>
      <c r="B101" s="1">
        <v>973.14</v>
      </c>
      <c r="C101" s="1" t="s">
        <v>13</v>
      </c>
      <c r="D101" s="13">
        <f>VALUE(MID(C101,9,3))</f>
        <v>311</v>
      </c>
      <c r="E101" s="14">
        <f>MONTH(A101)</f>
        <v>2</v>
      </c>
      <c r="G101" s="1" t="s">
        <v>205</v>
      </c>
      <c r="H101" s="1">
        <v>10308.07</v>
      </c>
      <c r="I101" s="1" t="s">
        <v>63</v>
      </c>
      <c r="J101" s="13">
        <f>VALUE(MID(I101,1,3))</f>
        <v>110</v>
      </c>
      <c r="K101" s="13">
        <f>VALUE(MID(G101,5,2))</f>
        <v>10</v>
      </c>
    </row>
    <row r="102" spans="1:11">
      <c r="A102" s="7">
        <v>39847</v>
      </c>
      <c r="B102" s="1">
        <v>815.1</v>
      </c>
      <c r="C102" s="1" t="s">
        <v>13</v>
      </c>
      <c r="D102" s="13">
        <f>VALUE(MID(C102,9,3))</f>
        <v>311</v>
      </c>
      <c r="E102" s="14">
        <f>MONTH(A102)</f>
        <v>2</v>
      </c>
      <c r="G102" s="1" t="s">
        <v>205</v>
      </c>
      <c r="H102" s="1">
        <v>1885.47</v>
      </c>
      <c r="I102" s="1" t="s">
        <v>67</v>
      </c>
      <c r="J102" s="13">
        <f>VALUE(MID(I102,1,3))</f>
        <v>110</v>
      </c>
      <c r="K102" s="13">
        <f>VALUE(MID(G102,5,2))</f>
        <v>10</v>
      </c>
    </row>
    <row r="103" spans="1:11">
      <c r="A103" s="7">
        <v>39847</v>
      </c>
      <c r="B103" s="1">
        <v>909.15</v>
      </c>
      <c r="C103" s="1" t="s">
        <v>3</v>
      </c>
      <c r="D103" s="13">
        <f>VALUE(MID(C103,9,3))</f>
        <v>311</v>
      </c>
      <c r="E103" s="14">
        <f>MONTH(A103)</f>
        <v>2</v>
      </c>
      <c r="G103" s="1" t="s">
        <v>205</v>
      </c>
      <c r="H103" s="1">
        <v>1052.69</v>
      </c>
      <c r="I103" s="1" t="s">
        <v>67</v>
      </c>
      <c r="J103" s="13">
        <f>VALUE(MID(I103,1,3))</f>
        <v>110</v>
      </c>
      <c r="K103" s="13">
        <f>VALUE(MID(G103,5,2))</f>
        <v>10</v>
      </c>
    </row>
    <row r="104" spans="1:11">
      <c r="A104" s="7">
        <v>39847</v>
      </c>
      <c r="B104" s="1">
        <v>256.42</v>
      </c>
      <c r="C104" s="1" t="s">
        <v>28</v>
      </c>
      <c r="D104" s="13">
        <f>VALUE(MID(C104,9,3))</f>
        <v>311</v>
      </c>
      <c r="E104" s="14">
        <f>MONTH(A104)</f>
        <v>2</v>
      </c>
      <c r="G104" s="1" t="s">
        <v>205</v>
      </c>
      <c r="H104" s="1">
        <v>-44.98</v>
      </c>
      <c r="I104" s="1" t="s">
        <v>67</v>
      </c>
      <c r="J104" s="13">
        <f>VALUE(MID(I104,1,3))</f>
        <v>110</v>
      </c>
      <c r="K104" s="13">
        <f>VALUE(MID(G104,5,2))</f>
        <v>10</v>
      </c>
    </row>
    <row r="105" spans="1:11">
      <c r="A105" s="7">
        <v>39847</v>
      </c>
      <c r="B105" s="1">
        <v>450.62</v>
      </c>
      <c r="C105" s="1" t="s">
        <v>28</v>
      </c>
      <c r="D105" s="13">
        <f>VALUE(MID(C105,9,3))</f>
        <v>311</v>
      </c>
      <c r="E105" s="14">
        <f>MONTH(A105)</f>
        <v>2</v>
      </c>
      <c r="G105" s="1" t="s">
        <v>205</v>
      </c>
      <c r="H105" s="1">
        <v>4241.6499999999996</v>
      </c>
      <c r="I105" s="1" t="s">
        <v>67</v>
      </c>
      <c r="J105" s="13">
        <f>VALUE(MID(I105,1,3))</f>
        <v>110</v>
      </c>
      <c r="K105" s="13">
        <f>VALUE(MID(G105,5,2))</f>
        <v>10</v>
      </c>
    </row>
    <row r="106" spans="1:11">
      <c r="A106" s="7">
        <v>39847</v>
      </c>
      <c r="B106" s="1">
        <v>572.5</v>
      </c>
      <c r="C106" s="1" t="s">
        <v>29</v>
      </c>
      <c r="D106" s="13">
        <f>VALUE(MID(C106,9,3))</f>
        <v>311</v>
      </c>
      <c r="E106" s="14">
        <f>MONTH(A106)</f>
        <v>2</v>
      </c>
      <c r="G106" s="1" t="s">
        <v>205</v>
      </c>
      <c r="H106" s="1">
        <v>466.9</v>
      </c>
      <c r="I106" s="1" t="s">
        <v>67</v>
      </c>
      <c r="J106" s="13">
        <f>VALUE(MID(I106,1,3))</f>
        <v>110</v>
      </c>
      <c r="K106" s="13">
        <f>VALUE(MID(G106,5,2))</f>
        <v>10</v>
      </c>
    </row>
    <row r="107" spans="1:11">
      <c r="A107" s="7">
        <v>39847</v>
      </c>
      <c r="B107" s="1">
        <v>532.99</v>
      </c>
      <c r="C107" s="1" t="s">
        <v>29</v>
      </c>
      <c r="D107" s="13">
        <f>VALUE(MID(C107,9,3))</f>
        <v>311</v>
      </c>
      <c r="E107" s="14">
        <f>MONTH(A107)</f>
        <v>2</v>
      </c>
      <c r="G107" s="1" t="s">
        <v>205</v>
      </c>
      <c r="H107" s="1">
        <v>582.58000000000004</v>
      </c>
      <c r="I107" s="1" t="s">
        <v>169</v>
      </c>
      <c r="J107" s="13">
        <f>VALUE(MID(I107,1,3))</f>
        <v>110</v>
      </c>
      <c r="K107" s="13">
        <f>VALUE(MID(G107,5,2))</f>
        <v>10</v>
      </c>
    </row>
    <row r="108" spans="1:11">
      <c r="A108" s="7">
        <v>39847</v>
      </c>
      <c r="B108" s="1">
        <v>111.9</v>
      </c>
      <c r="C108" s="1" t="s">
        <v>30</v>
      </c>
      <c r="D108" s="13">
        <f>VALUE(MID(C108,9,3))</f>
        <v>311</v>
      </c>
      <c r="E108" s="14">
        <f>MONTH(A108)</f>
        <v>2</v>
      </c>
      <c r="G108" s="1" t="s">
        <v>213</v>
      </c>
      <c r="H108" s="1">
        <v>23092.82</v>
      </c>
      <c r="I108" s="1" t="s">
        <v>63</v>
      </c>
      <c r="J108" s="13">
        <f>VALUE(MID(I108,1,3))</f>
        <v>110</v>
      </c>
      <c r="K108" s="13">
        <f>VALUE(MID(G108,5,2))</f>
        <v>11</v>
      </c>
    </row>
    <row r="109" spans="1:11">
      <c r="A109" s="7">
        <v>39847</v>
      </c>
      <c r="B109" s="1">
        <v>75</v>
      </c>
      <c r="C109" s="1" t="s">
        <v>21</v>
      </c>
      <c r="D109" s="13">
        <f>VALUE(MID(C109,9,3))</f>
        <v>311</v>
      </c>
      <c r="E109" s="14">
        <f>MONTH(A109)</f>
        <v>2</v>
      </c>
      <c r="G109" s="1" t="s">
        <v>213</v>
      </c>
      <c r="H109" s="1">
        <v>-458.65</v>
      </c>
      <c r="I109" s="1" t="s">
        <v>63</v>
      </c>
      <c r="J109" s="13">
        <f>VALUE(MID(I109,1,3))</f>
        <v>110</v>
      </c>
      <c r="K109" s="13">
        <f>VALUE(MID(G109,5,2))</f>
        <v>11</v>
      </c>
    </row>
    <row r="110" spans="1:11">
      <c r="A110" s="7">
        <v>39847</v>
      </c>
      <c r="B110" s="1">
        <v>10</v>
      </c>
      <c r="C110" s="1" t="s">
        <v>31</v>
      </c>
      <c r="D110" s="13">
        <f>VALUE(MID(C110,9,3))</f>
        <v>311</v>
      </c>
      <c r="E110" s="14">
        <f>MONTH(A110)</f>
        <v>2</v>
      </c>
      <c r="G110" s="1" t="s">
        <v>213</v>
      </c>
      <c r="H110" s="1">
        <v>12521.45</v>
      </c>
      <c r="I110" s="1" t="s">
        <v>63</v>
      </c>
      <c r="J110" s="13">
        <f>VALUE(MID(I110,1,3))</f>
        <v>110</v>
      </c>
      <c r="K110" s="13">
        <f>VALUE(MID(G110,5,2))</f>
        <v>11</v>
      </c>
    </row>
    <row r="111" spans="1:11">
      <c r="A111" s="7">
        <v>39875</v>
      </c>
      <c r="B111" s="1">
        <v>216.91</v>
      </c>
      <c r="C111" s="1" t="s">
        <v>29</v>
      </c>
      <c r="D111" s="13">
        <f>VALUE(MID(C111,9,3))</f>
        <v>311</v>
      </c>
      <c r="E111" s="14">
        <f>MONTH(A111)</f>
        <v>3</v>
      </c>
      <c r="G111" s="1" t="s">
        <v>213</v>
      </c>
      <c r="H111" s="1">
        <v>34940.22</v>
      </c>
      <c r="I111" s="1" t="s">
        <v>63</v>
      </c>
      <c r="J111" s="13">
        <f>VALUE(MID(I111,1,3))</f>
        <v>110</v>
      </c>
      <c r="K111" s="13">
        <f>VALUE(MID(G111,5,2))</f>
        <v>11</v>
      </c>
    </row>
    <row r="112" spans="1:11">
      <c r="A112" s="7">
        <v>39875</v>
      </c>
      <c r="B112" s="1">
        <v>75</v>
      </c>
      <c r="C112" s="1" t="s">
        <v>21</v>
      </c>
      <c r="D112" s="13">
        <f>VALUE(MID(C112,9,3))</f>
        <v>311</v>
      </c>
      <c r="E112" s="14">
        <f>MONTH(A112)</f>
        <v>3</v>
      </c>
      <c r="G112" s="1" t="s">
        <v>213</v>
      </c>
      <c r="H112" s="1">
        <v>-2474.36</v>
      </c>
      <c r="I112" s="1" t="s">
        <v>63</v>
      </c>
      <c r="J112" s="13">
        <f>VALUE(MID(I112,1,3))</f>
        <v>110</v>
      </c>
      <c r="K112" s="13">
        <f>VALUE(MID(G112,5,2))</f>
        <v>11</v>
      </c>
    </row>
    <row r="113" spans="1:11">
      <c r="A113" s="7">
        <v>39875</v>
      </c>
      <c r="B113" s="1">
        <v>75</v>
      </c>
      <c r="C113" s="1" t="s">
        <v>21</v>
      </c>
      <c r="D113" s="13">
        <f>VALUE(MID(C113,9,3))</f>
        <v>311</v>
      </c>
      <c r="E113" s="14">
        <f>MONTH(A113)</f>
        <v>3</v>
      </c>
      <c r="G113" s="1" t="s">
        <v>213</v>
      </c>
      <c r="H113" s="1">
        <v>12922.07</v>
      </c>
      <c r="I113" s="1" t="s">
        <v>63</v>
      </c>
      <c r="J113" s="13">
        <f>VALUE(MID(I113,1,3))</f>
        <v>110</v>
      </c>
      <c r="K113" s="13">
        <f>VALUE(MID(G113,5,2))</f>
        <v>11</v>
      </c>
    </row>
    <row r="114" spans="1:11">
      <c r="A114" s="7">
        <v>39906</v>
      </c>
      <c r="B114" s="1">
        <v>1881</v>
      </c>
      <c r="C114" s="1" t="s">
        <v>7</v>
      </c>
      <c r="D114" s="13">
        <f>VALUE(MID(C114,9,3))</f>
        <v>311</v>
      </c>
      <c r="E114" s="14">
        <f>MONTH(A114)</f>
        <v>4</v>
      </c>
      <c r="G114" s="1" t="s">
        <v>213</v>
      </c>
      <c r="H114" s="1">
        <v>1885.47</v>
      </c>
      <c r="I114" s="1" t="s">
        <v>67</v>
      </c>
      <c r="J114" s="13">
        <f>VALUE(MID(I114,1,3))</f>
        <v>110</v>
      </c>
      <c r="K114" s="13">
        <f>VALUE(MID(G114,5,2))</f>
        <v>11</v>
      </c>
    </row>
    <row r="115" spans="1:11">
      <c r="A115" s="7">
        <v>39906</v>
      </c>
      <c r="B115" s="1">
        <v>987.52</v>
      </c>
      <c r="C115" s="1" t="s">
        <v>8</v>
      </c>
      <c r="D115" s="13">
        <f>VALUE(MID(C115,9,3))</f>
        <v>311</v>
      </c>
      <c r="E115" s="14">
        <f>MONTH(A115)</f>
        <v>4</v>
      </c>
      <c r="G115" s="1" t="s">
        <v>213</v>
      </c>
      <c r="H115" s="1">
        <v>-20.76</v>
      </c>
      <c r="I115" s="1" t="s">
        <v>67</v>
      </c>
      <c r="J115" s="13">
        <f>VALUE(MID(I115,1,3))</f>
        <v>110</v>
      </c>
      <c r="K115" s="13">
        <f>VALUE(MID(G115,5,2))</f>
        <v>11</v>
      </c>
    </row>
    <row r="116" spans="1:11">
      <c r="A116" s="7">
        <v>39906</v>
      </c>
      <c r="B116" s="1">
        <v>2243.02</v>
      </c>
      <c r="C116" s="1" t="s">
        <v>9</v>
      </c>
      <c r="D116" s="13">
        <f>VALUE(MID(C116,9,3))</f>
        <v>311</v>
      </c>
      <c r="E116" s="14">
        <f>MONTH(A116)</f>
        <v>4</v>
      </c>
      <c r="G116" s="1" t="s">
        <v>213</v>
      </c>
      <c r="H116" s="1">
        <v>1052.69</v>
      </c>
      <c r="I116" s="1" t="s">
        <v>67</v>
      </c>
      <c r="J116" s="13">
        <f>VALUE(MID(I116,1,3))</f>
        <v>110</v>
      </c>
      <c r="K116" s="13">
        <f>VALUE(MID(G116,5,2))</f>
        <v>11</v>
      </c>
    </row>
    <row r="117" spans="1:11">
      <c r="A117" s="7">
        <v>39906</v>
      </c>
      <c r="B117" s="1">
        <v>4428.49</v>
      </c>
      <c r="C117" s="1" t="s">
        <v>13</v>
      </c>
      <c r="D117" s="13">
        <f>VALUE(MID(C117,9,3))</f>
        <v>311</v>
      </c>
      <c r="E117" s="14">
        <f>MONTH(A117)</f>
        <v>4</v>
      </c>
      <c r="G117" s="1" t="s">
        <v>213</v>
      </c>
      <c r="H117" s="1">
        <v>4345.45</v>
      </c>
      <c r="I117" s="1" t="s">
        <v>67</v>
      </c>
      <c r="J117" s="13">
        <f>VALUE(MID(I117,1,3))</f>
        <v>110</v>
      </c>
      <c r="K117" s="13">
        <f>VALUE(MID(G117,5,2))</f>
        <v>11</v>
      </c>
    </row>
    <row r="118" spans="1:11">
      <c r="A118" s="7">
        <v>39906</v>
      </c>
      <c r="B118" s="1">
        <v>2351.25</v>
      </c>
      <c r="C118" s="1" t="s">
        <v>3</v>
      </c>
      <c r="D118" s="13">
        <f>VALUE(MID(C118,9,3))</f>
        <v>311</v>
      </c>
      <c r="E118" s="14">
        <f>MONTH(A118)</f>
        <v>4</v>
      </c>
      <c r="G118" s="1" t="s">
        <v>213</v>
      </c>
      <c r="H118" s="1">
        <v>-236.36</v>
      </c>
      <c r="I118" s="1" t="s">
        <v>67</v>
      </c>
      <c r="J118" s="13">
        <f>VALUE(MID(I118,1,3))</f>
        <v>110</v>
      </c>
      <c r="K118" s="13">
        <f>VALUE(MID(G118,5,2))</f>
        <v>11</v>
      </c>
    </row>
    <row r="119" spans="1:11">
      <c r="A119" s="7">
        <v>39967</v>
      </c>
      <c r="B119" s="1">
        <v>60</v>
      </c>
      <c r="C119" s="1" t="s">
        <v>33</v>
      </c>
      <c r="D119" s="13">
        <f>VALUE(MID(C119,9,3))</f>
        <v>311</v>
      </c>
      <c r="E119" s="14">
        <f>MONTH(A119)</f>
        <v>6</v>
      </c>
      <c r="G119" s="1" t="s">
        <v>213</v>
      </c>
      <c r="H119" s="1">
        <v>466.9</v>
      </c>
      <c r="I119" s="1" t="s">
        <v>67</v>
      </c>
      <c r="J119" s="13">
        <f>VALUE(MID(I119,1,3))</f>
        <v>110</v>
      </c>
      <c r="K119" s="13">
        <f>VALUE(MID(G119,5,2))</f>
        <v>11</v>
      </c>
    </row>
    <row r="120" spans="1:11">
      <c r="A120" s="7">
        <v>39997</v>
      </c>
      <c r="B120" s="1">
        <v>120</v>
      </c>
      <c r="C120" s="1" t="s">
        <v>33</v>
      </c>
      <c r="D120" s="13">
        <f>VALUE(MID(C120,9,3))</f>
        <v>311</v>
      </c>
      <c r="E120" s="14">
        <f>MONTH(A120)</f>
        <v>7</v>
      </c>
      <c r="G120" s="1" t="s">
        <v>220</v>
      </c>
      <c r="H120" s="1">
        <v>46789.31</v>
      </c>
      <c r="I120" s="1" t="s">
        <v>63</v>
      </c>
      <c r="J120" s="13">
        <f>VALUE(MID(I120,1,3))</f>
        <v>110</v>
      </c>
      <c r="K120" s="13">
        <f>VALUE(MID(G120,5,2))</f>
        <v>12</v>
      </c>
    </row>
    <row r="121" spans="1:11">
      <c r="A121" s="7">
        <v>39997</v>
      </c>
      <c r="B121" s="1">
        <v>414.46</v>
      </c>
      <c r="C121" s="1" t="s">
        <v>5</v>
      </c>
      <c r="D121" s="13">
        <f>VALUE(MID(C121,9,3))</f>
        <v>311</v>
      </c>
      <c r="E121" s="14">
        <f>MONTH(A121)</f>
        <v>7</v>
      </c>
      <c r="G121" s="1" t="s">
        <v>220</v>
      </c>
      <c r="H121" s="1">
        <v>27381.29</v>
      </c>
      <c r="I121" s="1" t="s">
        <v>63</v>
      </c>
      <c r="J121" s="13">
        <f>VALUE(MID(I121,1,3))</f>
        <v>110</v>
      </c>
      <c r="K121" s="13">
        <f>VALUE(MID(G121,5,2))</f>
        <v>12</v>
      </c>
    </row>
    <row r="122" spans="1:11">
      <c r="A122" s="7">
        <v>39997</v>
      </c>
      <c r="B122" s="1">
        <v>374.95</v>
      </c>
      <c r="C122" s="1" t="s">
        <v>6</v>
      </c>
      <c r="D122" s="13">
        <f>VALUE(MID(C122,9,3))</f>
        <v>311</v>
      </c>
      <c r="E122" s="14">
        <f>MONTH(A122)</f>
        <v>7</v>
      </c>
      <c r="G122" s="1" t="s">
        <v>220</v>
      </c>
      <c r="H122" s="1">
        <v>69051.83</v>
      </c>
      <c r="I122" s="1" t="s">
        <v>63</v>
      </c>
      <c r="J122" s="13">
        <f>VALUE(MID(I122,1,3))</f>
        <v>110</v>
      </c>
      <c r="K122" s="13">
        <f>VALUE(MID(G122,5,2))</f>
        <v>12</v>
      </c>
    </row>
    <row r="123" spans="1:11">
      <c r="A123" s="7">
        <v>39997</v>
      </c>
      <c r="B123" s="1">
        <v>1350</v>
      </c>
      <c r="C123" s="1" t="s">
        <v>27</v>
      </c>
      <c r="D123" s="13">
        <f>VALUE(MID(C123,9,3))</f>
        <v>311</v>
      </c>
      <c r="E123" s="14">
        <f>MONTH(A123)</f>
        <v>7</v>
      </c>
      <c r="G123" s="1" t="s">
        <v>220</v>
      </c>
      <c r="H123" s="1">
        <v>23127.72</v>
      </c>
      <c r="I123" s="1" t="s">
        <v>63</v>
      </c>
      <c r="J123" s="13">
        <f>VALUE(MID(I123,1,3))</f>
        <v>110</v>
      </c>
      <c r="K123" s="13">
        <f>VALUE(MID(G123,5,2))</f>
        <v>12</v>
      </c>
    </row>
    <row r="124" spans="1:11">
      <c r="A124" s="7">
        <v>39997</v>
      </c>
      <c r="B124" s="1">
        <v>300</v>
      </c>
      <c r="C124" s="1" t="s">
        <v>20</v>
      </c>
      <c r="D124" s="13">
        <f>VALUE(MID(C124,9,3))</f>
        <v>311</v>
      </c>
      <c r="E124" s="14">
        <f>MONTH(A124)</f>
        <v>7</v>
      </c>
      <c r="G124" s="1" t="s">
        <v>220</v>
      </c>
      <c r="H124" s="1">
        <v>1989.27</v>
      </c>
      <c r="I124" s="1" t="s">
        <v>67</v>
      </c>
      <c r="J124" s="13">
        <f>VALUE(MID(I124,1,3))</f>
        <v>110</v>
      </c>
      <c r="K124" s="13">
        <f>VALUE(MID(G124,5,2))</f>
        <v>12</v>
      </c>
    </row>
    <row r="125" spans="1:11">
      <c r="A125" s="7">
        <v>40028</v>
      </c>
      <c r="B125" s="1">
        <v>453.97</v>
      </c>
      <c r="C125" s="1" t="s">
        <v>6</v>
      </c>
      <c r="D125" s="13">
        <f>VALUE(MID(C125,9,3))</f>
        <v>311</v>
      </c>
      <c r="E125" s="14">
        <f>MONTH(A125)</f>
        <v>8</v>
      </c>
      <c r="G125" s="1" t="s">
        <v>220</v>
      </c>
      <c r="H125" s="1">
        <v>1052.69</v>
      </c>
      <c r="I125" s="1" t="s">
        <v>67</v>
      </c>
      <c r="J125" s="13">
        <f>VALUE(MID(I125,1,3))</f>
        <v>110</v>
      </c>
      <c r="K125" s="13">
        <f>VALUE(MID(G125,5,2))</f>
        <v>12</v>
      </c>
    </row>
    <row r="126" spans="1:11">
      <c r="A126" s="7">
        <v>40059</v>
      </c>
      <c r="B126" s="1">
        <v>901.5</v>
      </c>
      <c r="C126" s="1" t="s">
        <v>8</v>
      </c>
      <c r="D126" s="13">
        <f>VALUE(MID(C126,9,3))</f>
        <v>311</v>
      </c>
      <c r="E126" s="14">
        <f>MONTH(A126)</f>
        <v>9</v>
      </c>
      <c r="G126" s="1" t="s">
        <v>220</v>
      </c>
      <c r="H126" s="1">
        <v>4345.45</v>
      </c>
      <c r="I126" s="1" t="s">
        <v>67</v>
      </c>
      <c r="J126" s="13">
        <f>VALUE(MID(I126,1,3))</f>
        <v>110</v>
      </c>
      <c r="K126" s="13">
        <f>VALUE(MID(G126,5,2))</f>
        <v>12</v>
      </c>
    </row>
    <row r="127" spans="1:11">
      <c r="A127" s="7">
        <v>40059</v>
      </c>
      <c r="B127" s="1">
        <v>556.65</v>
      </c>
      <c r="C127" s="1" t="s">
        <v>8</v>
      </c>
      <c r="D127" s="13">
        <f>VALUE(MID(C127,9,3))</f>
        <v>311</v>
      </c>
      <c r="E127" s="14">
        <f>MONTH(A127)</f>
        <v>9</v>
      </c>
      <c r="G127" s="1" t="s">
        <v>220</v>
      </c>
      <c r="H127" s="1">
        <v>570.70000000000005</v>
      </c>
      <c r="I127" s="1" t="s">
        <v>67</v>
      </c>
      <c r="J127" s="13">
        <f>VALUE(MID(I127,1,3))</f>
        <v>110</v>
      </c>
      <c r="K127" s="13">
        <f>VALUE(MID(G127,5,2))</f>
        <v>12</v>
      </c>
    </row>
    <row r="128" spans="1:11">
      <c r="A128" s="7">
        <v>40059</v>
      </c>
      <c r="B128" s="1">
        <v>956.36</v>
      </c>
      <c r="C128" s="1" t="s">
        <v>8</v>
      </c>
      <c r="D128" s="13">
        <f>VALUE(MID(C128,9,3))</f>
        <v>311</v>
      </c>
      <c r="E128" s="14">
        <f>MONTH(A128)</f>
        <v>9</v>
      </c>
      <c r="G128" s="1" t="s">
        <v>64</v>
      </c>
      <c r="H128" s="1">
        <v>7328.36</v>
      </c>
      <c r="I128" s="1" t="s">
        <v>66</v>
      </c>
      <c r="J128" s="13">
        <f>VALUE(MID(I128,1,3))</f>
        <v>130</v>
      </c>
      <c r="K128" s="13">
        <f>VALUE(MID(G128,5,2))</f>
        <v>1</v>
      </c>
    </row>
    <row r="129" spans="1:11">
      <c r="A129" s="7">
        <v>40059</v>
      </c>
      <c r="B129" s="1">
        <v>995.55</v>
      </c>
      <c r="C129" s="1" t="s">
        <v>8</v>
      </c>
      <c r="D129" s="13">
        <f>VALUE(MID(C129,9,3))</f>
        <v>311</v>
      </c>
      <c r="E129" s="14">
        <f>MONTH(A129)</f>
        <v>9</v>
      </c>
      <c r="G129" s="1" t="s">
        <v>64</v>
      </c>
      <c r="H129" s="1">
        <v>4548</v>
      </c>
      <c r="I129" s="1" t="s">
        <v>66</v>
      </c>
      <c r="J129" s="13">
        <f>VALUE(MID(I129,1,3))</f>
        <v>130</v>
      </c>
      <c r="K129" s="13">
        <f>VALUE(MID(G129,5,2))</f>
        <v>1</v>
      </c>
    </row>
    <row r="130" spans="1:11">
      <c r="A130" s="7">
        <v>40059</v>
      </c>
      <c r="B130" s="1">
        <v>564.49</v>
      </c>
      <c r="C130" s="1" t="s">
        <v>8</v>
      </c>
      <c r="D130" s="13">
        <f>VALUE(MID(C130,9,3))</f>
        <v>311</v>
      </c>
      <c r="E130" s="14">
        <f>MONTH(A130)</f>
        <v>9</v>
      </c>
      <c r="G130" s="1" t="s">
        <v>64</v>
      </c>
      <c r="H130" s="1">
        <v>4920.7</v>
      </c>
      <c r="I130" s="1" t="s">
        <v>66</v>
      </c>
      <c r="J130" s="13">
        <f>VALUE(MID(I130,1,3))</f>
        <v>130</v>
      </c>
      <c r="K130" s="13">
        <f>VALUE(MID(G130,5,2))</f>
        <v>1</v>
      </c>
    </row>
    <row r="131" spans="1:11">
      <c r="A131" s="7">
        <v>40059</v>
      </c>
      <c r="B131" s="1">
        <v>478.18</v>
      </c>
      <c r="C131" s="1" t="s">
        <v>8</v>
      </c>
      <c r="D131" s="13">
        <f>VALUE(MID(C131,9,3))</f>
        <v>311</v>
      </c>
      <c r="E131" s="14">
        <f>MONTH(A131)</f>
        <v>9</v>
      </c>
      <c r="G131" s="1" t="s">
        <v>64</v>
      </c>
      <c r="H131" s="1">
        <v>827.39</v>
      </c>
      <c r="I131" s="1" t="s">
        <v>66</v>
      </c>
      <c r="J131" s="13">
        <f>VALUE(MID(I131,1,3))</f>
        <v>130</v>
      </c>
      <c r="K131" s="13">
        <f>VALUE(MID(G131,5,2))</f>
        <v>1</v>
      </c>
    </row>
    <row r="132" spans="1:11">
      <c r="A132" s="7">
        <v>40059</v>
      </c>
      <c r="B132" s="1">
        <v>1881</v>
      </c>
      <c r="C132" s="1" t="s">
        <v>9</v>
      </c>
      <c r="D132" s="13">
        <f>VALUE(MID(C132,9,3))</f>
        <v>311</v>
      </c>
      <c r="E132" s="14">
        <f>MONTH(A132)</f>
        <v>9</v>
      </c>
      <c r="G132" s="1" t="s">
        <v>114</v>
      </c>
      <c r="H132" s="1">
        <v>7668.62</v>
      </c>
      <c r="I132" s="1" t="s">
        <v>66</v>
      </c>
      <c r="J132" s="13">
        <f>VALUE(MID(I132,1,3))</f>
        <v>130</v>
      </c>
      <c r="K132" s="13">
        <f>VALUE(MID(G132,5,2))</f>
        <v>2</v>
      </c>
    </row>
    <row r="133" spans="1:11">
      <c r="A133" s="7">
        <v>40059</v>
      </c>
      <c r="B133" s="1">
        <v>1818.3</v>
      </c>
      <c r="C133" s="1" t="s">
        <v>9</v>
      </c>
      <c r="D133" s="13">
        <f>VALUE(MID(C133,9,3))</f>
        <v>311</v>
      </c>
      <c r="E133" s="14">
        <f>MONTH(A133)</f>
        <v>9</v>
      </c>
      <c r="G133" s="1" t="s">
        <v>114</v>
      </c>
      <c r="H133" s="1">
        <v>6769.5</v>
      </c>
      <c r="I133" s="1" t="s">
        <v>66</v>
      </c>
      <c r="J133" s="13">
        <f>VALUE(MID(I133,1,3))</f>
        <v>130</v>
      </c>
      <c r="K133" s="13">
        <f>VALUE(MID(G133,5,2))</f>
        <v>2</v>
      </c>
    </row>
    <row r="134" spans="1:11">
      <c r="A134" s="7">
        <v>40059</v>
      </c>
      <c r="B134" s="1">
        <v>2006.4</v>
      </c>
      <c r="C134" s="1" t="s">
        <v>9</v>
      </c>
      <c r="D134" s="13">
        <f>VALUE(MID(C134,9,3))</f>
        <v>311</v>
      </c>
      <c r="E134" s="14">
        <f>MONTH(A134)</f>
        <v>9</v>
      </c>
      <c r="G134" s="1" t="s">
        <v>114</v>
      </c>
      <c r="H134" s="1">
        <v>10609.86</v>
      </c>
      <c r="I134" s="1" t="s">
        <v>66</v>
      </c>
      <c r="J134" s="13">
        <f>VALUE(MID(I134,1,3))</f>
        <v>130</v>
      </c>
      <c r="K134" s="13">
        <f>VALUE(MID(G134,5,2))</f>
        <v>2</v>
      </c>
    </row>
    <row r="135" spans="1:11">
      <c r="A135" s="7">
        <v>40059</v>
      </c>
      <c r="B135" s="1">
        <v>1724.25</v>
      </c>
      <c r="C135" s="1" t="s">
        <v>9</v>
      </c>
      <c r="D135" s="13">
        <f>VALUE(MID(C135,9,3))</f>
        <v>311</v>
      </c>
      <c r="E135" s="14">
        <f>MONTH(A135)</f>
        <v>9</v>
      </c>
      <c r="G135" s="1" t="s">
        <v>114</v>
      </c>
      <c r="H135" s="1">
        <v>1676.16</v>
      </c>
      <c r="I135" s="1" t="s">
        <v>66</v>
      </c>
      <c r="J135" s="13">
        <f>VALUE(MID(I135,1,3))</f>
        <v>130</v>
      </c>
      <c r="K135" s="13">
        <f>VALUE(MID(G135,5,2))</f>
        <v>2</v>
      </c>
    </row>
    <row r="136" spans="1:11">
      <c r="A136" s="7">
        <v>40059</v>
      </c>
      <c r="B136" s="1">
        <v>523.79999999999995</v>
      </c>
      <c r="C136" s="1" t="s">
        <v>12</v>
      </c>
      <c r="D136" s="13">
        <f>VALUE(MID(C136,9,3))</f>
        <v>311</v>
      </c>
      <c r="E136" s="14">
        <f>MONTH(A136)</f>
        <v>9</v>
      </c>
      <c r="G136" s="1" t="s">
        <v>131</v>
      </c>
      <c r="H136" s="1">
        <v>7630.49</v>
      </c>
      <c r="I136" s="1" t="s">
        <v>66</v>
      </c>
      <c r="J136" s="13">
        <f>VALUE(MID(I136,1,3))</f>
        <v>130</v>
      </c>
      <c r="K136" s="13">
        <f>VALUE(MID(G136,5,2))</f>
        <v>3</v>
      </c>
    </row>
    <row r="137" spans="1:11">
      <c r="A137" s="7">
        <v>40059</v>
      </c>
      <c r="B137" s="1">
        <v>481.69</v>
      </c>
      <c r="C137" s="1" t="s">
        <v>12</v>
      </c>
      <c r="D137" s="13">
        <f>VALUE(MID(C137,9,3))</f>
        <v>311</v>
      </c>
      <c r="E137" s="14">
        <f>MONTH(A137)</f>
        <v>9</v>
      </c>
      <c r="G137" s="1" t="s">
        <v>131</v>
      </c>
      <c r="H137" s="1">
        <v>5889.25</v>
      </c>
      <c r="I137" s="1" t="s">
        <v>66</v>
      </c>
      <c r="J137" s="13">
        <f>VALUE(MID(I137,1,3))</f>
        <v>130</v>
      </c>
      <c r="K137" s="13">
        <f>VALUE(MID(G137,5,2))</f>
        <v>3</v>
      </c>
    </row>
    <row r="138" spans="1:11">
      <c r="A138" s="7">
        <v>40059</v>
      </c>
      <c r="B138" s="1">
        <v>565.59</v>
      </c>
      <c r="C138" s="1" t="s">
        <v>13</v>
      </c>
      <c r="D138" s="13">
        <f>VALUE(MID(C138,9,3))</f>
        <v>311</v>
      </c>
      <c r="E138" s="14">
        <f>MONTH(A138)</f>
        <v>9</v>
      </c>
      <c r="G138" s="1" t="s">
        <v>131</v>
      </c>
      <c r="H138" s="1">
        <v>19378.75</v>
      </c>
      <c r="I138" s="1" t="s">
        <v>66</v>
      </c>
      <c r="J138" s="13">
        <f>VALUE(MID(I138,1,3))</f>
        <v>130</v>
      </c>
      <c r="K138" s="13">
        <f>VALUE(MID(G138,5,2))</f>
        <v>3</v>
      </c>
    </row>
    <row r="139" spans="1:11">
      <c r="A139" s="7">
        <v>40059</v>
      </c>
      <c r="B139" s="1">
        <v>940.5</v>
      </c>
      <c r="C139" s="1" t="s">
        <v>13</v>
      </c>
      <c r="D139" s="13">
        <f>VALUE(MID(C139,9,3))</f>
        <v>311</v>
      </c>
      <c r="E139" s="14">
        <f>MONTH(A139)</f>
        <v>9</v>
      </c>
      <c r="G139" s="1" t="s">
        <v>131</v>
      </c>
      <c r="H139" s="1">
        <v>5819.4</v>
      </c>
      <c r="I139" s="1" t="s">
        <v>66</v>
      </c>
      <c r="J139" s="13">
        <f>VALUE(MID(I139,1,3))</f>
        <v>130</v>
      </c>
      <c r="K139" s="13">
        <f>VALUE(MID(G139,5,2))</f>
        <v>3</v>
      </c>
    </row>
    <row r="140" spans="1:11">
      <c r="A140" s="7">
        <v>40059</v>
      </c>
      <c r="B140" s="1">
        <v>600.45000000000005</v>
      </c>
      <c r="C140" s="1" t="s">
        <v>13</v>
      </c>
      <c r="D140" s="13">
        <f>VALUE(MID(C140,9,3))</f>
        <v>311</v>
      </c>
      <c r="E140" s="14">
        <f>MONTH(A140)</f>
        <v>9</v>
      </c>
      <c r="G140" s="1" t="s">
        <v>149</v>
      </c>
      <c r="H140" s="1">
        <v>7254.49</v>
      </c>
      <c r="I140" s="1" t="s">
        <v>66</v>
      </c>
      <c r="J140" s="13">
        <f>VALUE(MID(I140,1,3))</f>
        <v>130</v>
      </c>
      <c r="K140" s="13">
        <f>VALUE(MID(G140,5,2))</f>
        <v>4</v>
      </c>
    </row>
    <row r="141" spans="1:11">
      <c r="A141" s="7">
        <v>40059</v>
      </c>
      <c r="B141" s="1">
        <v>973.14</v>
      </c>
      <c r="C141" s="1" t="s">
        <v>13</v>
      </c>
      <c r="D141" s="13">
        <f>VALUE(MID(C141,9,3))</f>
        <v>311</v>
      </c>
      <c r="E141" s="14">
        <f>MONTH(A141)</f>
        <v>9</v>
      </c>
      <c r="G141" s="1" t="s">
        <v>149</v>
      </c>
      <c r="H141" s="1">
        <v>2041.25</v>
      </c>
      <c r="I141" s="1" t="s">
        <v>66</v>
      </c>
      <c r="J141" s="13">
        <f>VALUE(MID(I141,1,3))</f>
        <v>130</v>
      </c>
      <c r="K141" s="13">
        <f>VALUE(MID(G141,5,2))</f>
        <v>4</v>
      </c>
    </row>
    <row r="142" spans="1:11">
      <c r="A142" s="7">
        <v>40059</v>
      </c>
      <c r="B142" s="1">
        <v>783.75</v>
      </c>
      <c r="C142" s="1" t="s">
        <v>3</v>
      </c>
      <c r="D142" s="13">
        <f>VALUE(MID(C142,9,3))</f>
        <v>311</v>
      </c>
      <c r="E142" s="14">
        <f>MONTH(A142)</f>
        <v>9</v>
      </c>
      <c r="G142" s="1" t="s">
        <v>149</v>
      </c>
      <c r="H142" s="1">
        <v>17160.57</v>
      </c>
      <c r="I142" s="1" t="s">
        <v>66</v>
      </c>
      <c r="J142" s="13">
        <f>VALUE(MID(I142,1,3))</f>
        <v>130</v>
      </c>
      <c r="K142" s="13">
        <f>VALUE(MID(G142,5,2))</f>
        <v>4</v>
      </c>
    </row>
    <row r="143" spans="1:11">
      <c r="A143" s="7">
        <v>40059</v>
      </c>
      <c r="B143" s="1">
        <v>1034.55</v>
      </c>
      <c r="C143" s="1" t="s">
        <v>3</v>
      </c>
      <c r="D143" s="13">
        <f>VALUE(MID(C143,9,3))</f>
        <v>311</v>
      </c>
      <c r="E143" s="14">
        <f>MONTH(A143)</f>
        <v>9</v>
      </c>
      <c r="G143" s="1" t="s">
        <v>149</v>
      </c>
      <c r="H143" s="1">
        <v>3719.32</v>
      </c>
      <c r="I143" s="1" t="s">
        <v>66</v>
      </c>
      <c r="J143" s="13">
        <f>VALUE(MID(I143,1,3))</f>
        <v>130</v>
      </c>
      <c r="K143" s="13">
        <f>VALUE(MID(G143,5,2))</f>
        <v>4</v>
      </c>
    </row>
    <row r="144" spans="1:11">
      <c r="A144" s="7">
        <v>40059</v>
      </c>
      <c r="B144" s="1">
        <v>470.25</v>
      </c>
      <c r="C144" s="1" t="s">
        <v>3</v>
      </c>
      <c r="D144" s="13">
        <f>VALUE(MID(C144,9,3))</f>
        <v>311</v>
      </c>
      <c r="E144" s="14">
        <f>MONTH(A144)</f>
        <v>9</v>
      </c>
      <c r="G144" s="1" t="s">
        <v>163</v>
      </c>
      <c r="H144" s="1">
        <v>7623.5</v>
      </c>
      <c r="I144" s="1" t="s">
        <v>66</v>
      </c>
      <c r="J144" s="13">
        <f>VALUE(MID(I144,1,3))</f>
        <v>130</v>
      </c>
      <c r="K144" s="13">
        <f>VALUE(MID(G144,5,2))</f>
        <v>5</v>
      </c>
    </row>
    <row r="145" spans="1:11">
      <c r="A145" s="7">
        <v>40059</v>
      </c>
      <c r="B145" s="1">
        <v>858.88</v>
      </c>
      <c r="C145" s="1" t="s">
        <v>5</v>
      </c>
      <c r="D145" s="13">
        <f>VALUE(MID(C145,9,3))</f>
        <v>311</v>
      </c>
      <c r="E145" s="14">
        <f>MONTH(A145)</f>
        <v>9</v>
      </c>
      <c r="G145" s="1" t="s">
        <v>163</v>
      </c>
      <c r="H145" s="1">
        <v>-418.69</v>
      </c>
      <c r="I145" s="1" t="s">
        <v>66</v>
      </c>
      <c r="J145" s="13">
        <f>VALUE(MID(I145,1,3))</f>
        <v>130</v>
      </c>
      <c r="K145" s="13">
        <f>VALUE(MID(G145,5,2))</f>
        <v>5</v>
      </c>
    </row>
    <row r="146" spans="1:11">
      <c r="A146" s="7">
        <v>40059</v>
      </c>
      <c r="B146" s="1">
        <v>858.88</v>
      </c>
      <c r="C146" s="1" t="s">
        <v>5</v>
      </c>
      <c r="D146" s="13">
        <f>VALUE(MID(C146,9,3))</f>
        <v>311</v>
      </c>
      <c r="E146" s="14">
        <f>MONTH(A146)</f>
        <v>9</v>
      </c>
      <c r="G146" s="1" t="s">
        <v>163</v>
      </c>
      <c r="H146" s="1">
        <v>1717.75</v>
      </c>
      <c r="I146" s="1" t="s">
        <v>66</v>
      </c>
      <c r="J146" s="13">
        <f>VALUE(MID(I146,1,3))</f>
        <v>130</v>
      </c>
      <c r="K146" s="13">
        <f>VALUE(MID(G146,5,2))</f>
        <v>5</v>
      </c>
    </row>
    <row r="147" spans="1:11">
      <c r="A147" s="7">
        <v>40059</v>
      </c>
      <c r="B147" s="1">
        <v>635</v>
      </c>
      <c r="C147" s="1" t="s">
        <v>5</v>
      </c>
      <c r="D147" s="13">
        <f>VALUE(MID(C147,9,3))</f>
        <v>311</v>
      </c>
      <c r="E147" s="14">
        <f>MONTH(A147)</f>
        <v>9</v>
      </c>
      <c r="G147" s="1" t="s">
        <v>163</v>
      </c>
      <c r="H147" s="1">
        <v>16550.78</v>
      </c>
      <c r="I147" s="1" t="s">
        <v>66</v>
      </c>
      <c r="J147" s="13">
        <f>VALUE(MID(I147,1,3))</f>
        <v>130</v>
      </c>
      <c r="K147" s="13">
        <f>VALUE(MID(G147,5,2))</f>
        <v>5</v>
      </c>
    </row>
    <row r="148" spans="1:11">
      <c r="A148" s="7">
        <v>40059</v>
      </c>
      <c r="B148" s="1">
        <v>437.44</v>
      </c>
      <c r="C148" s="1" t="s">
        <v>5</v>
      </c>
      <c r="D148" s="13">
        <f>VALUE(MID(C148,9,3))</f>
        <v>311</v>
      </c>
      <c r="E148" s="14">
        <f>MONTH(A148)</f>
        <v>9</v>
      </c>
      <c r="G148" s="1" t="s">
        <v>163</v>
      </c>
      <c r="H148" s="1">
        <v>2914.32</v>
      </c>
      <c r="I148" s="1" t="s">
        <v>66</v>
      </c>
      <c r="J148" s="13">
        <f>VALUE(MID(I148,1,3))</f>
        <v>130</v>
      </c>
      <c r="K148" s="13">
        <f>VALUE(MID(G148,5,2))</f>
        <v>5</v>
      </c>
    </row>
    <row r="149" spans="1:11">
      <c r="A149" s="7">
        <v>40059</v>
      </c>
      <c r="B149" s="1">
        <v>481.37</v>
      </c>
      <c r="C149" s="1" t="s">
        <v>6</v>
      </c>
      <c r="D149" s="13">
        <f>VALUE(MID(C149,9,3))</f>
        <v>311</v>
      </c>
      <c r="E149" s="14">
        <f>MONTH(A149)</f>
        <v>9</v>
      </c>
      <c r="G149" s="1" t="s">
        <v>167</v>
      </c>
      <c r="H149" s="1">
        <v>9479.9</v>
      </c>
      <c r="I149" s="1" t="s">
        <v>66</v>
      </c>
      <c r="J149" s="13">
        <f>VALUE(MID(I149,1,3))</f>
        <v>130</v>
      </c>
      <c r="K149" s="13">
        <f>VALUE(MID(G149,5,2))</f>
        <v>6</v>
      </c>
    </row>
    <row r="150" spans="1:11">
      <c r="A150" s="7">
        <v>40059</v>
      </c>
      <c r="B150" s="1">
        <v>532.99</v>
      </c>
      <c r="C150" s="1" t="s">
        <v>6</v>
      </c>
      <c r="D150" s="13">
        <f>VALUE(MID(C150,9,3))</f>
        <v>311</v>
      </c>
      <c r="E150" s="14">
        <f>MONTH(A150)</f>
        <v>9</v>
      </c>
      <c r="G150" s="1" t="s">
        <v>167</v>
      </c>
      <c r="H150" s="1">
        <v>-69.78</v>
      </c>
      <c r="I150" s="1" t="s">
        <v>66</v>
      </c>
      <c r="J150" s="13">
        <f>VALUE(MID(I150,1,3))</f>
        <v>130</v>
      </c>
      <c r="K150" s="13">
        <f>VALUE(MID(G150,5,2))</f>
        <v>6</v>
      </c>
    </row>
    <row r="151" spans="1:11">
      <c r="A151" s="7">
        <v>40120</v>
      </c>
      <c r="B151" s="1">
        <v>80</v>
      </c>
      <c r="C151" s="1" t="s">
        <v>18</v>
      </c>
      <c r="D151" s="13">
        <f>VALUE(MID(C151,9,3))</f>
        <v>311</v>
      </c>
      <c r="E151" s="14">
        <f>MONTH(A151)</f>
        <v>11</v>
      </c>
      <c r="G151" s="1" t="s">
        <v>167</v>
      </c>
      <c r="H151" s="1">
        <v>3396.75</v>
      </c>
      <c r="I151" s="1" t="s">
        <v>66</v>
      </c>
      <c r="J151" s="13">
        <f>VALUE(MID(I151,1,3))</f>
        <v>130</v>
      </c>
      <c r="K151" s="13">
        <f>VALUE(MID(G151,5,2))</f>
        <v>6</v>
      </c>
    </row>
    <row r="152" spans="1:11">
      <c r="A152" s="7">
        <v>40120</v>
      </c>
      <c r="B152" s="1">
        <v>15</v>
      </c>
      <c r="C152" s="1" t="s">
        <v>18</v>
      </c>
      <c r="D152" s="13">
        <f>VALUE(MID(C152,9,3))</f>
        <v>311</v>
      </c>
      <c r="E152" s="14">
        <f>MONTH(A152)</f>
        <v>11</v>
      </c>
      <c r="G152" s="1" t="s">
        <v>167</v>
      </c>
      <c r="H152" s="1">
        <v>19100.400000000001</v>
      </c>
      <c r="I152" s="1" t="s">
        <v>66</v>
      </c>
      <c r="J152" s="13">
        <f>VALUE(MID(I152,1,3))</f>
        <v>130</v>
      </c>
      <c r="K152" s="13">
        <f>VALUE(MID(G152,5,2))</f>
        <v>6</v>
      </c>
    </row>
    <row r="153" spans="1:11">
      <c r="A153" s="7">
        <v>40120</v>
      </c>
      <c r="B153" s="1">
        <v>80</v>
      </c>
      <c r="C153" s="1" t="s">
        <v>18</v>
      </c>
      <c r="D153" s="13">
        <f>VALUE(MID(C153,9,3))</f>
        <v>311</v>
      </c>
      <c r="E153" s="14">
        <f>MONTH(A153)</f>
        <v>11</v>
      </c>
      <c r="G153" s="1" t="s">
        <v>167</v>
      </c>
      <c r="H153" s="1">
        <v>5980.03</v>
      </c>
      <c r="I153" s="1" t="s">
        <v>66</v>
      </c>
      <c r="J153" s="13">
        <f>VALUE(MID(I153,1,3))</f>
        <v>130</v>
      </c>
      <c r="K153" s="13">
        <f>VALUE(MID(G153,5,2))</f>
        <v>6</v>
      </c>
    </row>
    <row r="154" spans="1:11">
      <c r="A154" s="7">
        <v>40120</v>
      </c>
      <c r="B154" s="1">
        <v>65</v>
      </c>
      <c r="C154" s="1" t="s">
        <v>18</v>
      </c>
      <c r="D154" s="13">
        <f>VALUE(MID(C154,9,3))</f>
        <v>311</v>
      </c>
      <c r="E154" s="14">
        <f>MONTH(A154)</f>
        <v>11</v>
      </c>
      <c r="G154" s="1" t="s">
        <v>180</v>
      </c>
      <c r="H154" s="1">
        <v>1307.22</v>
      </c>
      <c r="I154" s="1" t="s">
        <v>66</v>
      </c>
      <c r="J154" s="13">
        <f>VALUE(MID(I154,1,3))</f>
        <v>130</v>
      </c>
      <c r="K154" s="13">
        <f>VALUE(MID(G154,5,2))</f>
        <v>7</v>
      </c>
    </row>
    <row r="155" spans="1:11">
      <c r="A155" s="7">
        <v>40182</v>
      </c>
      <c r="B155" s="1">
        <v>753.51</v>
      </c>
      <c r="C155" s="1" t="s">
        <v>28</v>
      </c>
      <c r="D155" s="13">
        <f>VALUE(MID(C155,9,3))</f>
        <v>311</v>
      </c>
      <c r="E155" s="14">
        <f>MONTH(A155)</f>
        <v>1</v>
      </c>
      <c r="G155" s="1" t="s">
        <v>180</v>
      </c>
      <c r="H155" s="1">
        <v>1840.75</v>
      </c>
      <c r="I155" s="1" t="s">
        <v>66</v>
      </c>
      <c r="J155" s="13">
        <f>VALUE(MID(I155,1,3))</f>
        <v>130</v>
      </c>
      <c r="K155" s="13">
        <f>VALUE(MID(G155,5,2))</f>
        <v>7</v>
      </c>
    </row>
    <row r="156" spans="1:11">
      <c r="A156" s="7">
        <v>39848</v>
      </c>
      <c r="B156" s="1">
        <v>742</v>
      </c>
      <c r="C156" s="1" t="s">
        <v>34</v>
      </c>
      <c r="D156" s="13">
        <f>VALUE(MID(C156,9,3))</f>
        <v>311</v>
      </c>
      <c r="E156" s="14">
        <f>MONTH(A156)</f>
        <v>2</v>
      </c>
      <c r="G156" s="1" t="s">
        <v>180</v>
      </c>
      <c r="H156" s="1">
        <v>3627.32</v>
      </c>
      <c r="I156" s="1" t="s">
        <v>66</v>
      </c>
      <c r="J156" s="13">
        <f>VALUE(MID(I156,1,3))</f>
        <v>130</v>
      </c>
      <c r="K156" s="13">
        <f>VALUE(MID(G156,5,2))</f>
        <v>7</v>
      </c>
    </row>
    <row r="157" spans="1:11">
      <c r="A157" s="7">
        <v>39848</v>
      </c>
      <c r="B157" s="1">
        <v>582.65</v>
      </c>
      <c r="C157" s="1" t="s">
        <v>12</v>
      </c>
      <c r="D157" s="13">
        <f>VALUE(MID(C157,9,3))</f>
        <v>311</v>
      </c>
      <c r="E157" s="14">
        <f>MONTH(A157)</f>
        <v>2</v>
      </c>
      <c r="G157" s="1" t="s">
        <v>186</v>
      </c>
      <c r="H157" s="1">
        <v>1307.22</v>
      </c>
      <c r="I157" s="1" t="s">
        <v>66</v>
      </c>
      <c r="J157" s="13">
        <f>VALUE(MID(I157,1,3))</f>
        <v>130</v>
      </c>
      <c r="K157" s="13">
        <f>VALUE(MID(G157,5,2))</f>
        <v>8</v>
      </c>
    </row>
    <row r="158" spans="1:11">
      <c r="A158" s="7">
        <v>39848</v>
      </c>
      <c r="B158" s="1">
        <v>903.29</v>
      </c>
      <c r="C158" s="1" t="s">
        <v>12</v>
      </c>
      <c r="D158" s="13">
        <f>VALUE(MID(C158,9,3))</f>
        <v>311</v>
      </c>
      <c r="E158" s="14">
        <f>MONTH(A158)</f>
        <v>2</v>
      </c>
      <c r="G158" s="1" t="s">
        <v>186</v>
      </c>
      <c r="H158" s="1">
        <v>244.75</v>
      </c>
      <c r="I158" s="1" t="s">
        <v>66</v>
      </c>
      <c r="J158" s="13">
        <f>VALUE(MID(I158,1,3))</f>
        <v>130</v>
      </c>
      <c r="K158" s="13">
        <f>VALUE(MID(G158,5,2))</f>
        <v>8</v>
      </c>
    </row>
    <row r="159" spans="1:11">
      <c r="A159" s="7">
        <v>39848</v>
      </c>
      <c r="B159" s="1">
        <v>487.8</v>
      </c>
      <c r="C159" s="1" t="s">
        <v>12</v>
      </c>
      <c r="D159" s="13">
        <f>VALUE(MID(C159,9,3))</f>
        <v>311</v>
      </c>
      <c r="E159" s="14">
        <f>MONTH(A159)</f>
        <v>2</v>
      </c>
      <c r="G159" s="1" t="s">
        <v>186</v>
      </c>
      <c r="H159" s="1">
        <v>375.68</v>
      </c>
      <c r="I159" s="1" t="s">
        <v>66</v>
      </c>
      <c r="J159" s="13">
        <f>VALUE(MID(I159,1,3))</f>
        <v>130</v>
      </c>
      <c r="K159" s="13">
        <f>VALUE(MID(G159,5,2))</f>
        <v>8</v>
      </c>
    </row>
    <row r="160" spans="1:11">
      <c r="A160" s="7">
        <v>39848</v>
      </c>
      <c r="B160" s="1">
        <v>686.5</v>
      </c>
      <c r="C160" s="1" t="s">
        <v>12</v>
      </c>
      <c r="D160" s="13">
        <f>VALUE(MID(C160,9,3))</f>
        <v>311</v>
      </c>
      <c r="E160" s="14">
        <f>MONTH(A160)</f>
        <v>2</v>
      </c>
      <c r="G160" s="1" t="s">
        <v>198</v>
      </c>
      <c r="H160" s="1">
        <v>5859.42</v>
      </c>
      <c r="I160" s="1" t="s">
        <v>66</v>
      </c>
      <c r="J160" s="13">
        <f>VALUE(MID(I160,1,3))</f>
        <v>130</v>
      </c>
      <c r="K160" s="13">
        <f>VALUE(MID(G160,5,2))</f>
        <v>9</v>
      </c>
    </row>
    <row r="161" spans="1:11">
      <c r="A161" s="7">
        <v>39848</v>
      </c>
      <c r="B161" s="1">
        <v>980.65</v>
      </c>
      <c r="C161" s="1" t="s">
        <v>13</v>
      </c>
      <c r="D161" s="13">
        <f>VALUE(MID(C161,9,3))</f>
        <v>311</v>
      </c>
      <c r="E161" s="14">
        <f>MONTH(A161)</f>
        <v>2</v>
      </c>
      <c r="G161" s="1" t="s">
        <v>198</v>
      </c>
      <c r="H161" s="1">
        <v>4294.76</v>
      </c>
      <c r="I161" s="1" t="s">
        <v>66</v>
      </c>
      <c r="J161" s="13">
        <f>VALUE(MID(I161,1,3))</f>
        <v>130</v>
      </c>
      <c r="K161" s="13">
        <f>VALUE(MID(G161,5,2))</f>
        <v>9</v>
      </c>
    </row>
    <row r="162" spans="1:11">
      <c r="A162" s="7">
        <v>39848</v>
      </c>
      <c r="B162" s="1">
        <v>1429</v>
      </c>
      <c r="C162" s="1" t="s">
        <v>13</v>
      </c>
      <c r="D162" s="13">
        <f>VALUE(MID(C162,9,3))</f>
        <v>311</v>
      </c>
      <c r="E162" s="14">
        <f>MONTH(A162)</f>
        <v>2</v>
      </c>
      <c r="G162" s="1" t="s">
        <v>198</v>
      </c>
      <c r="H162" s="1">
        <v>3906.78</v>
      </c>
      <c r="I162" s="1" t="s">
        <v>66</v>
      </c>
      <c r="J162" s="13">
        <f>VALUE(MID(I162,1,3))</f>
        <v>130</v>
      </c>
      <c r="K162" s="13">
        <f>VALUE(MID(G162,5,2))</f>
        <v>9</v>
      </c>
    </row>
    <row r="163" spans="1:11">
      <c r="A163" s="7">
        <v>39848</v>
      </c>
      <c r="B163" s="1">
        <v>596.94000000000005</v>
      </c>
      <c r="C163" s="1" t="s">
        <v>13</v>
      </c>
      <c r="D163" s="13">
        <f>VALUE(MID(C163,9,3))</f>
        <v>311</v>
      </c>
      <c r="E163" s="14">
        <f>MONTH(A163)</f>
        <v>2</v>
      </c>
      <c r="G163" s="1" t="s">
        <v>198</v>
      </c>
      <c r="H163" s="1">
        <v>375.68</v>
      </c>
      <c r="I163" s="1" t="s">
        <v>66</v>
      </c>
      <c r="J163" s="13">
        <f>VALUE(MID(I163,1,3))</f>
        <v>130</v>
      </c>
      <c r="K163" s="13">
        <f>VALUE(MID(G163,5,2))</f>
        <v>9</v>
      </c>
    </row>
    <row r="164" spans="1:11">
      <c r="A164" s="7">
        <v>39848</v>
      </c>
      <c r="B164" s="1">
        <v>424.52</v>
      </c>
      <c r="C164" s="1" t="s">
        <v>13</v>
      </c>
      <c r="D164" s="13">
        <f>VALUE(MID(C164,9,3))</f>
        <v>311</v>
      </c>
      <c r="E164" s="14">
        <f>MONTH(A164)</f>
        <v>2</v>
      </c>
      <c r="G164" s="1" t="s">
        <v>205</v>
      </c>
      <c r="H164" s="1">
        <v>7155.74</v>
      </c>
      <c r="I164" s="1" t="s">
        <v>66</v>
      </c>
      <c r="J164" s="13">
        <f>VALUE(MID(I164,1,3))</f>
        <v>130</v>
      </c>
      <c r="K164" s="13">
        <f>VALUE(MID(G164,5,2))</f>
        <v>10</v>
      </c>
    </row>
    <row r="165" spans="1:11">
      <c r="A165" s="7">
        <v>39848</v>
      </c>
      <c r="B165" s="1">
        <v>501.6</v>
      </c>
      <c r="C165" s="1" t="s">
        <v>13</v>
      </c>
      <c r="D165" s="13">
        <f>VALUE(MID(C165,9,3))</f>
        <v>311</v>
      </c>
      <c r="E165" s="14">
        <f>MONTH(A165)</f>
        <v>2</v>
      </c>
      <c r="G165" s="1" t="s">
        <v>205</v>
      </c>
      <c r="H165" s="1">
        <v>9897.6299999999992</v>
      </c>
      <c r="I165" s="1" t="s">
        <v>66</v>
      </c>
      <c r="J165" s="13">
        <f>VALUE(MID(I165,1,3))</f>
        <v>130</v>
      </c>
      <c r="K165" s="13">
        <f>VALUE(MID(G165,5,2))</f>
        <v>10</v>
      </c>
    </row>
    <row r="166" spans="1:11">
      <c r="A166" s="7">
        <v>39848</v>
      </c>
      <c r="B166" s="1">
        <v>595.65</v>
      </c>
      <c r="C166" s="1" t="s">
        <v>3</v>
      </c>
      <c r="D166" s="13">
        <f>VALUE(MID(C166,9,3))</f>
        <v>311</v>
      </c>
      <c r="E166" s="14">
        <f>MONTH(A166)</f>
        <v>2</v>
      </c>
      <c r="G166" s="1" t="s">
        <v>205</v>
      </c>
      <c r="H166" s="1">
        <v>9941.51</v>
      </c>
      <c r="I166" s="1" t="s">
        <v>66</v>
      </c>
      <c r="J166" s="13">
        <f>VALUE(MID(I166,1,3))</f>
        <v>130</v>
      </c>
      <c r="K166" s="13">
        <f>VALUE(MID(G166,5,2))</f>
        <v>10</v>
      </c>
    </row>
    <row r="167" spans="1:11">
      <c r="A167" s="7">
        <v>39848</v>
      </c>
      <c r="B167" s="1">
        <v>516.47</v>
      </c>
      <c r="C167" s="1" t="s">
        <v>28</v>
      </c>
      <c r="D167" s="13">
        <f>VALUE(MID(C167,9,3))</f>
        <v>311</v>
      </c>
      <c r="E167" s="14">
        <f>MONTH(A167)</f>
        <v>2</v>
      </c>
      <c r="G167" s="1" t="s">
        <v>205</v>
      </c>
      <c r="H167" s="1">
        <v>375.68</v>
      </c>
      <c r="I167" s="1" t="s">
        <v>66</v>
      </c>
      <c r="J167" s="13">
        <f>VALUE(MID(I167,1,3))</f>
        <v>130</v>
      </c>
      <c r="K167" s="13">
        <f>VALUE(MID(G167,5,2))</f>
        <v>10</v>
      </c>
    </row>
    <row r="168" spans="1:11">
      <c r="A168" s="7">
        <v>39848</v>
      </c>
      <c r="B168" s="1">
        <v>498.38</v>
      </c>
      <c r="C168" s="1" t="s">
        <v>29</v>
      </c>
      <c r="D168" s="13">
        <f>VALUE(MID(C168,9,3))</f>
        <v>311</v>
      </c>
      <c r="E168" s="14">
        <f>MONTH(A168)</f>
        <v>2</v>
      </c>
      <c r="G168" s="1" t="s">
        <v>213</v>
      </c>
      <c r="H168" s="1">
        <v>7451.22</v>
      </c>
      <c r="I168" s="1" t="s">
        <v>66</v>
      </c>
      <c r="J168" s="13">
        <f>VALUE(MID(I168,1,3))</f>
        <v>130</v>
      </c>
      <c r="K168" s="13">
        <f>VALUE(MID(G168,5,2))</f>
        <v>11</v>
      </c>
    </row>
    <row r="169" spans="1:11">
      <c r="A169" s="7">
        <v>39848</v>
      </c>
      <c r="B169" s="1">
        <v>602.30999999999995</v>
      </c>
      <c r="C169" s="1" t="s">
        <v>29</v>
      </c>
      <c r="D169" s="13">
        <f>VALUE(MID(C169,9,3))</f>
        <v>311</v>
      </c>
      <c r="E169" s="14">
        <f>MONTH(A169)</f>
        <v>2</v>
      </c>
      <c r="G169" s="1" t="s">
        <v>213</v>
      </c>
      <c r="H169" s="1">
        <v>-305.02</v>
      </c>
      <c r="I169" s="1" t="s">
        <v>66</v>
      </c>
      <c r="J169" s="13">
        <f>VALUE(MID(I169,1,3))</f>
        <v>130</v>
      </c>
      <c r="K169" s="13">
        <f>VALUE(MID(G169,5,2))</f>
        <v>11</v>
      </c>
    </row>
    <row r="170" spans="1:11">
      <c r="A170" s="7">
        <v>39848</v>
      </c>
      <c r="B170" s="1">
        <v>348.61</v>
      </c>
      <c r="C170" s="1" t="s">
        <v>29</v>
      </c>
      <c r="D170" s="13">
        <f>VALUE(MID(C170,9,3))</f>
        <v>311</v>
      </c>
      <c r="E170" s="14">
        <f>MONTH(A170)</f>
        <v>2</v>
      </c>
      <c r="G170" s="1" t="s">
        <v>213</v>
      </c>
      <c r="H170" s="1">
        <v>12309.9</v>
      </c>
      <c r="I170" s="1" t="s">
        <v>66</v>
      </c>
      <c r="J170" s="13">
        <f>VALUE(MID(I170,1,3))</f>
        <v>130</v>
      </c>
      <c r="K170" s="13">
        <f>VALUE(MID(G170,5,2))</f>
        <v>11</v>
      </c>
    </row>
    <row r="171" spans="1:11">
      <c r="A171" s="7">
        <v>39848</v>
      </c>
      <c r="B171" s="1">
        <v>374.95</v>
      </c>
      <c r="C171" s="1" t="s">
        <v>29</v>
      </c>
      <c r="D171" s="13">
        <f>VALUE(MID(C171,9,3))</f>
        <v>311</v>
      </c>
      <c r="E171" s="14">
        <f>MONTH(A171)</f>
        <v>2</v>
      </c>
      <c r="G171" s="1" t="s">
        <v>213</v>
      </c>
      <c r="H171" s="1">
        <v>16010.85</v>
      </c>
      <c r="I171" s="1" t="s">
        <v>66</v>
      </c>
      <c r="J171" s="13">
        <f>VALUE(MID(I171,1,3))</f>
        <v>130</v>
      </c>
      <c r="K171" s="13">
        <f>VALUE(MID(G171,5,2))</f>
        <v>11</v>
      </c>
    </row>
    <row r="172" spans="1:11">
      <c r="A172" s="7">
        <v>39848</v>
      </c>
      <c r="B172" s="1">
        <v>13.5</v>
      </c>
      <c r="C172" s="1" t="s">
        <v>29</v>
      </c>
      <c r="D172" s="13">
        <f>VALUE(MID(C172,9,3))</f>
        <v>311</v>
      </c>
      <c r="E172" s="14">
        <f>MONTH(A172)</f>
        <v>2</v>
      </c>
      <c r="G172" s="1" t="s">
        <v>213</v>
      </c>
      <c r="H172" s="1">
        <v>2844.68</v>
      </c>
      <c r="I172" s="1" t="s">
        <v>66</v>
      </c>
      <c r="J172" s="13">
        <f>VALUE(MID(I172,1,3))</f>
        <v>130</v>
      </c>
      <c r="K172" s="13">
        <f>VALUE(MID(G172,5,2))</f>
        <v>11</v>
      </c>
    </row>
    <row r="173" spans="1:11">
      <c r="A173" s="7">
        <v>39848</v>
      </c>
      <c r="B173" s="1">
        <v>374.95</v>
      </c>
      <c r="C173" s="1" t="s">
        <v>29</v>
      </c>
      <c r="D173" s="13">
        <f>VALUE(MID(C173,9,3))</f>
        <v>311</v>
      </c>
      <c r="E173" s="14">
        <f>MONTH(A173)</f>
        <v>2</v>
      </c>
      <c r="G173" s="1" t="s">
        <v>220</v>
      </c>
      <c r="H173" s="1">
        <v>10250.280000000001</v>
      </c>
      <c r="I173" s="1" t="s">
        <v>66</v>
      </c>
      <c r="J173" s="13">
        <f>VALUE(MID(I173,1,3))</f>
        <v>130</v>
      </c>
      <c r="K173" s="13">
        <f>VALUE(MID(G173,5,2))</f>
        <v>12</v>
      </c>
    </row>
    <row r="174" spans="1:11">
      <c r="A174" s="7">
        <v>39848</v>
      </c>
      <c r="B174" s="1">
        <v>75</v>
      </c>
      <c r="C174" s="1" t="s">
        <v>21</v>
      </c>
      <c r="D174" s="13">
        <f>VALUE(MID(C174,9,3))</f>
        <v>311</v>
      </c>
      <c r="E174" s="14">
        <f>MONTH(A174)</f>
        <v>2</v>
      </c>
      <c r="G174" s="1" t="s">
        <v>220</v>
      </c>
      <c r="H174" s="1">
        <v>15418.14</v>
      </c>
      <c r="I174" s="1" t="s">
        <v>66</v>
      </c>
      <c r="J174" s="13">
        <f>VALUE(MID(I174,1,3))</f>
        <v>130</v>
      </c>
      <c r="K174" s="13">
        <f>VALUE(MID(G174,5,2))</f>
        <v>12</v>
      </c>
    </row>
    <row r="175" spans="1:11">
      <c r="A175" s="7">
        <v>39876</v>
      </c>
      <c r="B175" s="1">
        <v>282.14999999999998</v>
      </c>
      <c r="C175" s="1" t="s">
        <v>13</v>
      </c>
      <c r="D175" s="13">
        <f>VALUE(MID(C175,9,3))</f>
        <v>311</v>
      </c>
      <c r="E175" s="14">
        <f>MONTH(A175)</f>
        <v>3</v>
      </c>
      <c r="G175" s="1" t="s">
        <v>220</v>
      </c>
      <c r="H175" s="1">
        <v>17573.63</v>
      </c>
      <c r="I175" s="1" t="s">
        <v>66</v>
      </c>
      <c r="J175" s="13">
        <f>VALUE(MID(I175,1,3))</f>
        <v>130</v>
      </c>
      <c r="K175" s="13">
        <f>VALUE(MID(G175,5,2))</f>
        <v>12</v>
      </c>
    </row>
    <row r="176" spans="1:11">
      <c r="A176" s="7">
        <v>39876</v>
      </c>
      <c r="B176" s="1">
        <v>230.08</v>
      </c>
      <c r="C176" s="1" t="s">
        <v>29</v>
      </c>
      <c r="D176" s="13">
        <f>VALUE(MID(C176,9,3))</f>
        <v>311</v>
      </c>
      <c r="E176" s="14">
        <f>MONTH(A176)</f>
        <v>3</v>
      </c>
      <c r="G176" s="1" t="s">
        <v>220</v>
      </c>
      <c r="H176" s="1">
        <v>5008.2700000000004</v>
      </c>
      <c r="I176" s="1" t="s">
        <v>66</v>
      </c>
      <c r="J176" s="13">
        <f>VALUE(MID(I176,1,3))</f>
        <v>130</v>
      </c>
      <c r="K176" s="13">
        <f>VALUE(MID(G176,5,2))</f>
        <v>12</v>
      </c>
    </row>
    <row r="177" spans="1:11">
      <c r="A177" s="7">
        <v>39876</v>
      </c>
      <c r="B177" s="1">
        <v>144.4</v>
      </c>
      <c r="C177" s="1" t="s">
        <v>30</v>
      </c>
      <c r="D177" s="13">
        <f>VALUE(MID(C177,9,3))</f>
        <v>311</v>
      </c>
      <c r="E177" s="14">
        <f>MONTH(A177)</f>
        <v>3</v>
      </c>
      <c r="G177" s="1" t="s">
        <v>64</v>
      </c>
      <c r="H177" s="1">
        <v>2406.7600000000002</v>
      </c>
      <c r="I177" s="1" t="s">
        <v>68</v>
      </c>
      <c r="J177" s="13">
        <f>VALUE(MID(I177,1,3))</f>
        <v>160</v>
      </c>
      <c r="K177" s="13">
        <f>VALUE(MID(G177,5,2))</f>
        <v>1</v>
      </c>
    </row>
    <row r="178" spans="1:11">
      <c r="A178" s="7">
        <v>39937</v>
      </c>
      <c r="B178" s="1">
        <v>200</v>
      </c>
      <c r="C178" s="1" t="s">
        <v>35</v>
      </c>
      <c r="D178" s="13">
        <f>VALUE(MID(C178,9,3))</f>
        <v>311</v>
      </c>
      <c r="E178" s="14">
        <f>MONTH(A178)</f>
        <v>5</v>
      </c>
      <c r="G178" s="1" t="s">
        <v>64</v>
      </c>
      <c r="H178" s="1">
        <v>1681.83</v>
      </c>
      <c r="I178" s="1" t="s">
        <v>68</v>
      </c>
      <c r="J178" s="13">
        <f>VALUE(MID(I178,1,3))</f>
        <v>160</v>
      </c>
      <c r="K178" s="13">
        <f>VALUE(MID(G178,5,2))</f>
        <v>1</v>
      </c>
    </row>
    <row r="179" spans="1:11">
      <c r="A179" s="7">
        <v>39937</v>
      </c>
      <c r="B179" s="1">
        <v>200</v>
      </c>
      <c r="C179" s="1" t="s">
        <v>35</v>
      </c>
      <c r="D179" s="13">
        <f>VALUE(MID(C179,9,3))</f>
        <v>311</v>
      </c>
      <c r="E179" s="14">
        <f>MONTH(A179)</f>
        <v>5</v>
      </c>
      <c r="G179" s="1" t="s">
        <v>64</v>
      </c>
      <c r="H179" s="1">
        <v>4618.7700000000004</v>
      </c>
      <c r="I179" s="1" t="s">
        <v>68</v>
      </c>
      <c r="J179" s="13">
        <f>VALUE(MID(I179,1,3))</f>
        <v>160</v>
      </c>
      <c r="K179" s="13">
        <f>VALUE(MID(G179,5,2))</f>
        <v>1</v>
      </c>
    </row>
    <row r="180" spans="1:11">
      <c r="A180" s="7">
        <v>39968</v>
      </c>
      <c r="B180" s="1">
        <v>60</v>
      </c>
      <c r="C180" s="1" t="s">
        <v>33</v>
      </c>
      <c r="D180" s="13">
        <f>VALUE(MID(C180,9,3))</f>
        <v>311</v>
      </c>
      <c r="E180" s="14">
        <f>MONTH(A180)</f>
        <v>6</v>
      </c>
      <c r="G180" s="1" t="s">
        <v>64</v>
      </c>
      <c r="H180" s="1">
        <v>1327.12</v>
      </c>
      <c r="I180" s="1" t="s">
        <v>68</v>
      </c>
      <c r="J180" s="13">
        <f>VALUE(MID(I180,1,3))</f>
        <v>160</v>
      </c>
      <c r="K180" s="13">
        <f>VALUE(MID(G180,5,2))</f>
        <v>1</v>
      </c>
    </row>
    <row r="181" spans="1:11">
      <c r="A181" s="7">
        <v>40029</v>
      </c>
      <c r="B181" s="1">
        <v>572.5</v>
      </c>
      <c r="C181" s="1" t="s">
        <v>6</v>
      </c>
      <c r="D181" s="13">
        <f>VALUE(MID(C181,9,3))</f>
        <v>311</v>
      </c>
      <c r="E181" s="14">
        <f>MONTH(A181)</f>
        <v>8</v>
      </c>
      <c r="G181" s="1" t="s">
        <v>64</v>
      </c>
      <c r="H181" s="1">
        <v>1198.76</v>
      </c>
      <c r="I181" s="1" t="s">
        <v>69</v>
      </c>
      <c r="J181" s="13">
        <f>VALUE(MID(I181,1,3))</f>
        <v>160</v>
      </c>
      <c r="K181" s="13">
        <f>VALUE(MID(G181,5,2))</f>
        <v>1</v>
      </c>
    </row>
    <row r="182" spans="1:11">
      <c r="A182" s="7">
        <v>40029</v>
      </c>
      <c r="B182" s="1">
        <v>447.34</v>
      </c>
      <c r="C182" s="1" t="s">
        <v>6</v>
      </c>
      <c r="D182" s="13">
        <f>VALUE(MID(C182,9,3))</f>
        <v>311</v>
      </c>
      <c r="E182" s="14">
        <f>MONTH(A182)</f>
        <v>8</v>
      </c>
      <c r="G182" s="1" t="s">
        <v>64</v>
      </c>
      <c r="H182" s="1">
        <v>952.73</v>
      </c>
      <c r="I182" s="1" t="s">
        <v>70</v>
      </c>
      <c r="J182" s="13">
        <f>VALUE(MID(I182,1,3))</f>
        <v>160</v>
      </c>
      <c r="K182" s="13">
        <f>VALUE(MID(G182,5,2))</f>
        <v>1</v>
      </c>
    </row>
    <row r="183" spans="1:11">
      <c r="A183" s="7">
        <v>40060</v>
      </c>
      <c r="B183" s="1">
        <v>901.5</v>
      </c>
      <c r="C183" s="1" t="s">
        <v>7</v>
      </c>
      <c r="D183" s="13">
        <f>VALUE(MID(C183,9,3))</f>
        <v>311</v>
      </c>
      <c r="E183" s="14">
        <f>MONTH(A183)</f>
        <v>9</v>
      </c>
      <c r="G183" s="1" t="s">
        <v>64</v>
      </c>
      <c r="H183" s="1">
        <v>591.24</v>
      </c>
      <c r="I183" s="1" t="s">
        <v>70</v>
      </c>
      <c r="J183" s="13">
        <f>VALUE(MID(I183,1,3))</f>
        <v>160</v>
      </c>
      <c r="K183" s="13">
        <f>VALUE(MID(G183,5,2))</f>
        <v>1</v>
      </c>
    </row>
    <row r="184" spans="1:11">
      <c r="A184" s="7">
        <v>40060</v>
      </c>
      <c r="B184" s="1">
        <v>901.5</v>
      </c>
      <c r="C184" s="1" t="s">
        <v>7</v>
      </c>
      <c r="D184" s="13">
        <f>VALUE(MID(C184,9,3))</f>
        <v>311</v>
      </c>
      <c r="E184" s="14">
        <f>MONTH(A184)</f>
        <v>9</v>
      </c>
      <c r="G184" s="1" t="s">
        <v>64</v>
      </c>
      <c r="H184" s="1">
        <v>639.71</v>
      </c>
      <c r="I184" s="1" t="s">
        <v>70</v>
      </c>
      <c r="J184" s="13">
        <f>VALUE(MID(I184,1,3))</f>
        <v>160</v>
      </c>
      <c r="K184" s="13">
        <f>VALUE(MID(G184,5,2))</f>
        <v>1</v>
      </c>
    </row>
    <row r="185" spans="1:11">
      <c r="A185" s="7">
        <v>40060</v>
      </c>
      <c r="B185" s="1">
        <v>901.5</v>
      </c>
      <c r="C185" s="1" t="s">
        <v>8</v>
      </c>
      <c r="D185" s="13">
        <f>VALUE(MID(C185,9,3))</f>
        <v>311</v>
      </c>
      <c r="E185" s="14">
        <f>MONTH(A185)</f>
        <v>9</v>
      </c>
      <c r="G185" s="1" t="s">
        <v>64</v>
      </c>
      <c r="H185" s="1">
        <v>107.6</v>
      </c>
      <c r="I185" s="1" t="s">
        <v>70</v>
      </c>
      <c r="J185" s="13">
        <f>VALUE(MID(I185,1,3))</f>
        <v>160</v>
      </c>
      <c r="K185" s="13">
        <f>VALUE(MID(G185,5,2))</f>
        <v>1</v>
      </c>
    </row>
    <row r="186" spans="1:11">
      <c r="A186" s="7">
        <v>40060</v>
      </c>
      <c r="B186" s="1">
        <v>489.75</v>
      </c>
      <c r="C186" s="1" t="s">
        <v>8</v>
      </c>
      <c r="D186" s="13">
        <f>VALUE(MID(C186,9,3))</f>
        <v>311</v>
      </c>
      <c r="E186" s="14">
        <f>MONTH(A186)</f>
        <v>9</v>
      </c>
      <c r="G186" s="1" t="s">
        <v>64</v>
      </c>
      <c r="H186" s="1">
        <v>277.27999999999997</v>
      </c>
      <c r="I186" s="1" t="s">
        <v>71</v>
      </c>
      <c r="J186" s="13">
        <f>VALUE(MID(I186,1,3))</f>
        <v>160</v>
      </c>
      <c r="K186" s="13">
        <f>VALUE(MID(G186,5,2))</f>
        <v>1</v>
      </c>
    </row>
    <row r="187" spans="1:11">
      <c r="A187" s="7">
        <v>40060</v>
      </c>
      <c r="B187" s="1">
        <v>901.5</v>
      </c>
      <c r="C187" s="1" t="s">
        <v>8</v>
      </c>
      <c r="D187" s="13">
        <f>VALUE(MID(C187,9,3))</f>
        <v>311</v>
      </c>
      <c r="E187" s="14">
        <f>MONTH(A187)</f>
        <v>9</v>
      </c>
      <c r="G187" s="1" t="s">
        <v>64</v>
      </c>
      <c r="H187" s="1">
        <v>129.34</v>
      </c>
      <c r="I187" s="1" t="s">
        <v>71</v>
      </c>
      <c r="J187" s="13">
        <f>VALUE(MID(I187,1,3))</f>
        <v>160</v>
      </c>
      <c r="K187" s="13">
        <f>VALUE(MID(G187,5,2))</f>
        <v>1</v>
      </c>
    </row>
    <row r="188" spans="1:11">
      <c r="A188" s="7">
        <v>40060</v>
      </c>
      <c r="B188" s="1">
        <v>689.89</v>
      </c>
      <c r="C188" s="1" t="s">
        <v>8</v>
      </c>
      <c r="D188" s="13">
        <f>VALUE(MID(C188,9,3))</f>
        <v>311</v>
      </c>
      <c r="E188" s="14">
        <f>MONTH(A188)</f>
        <v>9</v>
      </c>
      <c r="G188" s="1" t="s">
        <v>64</v>
      </c>
      <c r="H188" s="1">
        <v>355.22</v>
      </c>
      <c r="I188" s="1" t="s">
        <v>71</v>
      </c>
      <c r="J188" s="13">
        <f>VALUE(MID(I188,1,3))</f>
        <v>160</v>
      </c>
      <c r="K188" s="13">
        <f>VALUE(MID(G188,5,2))</f>
        <v>1</v>
      </c>
    </row>
    <row r="189" spans="1:11">
      <c r="A189" s="7">
        <v>40060</v>
      </c>
      <c r="B189" s="1">
        <v>901.5</v>
      </c>
      <c r="C189" s="1" t="s">
        <v>8</v>
      </c>
      <c r="D189" s="13">
        <f>VALUE(MID(C189,9,3))</f>
        <v>311</v>
      </c>
      <c r="E189" s="14">
        <f>MONTH(A189)</f>
        <v>9</v>
      </c>
      <c r="G189" s="1" t="s">
        <v>64</v>
      </c>
      <c r="H189" s="1">
        <v>102.06</v>
      </c>
      <c r="I189" s="1" t="s">
        <v>71</v>
      </c>
      <c r="J189" s="13">
        <f>VALUE(MID(I189,1,3))</f>
        <v>160</v>
      </c>
      <c r="K189" s="13">
        <f>VALUE(MID(G189,5,2))</f>
        <v>1</v>
      </c>
    </row>
    <row r="190" spans="1:11">
      <c r="A190" s="7">
        <v>40060</v>
      </c>
      <c r="B190" s="1">
        <v>981.38</v>
      </c>
      <c r="C190" s="1" t="s">
        <v>8</v>
      </c>
      <c r="D190" s="13">
        <f>VALUE(MID(C190,9,3))</f>
        <v>311</v>
      </c>
      <c r="E190" s="14">
        <f>MONTH(A190)</f>
        <v>9</v>
      </c>
      <c r="G190" s="1" t="s">
        <v>114</v>
      </c>
      <c r="H190" s="1">
        <v>2842.56</v>
      </c>
      <c r="I190" s="1" t="s">
        <v>68</v>
      </c>
      <c r="J190" s="13">
        <f>VALUE(MID(I190,1,3))</f>
        <v>160</v>
      </c>
      <c r="K190" s="13">
        <f>VALUE(MID(G190,5,2))</f>
        <v>2</v>
      </c>
    </row>
    <row r="191" spans="1:11">
      <c r="A191" s="7">
        <v>40060</v>
      </c>
      <c r="B191" s="1">
        <v>1442.1</v>
      </c>
      <c r="C191" s="1" t="s">
        <v>8</v>
      </c>
      <c r="D191" s="13">
        <f>VALUE(MID(C191,9,3))</f>
        <v>311</v>
      </c>
      <c r="E191" s="14">
        <f>MONTH(A191)</f>
        <v>9</v>
      </c>
      <c r="G191" s="1" t="s">
        <v>114</v>
      </c>
      <c r="H191" s="1">
        <v>1748.41</v>
      </c>
      <c r="I191" s="1" t="s">
        <v>68</v>
      </c>
      <c r="J191" s="13">
        <f>VALUE(MID(I191,1,3))</f>
        <v>160</v>
      </c>
      <c r="K191" s="13">
        <f>VALUE(MID(G191,5,2))</f>
        <v>2</v>
      </c>
    </row>
    <row r="192" spans="1:11">
      <c r="A192" s="7">
        <v>40060</v>
      </c>
      <c r="B192" s="1">
        <v>901.5</v>
      </c>
      <c r="C192" s="1" t="s">
        <v>9</v>
      </c>
      <c r="D192" s="13">
        <f>VALUE(MID(C192,9,3))</f>
        <v>311</v>
      </c>
      <c r="E192" s="14">
        <f>MONTH(A192)</f>
        <v>9</v>
      </c>
      <c r="G192" s="1" t="s">
        <v>114</v>
      </c>
      <c r="H192" s="1">
        <v>4453.45</v>
      </c>
      <c r="I192" s="1" t="s">
        <v>68</v>
      </c>
      <c r="J192" s="13">
        <f>VALUE(MID(I192,1,3))</f>
        <v>160</v>
      </c>
      <c r="K192" s="13">
        <f>VALUE(MID(G192,5,2))</f>
        <v>2</v>
      </c>
    </row>
    <row r="193" spans="1:11">
      <c r="A193" s="7">
        <v>40060</v>
      </c>
      <c r="B193" s="1">
        <v>901.91</v>
      </c>
      <c r="C193" s="1" t="s">
        <v>9</v>
      </c>
      <c r="D193" s="13">
        <f>VALUE(MID(C193,9,3))</f>
        <v>311</v>
      </c>
      <c r="E193" s="14">
        <f>MONTH(A193)</f>
        <v>9</v>
      </c>
      <c r="G193" s="1" t="s">
        <v>114</v>
      </c>
      <c r="H193" s="1">
        <v>1472.22</v>
      </c>
      <c r="I193" s="1" t="s">
        <v>68</v>
      </c>
      <c r="J193" s="13">
        <f>VALUE(MID(I193,1,3))</f>
        <v>160</v>
      </c>
      <c r="K193" s="13">
        <f>VALUE(MID(G193,5,2))</f>
        <v>2</v>
      </c>
    </row>
    <row r="194" spans="1:11">
      <c r="A194" s="7">
        <v>40060</v>
      </c>
      <c r="B194" s="1">
        <v>523.79999999999995</v>
      </c>
      <c r="C194" s="1" t="s">
        <v>12</v>
      </c>
      <c r="D194" s="13">
        <f>VALUE(MID(C194,9,3))</f>
        <v>311</v>
      </c>
      <c r="E194" s="14">
        <f>MONTH(A194)</f>
        <v>9</v>
      </c>
      <c r="G194" s="1" t="s">
        <v>114</v>
      </c>
      <c r="H194" s="1">
        <v>1198.76</v>
      </c>
      <c r="I194" s="1" t="s">
        <v>69</v>
      </c>
      <c r="J194" s="13">
        <f>VALUE(MID(I194,1,3))</f>
        <v>160</v>
      </c>
      <c r="K194" s="13">
        <f>VALUE(MID(G194,5,2))</f>
        <v>2</v>
      </c>
    </row>
    <row r="195" spans="1:11">
      <c r="A195" s="7">
        <v>40060</v>
      </c>
      <c r="B195" s="1">
        <v>467.41</v>
      </c>
      <c r="C195" s="1" t="s">
        <v>12</v>
      </c>
      <c r="D195" s="13">
        <f>VALUE(MID(C195,9,3))</f>
        <v>311</v>
      </c>
      <c r="E195" s="14">
        <f>MONTH(A195)</f>
        <v>9</v>
      </c>
      <c r="G195" s="1" t="s">
        <v>114</v>
      </c>
      <c r="H195" s="1">
        <v>996.98</v>
      </c>
      <c r="I195" s="1" t="s">
        <v>70</v>
      </c>
      <c r="J195" s="13">
        <f>VALUE(MID(I195,1,3))</f>
        <v>160</v>
      </c>
      <c r="K195" s="13">
        <f>VALUE(MID(G195,5,2))</f>
        <v>2</v>
      </c>
    </row>
    <row r="196" spans="1:11">
      <c r="A196" s="7">
        <v>40060</v>
      </c>
      <c r="B196" s="1">
        <v>141.08000000000001</v>
      </c>
      <c r="C196" s="1" t="s">
        <v>13</v>
      </c>
      <c r="D196" s="13">
        <f>VALUE(MID(C196,9,3))</f>
        <v>311</v>
      </c>
      <c r="E196" s="14">
        <f>MONTH(A196)</f>
        <v>9</v>
      </c>
      <c r="G196" s="1" t="s">
        <v>114</v>
      </c>
      <c r="H196" s="1">
        <v>880.04</v>
      </c>
      <c r="I196" s="1" t="s">
        <v>70</v>
      </c>
      <c r="J196" s="13">
        <f>VALUE(MID(I196,1,3))</f>
        <v>160</v>
      </c>
      <c r="K196" s="13">
        <f>VALUE(MID(G196,5,2))</f>
        <v>2</v>
      </c>
    </row>
    <row r="197" spans="1:11">
      <c r="A197" s="7">
        <v>40060</v>
      </c>
      <c r="B197" s="1">
        <v>565.59</v>
      </c>
      <c r="C197" s="1" t="s">
        <v>13</v>
      </c>
      <c r="D197" s="13">
        <f>VALUE(MID(C197,9,3))</f>
        <v>311</v>
      </c>
      <c r="E197" s="14">
        <f>MONTH(A197)</f>
        <v>9</v>
      </c>
      <c r="G197" s="1" t="s">
        <v>114</v>
      </c>
      <c r="H197" s="1">
        <v>1379.29</v>
      </c>
      <c r="I197" s="1" t="s">
        <v>70</v>
      </c>
      <c r="J197" s="13">
        <f>VALUE(MID(I197,1,3))</f>
        <v>160</v>
      </c>
      <c r="K197" s="13">
        <f>VALUE(MID(G197,5,2))</f>
        <v>2</v>
      </c>
    </row>
    <row r="198" spans="1:11">
      <c r="A198" s="7">
        <v>40060</v>
      </c>
      <c r="B198" s="1">
        <v>501.6</v>
      </c>
      <c r="C198" s="1" t="s">
        <v>13</v>
      </c>
      <c r="D198" s="13">
        <f>VALUE(MID(C198,9,3))</f>
        <v>311</v>
      </c>
      <c r="E198" s="14">
        <f>MONTH(A198)</f>
        <v>9</v>
      </c>
      <c r="G198" s="1" t="s">
        <v>114</v>
      </c>
      <c r="H198" s="1">
        <v>218.02</v>
      </c>
      <c r="I198" s="1" t="s">
        <v>70</v>
      </c>
      <c r="J198" s="13">
        <f>VALUE(MID(I198,1,3))</f>
        <v>160</v>
      </c>
      <c r="K198" s="13">
        <f>VALUE(MID(G198,5,2))</f>
        <v>2</v>
      </c>
    </row>
    <row r="199" spans="1:11">
      <c r="A199" s="7">
        <v>40060</v>
      </c>
      <c r="B199" s="1">
        <v>335.25</v>
      </c>
      <c r="C199" s="1" t="s">
        <v>13</v>
      </c>
      <c r="D199" s="13">
        <f>VALUE(MID(C199,9,3))</f>
        <v>311</v>
      </c>
      <c r="E199" s="14">
        <f>MONTH(A199)</f>
        <v>9</v>
      </c>
      <c r="G199" s="1" t="s">
        <v>114</v>
      </c>
      <c r="H199" s="1">
        <v>310.79000000000002</v>
      </c>
      <c r="I199" s="1" t="s">
        <v>71</v>
      </c>
      <c r="J199" s="13">
        <f>VALUE(MID(I199,1,3))</f>
        <v>160</v>
      </c>
      <c r="K199" s="13">
        <f>VALUE(MID(G199,5,2))</f>
        <v>2</v>
      </c>
    </row>
    <row r="200" spans="1:11">
      <c r="A200" s="7">
        <v>40060</v>
      </c>
      <c r="B200" s="1">
        <v>755.02</v>
      </c>
      <c r="C200" s="1" t="s">
        <v>13</v>
      </c>
      <c r="D200" s="13">
        <f>VALUE(MID(C200,9,3))</f>
        <v>311</v>
      </c>
      <c r="E200" s="14">
        <f>MONTH(A200)</f>
        <v>9</v>
      </c>
      <c r="G200" s="1" t="s">
        <v>114</v>
      </c>
      <c r="H200" s="1">
        <v>134.46</v>
      </c>
      <c r="I200" s="1" t="s">
        <v>71</v>
      </c>
      <c r="J200" s="13">
        <f>VALUE(MID(I200,1,3))</f>
        <v>160</v>
      </c>
      <c r="K200" s="13">
        <f>VALUE(MID(G200,5,2))</f>
        <v>2</v>
      </c>
    </row>
    <row r="201" spans="1:11">
      <c r="A201" s="7">
        <v>40060</v>
      </c>
      <c r="B201" s="1">
        <v>470.25</v>
      </c>
      <c r="C201" s="1" t="s">
        <v>3</v>
      </c>
      <c r="D201" s="13">
        <f>VALUE(MID(C201,9,3))</f>
        <v>311</v>
      </c>
      <c r="E201" s="14">
        <f>MONTH(A201)</f>
        <v>9</v>
      </c>
      <c r="G201" s="1" t="s">
        <v>114</v>
      </c>
      <c r="H201" s="1">
        <v>342.52</v>
      </c>
      <c r="I201" s="1" t="s">
        <v>71</v>
      </c>
      <c r="J201" s="13">
        <f>VALUE(MID(I201,1,3))</f>
        <v>160</v>
      </c>
      <c r="K201" s="13">
        <f>VALUE(MID(G201,5,2))</f>
        <v>2</v>
      </c>
    </row>
    <row r="202" spans="1:11">
      <c r="A202" s="7">
        <v>40060</v>
      </c>
      <c r="B202" s="1">
        <v>783.75</v>
      </c>
      <c r="C202" s="1" t="s">
        <v>3</v>
      </c>
      <c r="D202" s="13">
        <f>VALUE(MID(C202,9,3))</f>
        <v>311</v>
      </c>
      <c r="E202" s="14">
        <f>MONTH(A202)</f>
        <v>9</v>
      </c>
      <c r="G202" s="1" t="s">
        <v>114</v>
      </c>
      <c r="H202" s="1">
        <v>113.22</v>
      </c>
      <c r="I202" s="1" t="s">
        <v>71</v>
      </c>
      <c r="J202" s="13">
        <f>VALUE(MID(I202,1,3))</f>
        <v>160</v>
      </c>
      <c r="K202" s="13">
        <f>VALUE(MID(G202,5,2))</f>
        <v>2</v>
      </c>
    </row>
    <row r="203" spans="1:11">
      <c r="A203" s="7">
        <v>40060</v>
      </c>
      <c r="B203" s="1">
        <v>150.41</v>
      </c>
      <c r="C203" s="1" t="s">
        <v>6</v>
      </c>
      <c r="D203" s="13">
        <f>VALUE(MID(C203,9,3))</f>
        <v>311</v>
      </c>
      <c r="E203" s="14">
        <f>MONTH(A203)</f>
        <v>9</v>
      </c>
      <c r="G203" s="1" t="s">
        <v>131</v>
      </c>
      <c r="H203" s="1">
        <v>3029.06</v>
      </c>
      <c r="I203" s="1" t="s">
        <v>68</v>
      </c>
      <c r="J203" s="13">
        <f>VALUE(MID(I203,1,3))</f>
        <v>160</v>
      </c>
      <c r="K203" s="13">
        <f>VALUE(MID(G203,5,2))</f>
        <v>3</v>
      </c>
    </row>
    <row r="204" spans="1:11">
      <c r="A204" s="7">
        <v>40060</v>
      </c>
      <c r="B204" s="1">
        <v>655.76</v>
      </c>
      <c r="C204" s="1" t="s">
        <v>6</v>
      </c>
      <c r="D204" s="13">
        <f>VALUE(MID(C204,9,3))</f>
        <v>311</v>
      </c>
      <c r="E204" s="14">
        <f>MONTH(A204)</f>
        <v>9</v>
      </c>
      <c r="G204" s="1" t="s">
        <v>131</v>
      </c>
      <c r="H204" s="1">
        <v>1686.99</v>
      </c>
      <c r="I204" s="1" t="s">
        <v>68</v>
      </c>
      <c r="J204" s="13">
        <f>VALUE(MID(I204,1,3))</f>
        <v>160</v>
      </c>
      <c r="K204" s="13">
        <f>VALUE(MID(G204,5,2))</f>
        <v>3</v>
      </c>
    </row>
    <row r="205" spans="1:11">
      <c r="A205" s="7">
        <v>40060</v>
      </c>
      <c r="B205" s="1">
        <v>335.44</v>
      </c>
      <c r="C205" s="1" t="s">
        <v>6</v>
      </c>
      <c r="D205" s="13">
        <f>VALUE(MID(C205,9,3))</f>
        <v>311</v>
      </c>
      <c r="E205" s="14">
        <f>MONTH(A205)</f>
        <v>9</v>
      </c>
      <c r="G205" s="1" t="s">
        <v>131</v>
      </c>
      <c r="H205" s="1">
        <v>4695.3599999999997</v>
      </c>
      <c r="I205" s="1" t="s">
        <v>68</v>
      </c>
      <c r="J205" s="13">
        <f>VALUE(MID(I205,1,3))</f>
        <v>160</v>
      </c>
      <c r="K205" s="13">
        <f>VALUE(MID(G205,5,2))</f>
        <v>3</v>
      </c>
    </row>
    <row r="206" spans="1:11">
      <c r="A206" s="7">
        <v>40060</v>
      </c>
      <c r="B206" s="1">
        <v>612.01</v>
      </c>
      <c r="C206" s="1" t="s">
        <v>6</v>
      </c>
      <c r="D206" s="13">
        <f>VALUE(MID(C206,9,3))</f>
        <v>311</v>
      </c>
      <c r="E206" s="14">
        <f>MONTH(A206)</f>
        <v>9</v>
      </c>
      <c r="G206" s="1" t="s">
        <v>131</v>
      </c>
      <c r="H206" s="1">
        <v>1665.3</v>
      </c>
      <c r="I206" s="1" t="s">
        <v>68</v>
      </c>
      <c r="J206" s="13">
        <f>VALUE(MID(I206,1,3))</f>
        <v>160</v>
      </c>
      <c r="K206" s="13">
        <f>VALUE(MID(G206,5,2))</f>
        <v>3</v>
      </c>
    </row>
    <row r="207" spans="1:11">
      <c r="A207" s="7">
        <v>39849</v>
      </c>
      <c r="B207" s="1">
        <v>617.1</v>
      </c>
      <c r="C207" s="1" t="s">
        <v>12</v>
      </c>
      <c r="D207" s="13">
        <f>VALUE(MID(C207,9,3))</f>
        <v>311</v>
      </c>
      <c r="E207" s="14">
        <f>MONTH(A207)</f>
        <v>2</v>
      </c>
      <c r="G207" s="1" t="s">
        <v>131</v>
      </c>
      <c r="H207" s="1">
        <v>1198.76</v>
      </c>
      <c r="I207" s="1" t="s">
        <v>69</v>
      </c>
      <c r="J207" s="13">
        <f>VALUE(MID(I207,1,3))</f>
        <v>160</v>
      </c>
      <c r="K207" s="13">
        <f>VALUE(MID(G207,5,2))</f>
        <v>3</v>
      </c>
    </row>
    <row r="208" spans="1:11">
      <c r="A208" s="7">
        <v>39849</v>
      </c>
      <c r="B208" s="1">
        <v>582.65</v>
      </c>
      <c r="C208" s="1" t="s">
        <v>12</v>
      </c>
      <c r="D208" s="13">
        <f>VALUE(MID(C208,9,3))</f>
        <v>311</v>
      </c>
      <c r="E208" s="14">
        <f>MONTH(A208)</f>
        <v>2</v>
      </c>
      <c r="G208" s="1" t="s">
        <v>131</v>
      </c>
      <c r="H208" s="1">
        <v>992.02</v>
      </c>
      <c r="I208" s="1" t="s">
        <v>70</v>
      </c>
      <c r="J208" s="13">
        <f>VALUE(MID(I208,1,3))</f>
        <v>160</v>
      </c>
      <c r="K208" s="13">
        <f>VALUE(MID(G208,5,2))</f>
        <v>3</v>
      </c>
    </row>
    <row r="209" spans="1:11">
      <c r="A209" s="7">
        <v>39849</v>
      </c>
      <c r="B209" s="1">
        <v>813</v>
      </c>
      <c r="C209" s="1" t="s">
        <v>12</v>
      </c>
      <c r="D209" s="13">
        <f>VALUE(MID(C209,9,3))</f>
        <v>311</v>
      </c>
      <c r="E209" s="14">
        <f>MONTH(A209)</f>
        <v>2</v>
      </c>
      <c r="G209" s="1" t="s">
        <v>131</v>
      </c>
      <c r="H209" s="1">
        <v>765.62</v>
      </c>
      <c r="I209" s="1" t="s">
        <v>70</v>
      </c>
      <c r="J209" s="13">
        <f>VALUE(MID(I209,1,3))</f>
        <v>160</v>
      </c>
      <c r="K209" s="13">
        <f>VALUE(MID(G209,5,2))</f>
        <v>3</v>
      </c>
    </row>
    <row r="210" spans="1:11">
      <c r="A210" s="7">
        <v>39849</v>
      </c>
      <c r="B210" s="1">
        <v>478.73</v>
      </c>
      <c r="C210" s="1" t="s">
        <v>13</v>
      </c>
      <c r="D210" s="13">
        <f>VALUE(MID(C210,9,3))</f>
        <v>311</v>
      </c>
      <c r="E210" s="14">
        <f>MONTH(A210)</f>
        <v>2</v>
      </c>
      <c r="G210" s="1" t="s">
        <v>131</v>
      </c>
      <c r="H210" s="1">
        <v>2519.27</v>
      </c>
      <c r="I210" s="1" t="s">
        <v>70</v>
      </c>
      <c r="J210" s="13">
        <f>VALUE(MID(I210,1,3))</f>
        <v>160</v>
      </c>
      <c r="K210" s="13">
        <f>VALUE(MID(G210,5,2))</f>
        <v>3</v>
      </c>
    </row>
    <row r="211" spans="1:11">
      <c r="A211" s="7">
        <v>39849</v>
      </c>
      <c r="B211" s="1">
        <v>721.05</v>
      </c>
      <c r="C211" s="1" t="s">
        <v>13</v>
      </c>
      <c r="D211" s="13">
        <f>VALUE(MID(C211,9,3))</f>
        <v>311</v>
      </c>
      <c r="E211" s="14">
        <f>MONTH(A211)</f>
        <v>2</v>
      </c>
      <c r="G211" s="1" t="s">
        <v>131</v>
      </c>
      <c r="H211" s="1">
        <v>756.66</v>
      </c>
      <c r="I211" s="1" t="s">
        <v>70</v>
      </c>
      <c r="J211" s="13">
        <f>VALUE(MID(I211,1,3))</f>
        <v>160</v>
      </c>
      <c r="K211" s="13">
        <f>VALUE(MID(G211,5,2))</f>
        <v>3</v>
      </c>
    </row>
    <row r="212" spans="1:11">
      <c r="A212" s="7">
        <v>39849</v>
      </c>
      <c r="B212" s="1">
        <v>736.72</v>
      </c>
      <c r="C212" s="1" t="s">
        <v>13</v>
      </c>
      <c r="D212" s="13">
        <f>VALUE(MID(C212,9,3))</f>
        <v>311</v>
      </c>
      <c r="E212" s="14">
        <f>MONTH(A212)</f>
        <v>2</v>
      </c>
      <c r="G212" s="1" t="s">
        <v>131</v>
      </c>
      <c r="H212" s="1">
        <v>325.14999999999998</v>
      </c>
      <c r="I212" s="1" t="s">
        <v>71</v>
      </c>
      <c r="J212" s="13">
        <f>VALUE(MID(I212,1,3))</f>
        <v>160</v>
      </c>
      <c r="K212" s="13">
        <f>VALUE(MID(G212,5,2))</f>
        <v>3</v>
      </c>
    </row>
    <row r="213" spans="1:11">
      <c r="A213" s="7">
        <v>39849</v>
      </c>
      <c r="B213" s="1">
        <v>219.45</v>
      </c>
      <c r="C213" s="1" t="s">
        <v>13</v>
      </c>
      <c r="D213" s="13">
        <f>VALUE(MID(C213,9,3))</f>
        <v>311</v>
      </c>
      <c r="E213" s="14">
        <f>MONTH(A213)</f>
        <v>2</v>
      </c>
      <c r="G213" s="1" t="s">
        <v>131</v>
      </c>
      <c r="H213" s="1">
        <v>129.74</v>
      </c>
      <c r="I213" s="1" t="s">
        <v>71</v>
      </c>
      <c r="J213" s="13">
        <f>VALUE(MID(I213,1,3))</f>
        <v>160</v>
      </c>
      <c r="K213" s="13">
        <f>VALUE(MID(G213,5,2))</f>
        <v>3</v>
      </c>
    </row>
    <row r="214" spans="1:11">
      <c r="A214" s="7">
        <v>39849</v>
      </c>
      <c r="B214" s="1">
        <v>557.1</v>
      </c>
      <c r="C214" s="1" t="s">
        <v>13</v>
      </c>
      <c r="D214" s="13">
        <f>VALUE(MID(C214,9,3))</f>
        <v>311</v>
      </c>
      <c r="E214" s="14">
        <f>MONTH(A214)</f>
        <v>2</v>
      </c>
      <c r="G214" s="1" t="s">
        <v>131</v>
      </c>
      <c r="H214" s="1">
        <v>361.12</v>
      </c>
      <c r="I214" s="1" t="s">
        <v>71</v>
      </c>
      <c r="J214" s="13">
        <f>VALUE(MID(I214,1,3))</f>
        <v>160</v>
      </c>
      <c r="K214" s="13">
        <f>VALUE(MID(G214,5,2))</f>
        <v>3</v>
      </c>
    </row>
    <row r="215" spans="1:11">
      <c r="A215" s="7">
        <v>39849</v>
      </c>
      <c r="B215" s="1">
        <v>1004.94</v>
      </c>
      <c r="C215" s="1" t="s">
        <v>13</v>
      </c>
      <c r="D215" s="13">
        <f>VALUE(MID(C215,9,3))</f>
        <v>311</v>
      </c>
      <c r="E215" s="14">
        <f>MONTH(A215)</f>
        <v>2</v>
      </c>
      <c r="G215" s="1" t="s">
        <v>131</v>
      </c>
      <c r="H215" s="1">
        <v>128.08000000000001</v>
      </c>
      <c r="I215" s="1" t="s">
        <v>71</v>
      </c>
      <c r="J215" s="13">
        <f>VALUE(MID(I215,1,3))</f>
        <v>160</v>
      </c>
      <c r="K215" s="13">
        <f>VALUE(MID(G215,5,2))</f>
        <v>3</v>
      </c>
    </row>
    <row r="216" spans="1:11">
      <c r="A216" s="7">
        <v>39849</v>
      </c>
      <c r="B216" s="1">
        <v>863.42</v>
      </c>
      <c r="C216" s="1" t="s">
        <v>13</v>
      </c>
      <c r="D216" s="13">
        <f>VALUE(MID(C216,9,3))</f>
        <v>311</v>
      </c>
      <c r="E216" s="14">
        <f>MONTH(A216)</f>
        <v>2</v>
      </c>
      <c r="G216" s="1" t="s">
        <v>149</v>
      </c>
      <c r="H216" s="1">
        <v>2622.94</v>
      </c>
      <c r="I216" s="1" t="s">
        <v>68</v>
      </c>
      <c r="J216" s="13">
        <f>VALUE(MID(I216,1,3))</f>
        <v>160</v>
      </c>
      <c r="K216" s="13">
        <f>VALUE(MID(G216,5,2))</f>
        <v>4</v>
      </c>
    </row>
    <row r="217" spans="1:11">
      <c r="A217" s="7">
        <v>39849</v>
      </c>
      <c r="B217" s="1">
        <v>877.8</v>
      </c>
      <c r="C217" s="1" t="s">
        <v>3</v>
      </c>
      <c r="D217" s="13">
        <f>VALUE(MID(C217,9,3))</f>
        <v>311</v>
      </c>
      <c r="E217" s="14">
        <f>MONTH(A217)</f>
        <v>2</v>
      </c>
      <c r="G217" s="1" t="s">
        <v>149</v>
      </c>
      <c r="H217" s="1">
        <v>1414.22</v>
      </c>
      <c r="I217" s="1" t="s">
        <v>68</v>
      </c>
      <c r="J217" s="13">
        <f>VALUE(MID(I217,1,3))</f>
        <v>160</v>
      </c>
      <c r="K217" s="13">
        <f>VALUE(MID(G217,5,2))</f>
        <v>4</v>
      </c>
    </row>
    <row r="218" spans="1:11">
      <c r="A218" s="7">
        <v>39849</v>
      </c>
      <c r="B218" s="1">
        <v>579.98</v>
      </c>
      <c r="C218" s="1" t="s">
        <v>3</v>
      </c>
      <c r="D218" s="13">
        <f>VALUE(MID(C218,9,3))</f>
        <v>311</v>
      </c>
      <c r="E218" s="14">
        <f>MONTH(A218)</f>
        <v>2</v>
      </c>
      <c r="G218" s="1" t="s">
        <v>149</v>
      </c>
      <c r="H218" s="1">
        <v>4503.42</v>
      </c>
      <c r="I218" s="1" t="s">
        <v>68</v>
      </c>
      <c r="J218" s="13">
        <f>VALUE(MID(I218,1,3))</f>
        <v>160</v>
      </c>
      <c r="K218" s="13">
        <f>VALUE(MID(G218,5,2))</f>
        <v>4</v>
      </c>
    </row>
    <row r="219" spans="1:11">
      <c r="A219" s="7">
        <v>39849</v>
      </c>
      <c r="B219" s="1">
        <v>909.15</v>
      </c>
      <c r="C219" s="1" t="s">
        <v>3</v>
      </c>
      <c r="D219" s="13">
        <f>VALUE(MID(C219,9,3))</f>
        <v>311</v>
      </c>
      <c r="E219" s="14">
        <f>MONTH(A219)</f>
        <v>2</v>
      </c>
      <c r="G219" s="1" t="s">
        <v>149</v>
      </c>
      <c r="H219" s="1">
        <v>1571.73</v>
      </c>
      <c r="I219" s="1" t="s">
        <v>68</v>
      </c>
      <c r="J219" s="13">
        <f>VALUE(MID(I219,1,3))</f>
        <v>160</v>
      </c>
      <c r="K219" s="13">
        <f>VALUE(MID(G219,5,2))</f>
        <v>4</v>
      </c>
    </row>
    <row r="220" spans="1:11">
      <c r="A220" s="7">
        <v>39849</v>
      </c>
      <c r="B220" s="1">
        <v>572.5</v>
      </c>
      <c r="C220" s="1" t="s">
        <v>29</v>
      </c>
      <c r="D220" s="13">
        <f>VALUE(MID(C220,9,3))</f>
        <v>311</v>
      </c>
      <c r="E220" s="14">
        <f>MONTH(A220)</f>
        <v>2</v>
      </c>
      <c r="G220" s="1" t="s">
        <v>149</v>
      </c>
      <c r="H220" s="1">
        <v>1106.56</v>
      </c>
      <c r="I220" s="1" t="s">
        <v>69</v>
      </c>
      <c r="J220" s="13">
        <f>VALUE(MID(I220,1,3))</f>
        <v>160</v>
      </c>
      <c r="K220" s="13">
        <f>VALUE(MID(G220,5,2))</f>
        <v>4</v>
      </c>
    </row>
    <row r="221" spans="1:11">
      <c r="A221" s="7">
        <v>39849</v>
      </c>
      <c r="B221" s="1">
        <v>532.99</v>
      </c>
      <c r="C221" s="1" t="s">
        <v>29</v>
      </c>
      <c r="D221" s="13">
        <f>VALUE(MID(C221,9,3))</f>
        <v>311</v>
      </c>
      <c r="E221" s="14">
        <f>MONTH(A221)</f>
        <v>2</v>
      </c>
      <c r="G221" s="1" t="s">
        <v>149</v>
      </c>
      <c r="H221" s="1">
        <v>870.6</v>
      </c>
      <c r="I221" s="1" t="s">
        <v>70</v>
      </c>
      <c r="J221" s="13">
        <f>VALUE(MID(I221,1,3))</f>
        <v>160</v>
      </c>
      <c r="K221" s="13">
        <f>VALUE(MID(G221,5,2))</f>
        <v>4</v>
      </c>
    </row>
    <row r="222" spans="1:11">
      <c r="A222" s="7">
        <v>39849</v>
      </c>
      <c r="B222" s="1">
        <v>202.78</v>
      </c>
      <c r="C222" s="1" t="s">
        <v>29</v>
      </c>
      <c r="D222" s="13">
        <f>VALUE(MID(C222,9,3))</f>
        <v>311</v>
      </c>
      <c r="E222" s="14">
        <f>MONTH(A222)</f>
        <v>2</v>
      </c>
      <c r="G222" s="1" t="s">
        <v>149</v>
      </c>
      <c r="H222" s="1">
        <v>244.97</v>
      </c>
      <c r="I222" s="1" t="s">
        <v>70</v>
      </c>
      <c r="J222" s="13">
        <f>VALUE(MID(I222,1,3))</f>
        <v>160</v>
      </c>
      <c r="K222" s="13">
        <f>VALUE(MID(G222,5,2))</f>
        <v>4</v>
      </c>
    </row>
    <row r="223" spans="1:11">
      <c r="A223" s="7">
        <v>39849</v>
      </c>
      <c r="B223" s="1">
        <v>458.87</v>
      </c>
      <c r="C223" s="1" t="s">
        <v>29</v>
      </c>
      <c r="D223" s="13">
        <f>VALUE(MID(C223,9,3))</f>
        <v>311</v>
      </c>
      <c r="E223" s="14">
        <f>MONTH(A223)</f>
        <v>2</v>
      </c>
      <c r="G223" s="1" t="s">
        <v>149</v>
      </c>
      <c r="H223" s="1">
        <v>2059.2800000000002</v>
      </c>
      <c r="I223" s="1" t="s">
        <v>70</v>
      </c>
      <c r="J223" s="13">
        <f>VALUE(MID(I223,1,3))</f>
        <v>160</v>
      </c>
      <c r="K223" s="13">
        <f>VALUE(MID(G223,5,2))</f>
        <v>4</v>
      </c>
    </row>
    <row r="224" spans="1:11">
      <c r="A224" s="7">
        <v>39849</v>
      </c>
      <c r="B224" s="1">
        <v>493.48</v>
      </c>
      <c r="C224" s="1" t="s">
        <v>29</v>
      </c>
      <c r="D224" s="13">
        <f>VALUE(MID(C224,9,3))</f>
        <v>311</v>
      </c>
      <c r="E224" s="14">
        <f>MONTH(A224)</f>
        <v>2</v>
      </c>
      <c r="G224" s="1" t="s">
        <v>149</v>
      </c>
      <c r="H224" s="1">
        <v>446.34</v>
      </c>
      <c r="I224" s="1" t="s">
        <v>70</v>
      </c>
      <c r="J224" s="13">
        <f>VALUE(MID(I224,1,3))</f>
        <v>160</v>
      </c>
      <c r="K224" s="13">
        <f>VALUE(MID(G224,5,2))</f>
        <v>4</v>
      </c>
    </row>
    <row r="225" spans="1:11">
      <c r="A225" s="7">
        <v>39849</v>
      </c>
      <c r="B225" s="1">
        <v>75</v>
      </c>
      <c r="C225" s="1" t="s">
        <v>21</v>
      </c>
      <c r="D225" s="13">
        <f>VALUE(MID(C225,9,3))</f>
        <v>311</v>
      </c>
      <c r="E225" s="14">
        <f>MONTH(A225)</f>
        <v>2</v>
      </c>
      <c r="G225" s="1" t="s">
        <v>149</v>
      </c>
      <c r="H225" s="1">
        <v>310.73</v>
      </c>
      <c r="I225" s="1" t="s">
        <v>71</v>
      </c>
      <c r="J225" s="13">
        <f>VALUE(MID(I225,1,3))</f>
        <v>160</v>
      </c>
      <c r="K225" s="13">
        <f>VALUE(MID(G225,5,2))</f>
        <v>4</v>
      </c>
    </row>
    <row r="226" spans="1:11">
      <c r="A226" s="7">
        <v>39849</v>
      </c>
      <c r="B226" s="1">
        <v>75</v>
      </c>
      <c r="C226" s="1" t="s">
        <v>21</v>
      </c>
      <c r="D226" s="13">
        <f>VALUE(MID(C226,9,3))</f>
        <v>311</v>
      </c>
      <c r="E226" s="14">
        <f>MONTH(A226)</f>
        <v>2</v>
      </c>
      <c r="G226" s="1" t="s">
        <v>149</v>
      </c>
      <c r="H226" s="1">
        <v>117.82</v>
      </c>
      <c r="I226" s="1" t="s">
        <v>71</v>
      </c>
      <c r="J226" s="13">
        <f>VALUE(MID(I226,1,3))</f>
        <v>160</v>
      </c>
      <c r="K226" s="13">
        <f>VALUE(MID(G226,5,2))</f>
        <v>4</v>
      </c>
    </row>
    <row r="227" spans="1:11">
      <c r="A227" s="7">
        <v>39877</v>
      </c>
      <c r="B227" s="1">
        <v>75</v>
      </c>
      <c r="C227" s="1" t="s">
        <v>21</v>
      </c>
      <c r="D227" s="13">
        <f>VALUE(MID(C227,9,3))</f>
        <v>311</v>
      </c>
      <c r="E227" s="14">
        <f>MONTH(A227)</f>
        <v>3</v>
      </c>
      <c r="G227" s="1" t="s">
        <v>149</v>
      </c>
      <c r="H227" s="1">
        <v>375.22</v>
      </c>
      <c r="I227" s="1" t="s">
        <v>71</v>
      </c>
      <c r="J227" s="13">
        <f>VALUE(MID(I227,1,3))</f>
        <v>160</v>
      </c>
      <c r="K227" s="13">
        <f>VALUE(MID(G227,5,2))</f>
        <v>4</v>
      </c>
    </row>
    <row r="228" spans="1:11">
      <c r="A228" s="7">
        <v>39938</v>
      </c>
      <c r="B228" s="1">
        <v>735.44</v>
      </c>
      <c r="C228" s="1" t="s">
        <v>6</v>
      </c>
      <c r="D228" s="13">
        <f>VALUE(MID(C228,9,3))</f>
        <v>311</v>
      </c>
      <c r="E228" s="14">
        <f>MONTH(A228)</f>
        <v>5</v>
      </c>
      <c r="G228" s="1" t="s">
        <v>149</v>
      </c>
      <c r="H228" s="1">
        <v>130.94999999999999</v>
      </c>
      <c r="I228" s="1" t="s">
        <v>71</v>
      </c>
      <c r="J228" s="13">
        <f>VALUE(MID(I228,1,3))</f>
        <v>160</v>
      </c>
      <c r="K228" s="13">
        <f>VALUE(MID(G228,5,2))</f>
        <v>4</v>
      </c>
    </row>
    <row r="229" spans="1:11">
      <c r="A229" s="7">
        <v>39938</v>
      </c>
      <c r="B229" s="1">
        <v>200</v>
      </c>
      <c r="C229" s="1" t="s">
        <v>35</v>
      </c>
      <c r="D229" s="13">
        <f>VALUE(MID(C229,9,3))</f>
        <v>311</v>
      </c>
      <c r="E229" s="14">
        <f>MONTH(A229)</f>
        <v>5</v>
      </c>
      <c r="G229" s="1" t="s">
        <v>162</v>
      </c>
      <c r="H229" s="1">
        <v>92.2</v>
      </c>
      <c r="I229" s="1" t="s">
        <v>69</v>
      </c>
      <c r="J229" s="13">
        <f>VALUE(MID(I229,1,3))</f>
        <v>160</v>
      </c>
      <c r="K229" s="13">
        <f>VALUE(MID(G229,5,2))</f>
        <v>6</v>
      </c>
    </row>
    <row r="230" spans="1:11">
      <c r="A230" s="7">
        <v>39938</v>
      </c>
      <c r="B230" s="1">
        <v>200</v>
      </c>
      <c r="C230" s="1" t="s">
        <v>35</v>
      </c>
      <c r="D230" s="13">
        <f>VALUE(MID(C230,9,3))</f>
        <v>311</v>
      </c>
      <c r="E230" s="14">
        <f>MONTH(A230)</f>
        <v>5</v>
      </c>
      <c r="G230" s="1" t="s">
        <v>162</v>
      </c>
      <c r="H230" s="1">
        <v>72.540000000000006</v>
      </c>
      <c r="I230" s="1" t="s">
        <v>70</v>
      </c>
      <c r="J230" s="13">
        <f>VALUE(MID(I230,1,3))</f>
        <v>160</v>
      </c>
      <c r="K230" s="13">
        <f>VALUE(MID(G230,5,2))</f>
        <v>6</v>
      </c>
    </row>
    <row r="231" spans="1:11">
      <c r="A231" s="7">
        <v>39938</v>
      </c>
      <c r="B231" s="1">
        <v>200</v>
      </c>
      <c r="C231" s="1" t="s">
        <v>35</v>
      </c>
      <c r="D231" s="13">
        <f>VALUE(MID(C231,9,3))</f>
        <v>311</v>
      </c>
      <c r="E231" s="14">
        <f>MONTH(A231)</f>
        <v>5</v>
      </c>
      <c r="G231" s="1" t="s">
        <v>162</v>
      </c>
      <c r="H231" s="1">
        <v>218.55</v>
      </c>
      <c r="I231" s="1" t="s">
        <v>68</v>
      </c>
      <c r="J231" s="13">
        <f>VALUE(MID(I231,1,3))</f>
        <v>160</v>
      </c>
      <c r="K231" s="13">
        <f>VALUE(MID(G231,5,2))</f>
        <v>6</v>
      </c>
    </row>
    <row r="232" spans="1:11">
      <c r="A232" s="7">
        <v>39969</v>
      </c>
      <c r="B232" s="1">
        <v>236.25</v>
      </c>
      <c r="C232" s="1" t="s">
        <v>12</v>
      </c>
      <c r="D232" s="13">
        <f>VALUE(MID(C232,9,3))</f>
        <v>311</v>
      </c>
      <c r="E232" s="14">
        <f>MONTH(A232)</f>
        <v>6</v>
      </c>
      <c r="G232" s="1" t="s">
        <v>162</v>
      </c>
      <c r="H232" s="1">
        <v>375.31</v>
      </c>
      <c r="I232" s="1" t="s">
        <v>68</v>
      </c>
      <c r="J232" s="13">
        <f>VALUE(MID(I232,1,3))</f>
        <v>160</v>
      </c>
      <c r="K232" s="13">
        <f>VALUE(MID(G232,5,2))</f>
        <v>6</v>
      </c>
    </row>
    <row r="233" spans="1:11">
      <c r="A233" s="7">
        <v>40091</v>
      </c>
      <c r="B233" s="1">
        <v>-54.69</v>
      </c>
      <c r="C233" s="1" t="s">
        <v>8</v>
      </c>
      <c r="D233" s="13">
        <f>VALUE(MID(C233,9,3))</f>
        <v>311</v>
      </c>
      <c r="E233" s="14">
        <f>MONTH(A233)</f>
        <v>10</v>
      </c>
      <c r="G233" s="1" t="s">
        <v>162</v>
      </c>
      <c r="H233" s="1">
        <v>171.6</v>
      </c>
      <c r="I233" s="1" t="s">
        <v>70</v>
      </c>
      <c r="J233" s="13">
        <f>VALUE(MID(I233,1,3))</f>
        <v>160</v>
      </c>
      <c r="K233" s="13">
        <f>VALUE(MID(G233,5,2))</f>
        <v>6</v>
      </c>
    </row>
    <row r="234" spans="1:11">
      <c r="A234" s="7">
        <v>40091</v>
      </c>
      <c r="B234" s="1">
        <v>188.29</v>
      </c>
      <c r="C234" s="1" t="s">
        <v>8</v>
      </c>
      <c r="D234" s="13">
        <f>VALUE(MID(C234,9,3))</f>
        <v>311</v>
      </c>
      <c r="E234" s="14">
        <f>MONTH(A234)</f>
        <v>10</v>
      </c>
      <c r="G234" s="1" t="s">
        <v>162</v>
      </c>
      <c r="H234" s="1">
        <v>117.84</v>
      </c>
      <c r="I234" s="1" t="s">
        <v>68</v>
      </c>
      <c r="J234" s="13">
        <f>VALUE(MID(I234,1,3))</f>
        <v>160</v>
      </c>
      <c r="K234" s="13">
        <f>VALUE(MID(G234,5,2))</f>
        <v>6</v>
      </c>
    </row>
    <row r="235" spans="1:11">
      <c r="A235" s="7">
        <v>40091</v>
      </c>
      <c r="B235" s="1">
        <v>575</v>
      </c>
      <c r="C235" s="1" t="s">
        <v>17</v>
      </c>
      <c r="D235" s="13">
        <f>VALUE(MID(C235,9,3))</f>
        <v>311</v>
      </c>
      <c r="E235" s="14">
        <f>MONTH(A235)</f>
        <v>10</v>
      </c>
      <c r="G235" s="1" t="s">
        <v>162</v>
      </c>
      <c r="H235" s="1">
        <v>20.41</v>
      </c>
      <c r="I235" s="1" t="s">
        <v>70</v>
      </c>
      <c r="J235" s="13">
        <f>VALUE(MID(I235,1,3))</f>
        <v>160</v>
      </c>
      <c r="K235" s="13">
        <f>VALUE(MID(G235,5,2))</f>
        <v>6</v>
      </c>
    </row>
    <row r="236" spans="1:11">
      <c r="A236" s="7">
        <v>40091</v>
      </c>
      <c r="B236" s="1">
        <v>575</v>
      </c>
      <c r="C236" s="1" t="s">
        <v>17</v>
      </c>
      <c r="D236" s="13">
        <f>VALUE(MID(C236,9,3))</f>
        <v>311</v>
      </c>
      <c r="E236" s="14">
        <f>MONTH(A236)</f>
        <v>10</v>
      </c>
      <c r="G236" s="1" t="s">
        <v>162</v>
      </c>
      <c r="H236" s="1">
        <v>130.96</v>
      </c>
      <c r="I236" s="1" t="s">
        <v>68</v>
      </c>
      <c r="J236" s="13">
        <f>VALUE(MID(I236,1,3))</f>
        <v>160</v>
      </c>
      <c r="K236" s="13">
        <f>VALUE(MID(G236,5,2))</f>
        <v>6</v>
      </c>
    </row>
    <row r="237" spans="1:11">
      <c r="A237" s="7">
        <v>40091</v>
      </c>
      <c r="B237" s="1">
        <v>575</v>
      </c>
      <c r="C237" s="1" t="s">
        <v>17</v>
      </c>
      <c r="D237" s="13">
        <f>VALUE(MID(C237,9,3))</f>
        <v>311</v>
      </c>
      <c r="E237" s="14">
        <f>MONTH(A237)</f>
        <v>10</v>
      </c>
      <c r="G237" s="1" t="s">
        <v>162</v>
      </c>
      <c r="H237" s="1">
        <v>37.19</v>
      </c>
      <c r="I237" s="1" t="s">
        <v>70</v>
      </c>
      <c r="J237" s="13">
        <f>VALUE(MID(I237,1,3))</f>
        <v>160</v>
      </c>
      <c r="K237" s="13">
        <f>VALUE(MID(G237,5,2))</f>
        <v>6</v>
      </c>
    </row>
    <row r="238" spans="1:11">
      <c r="A238" s="7">
        <v>40091</v>
      </c>
      <c r="B238" s="1">
        <v>575</v>
      </c>
      <c r="C238" s="1" t="s">
        <v>17</v>
      </c>
      <c r="D238" s="13">
        <f>VALUE(MID(C238,9,3))</f>
        <v>311</v>
      </c>
      <c r="E238" s="14">
        <f>MONTH(A238)</f>
        <v>10</v>
      </c>
      <c r="G238" s="1" t="s">
        <v>163</v>
      </c>
      <c r="H238" s="1">
        <v>2879.22</v>
      </c>
      <c r="I238" s="1" t="s">
        <v>68</v>
      </c>
      <c r="J238" s="13">
        <f>VALUE(MID(I238,1,3))</f>
        <v>160</v>
      </c>
      <c r="K238" s="13">
        <f>VALUE(MID(G238,5,2))</f>
        <v>5</v>
      </c>
    </row>
    <row r="239" spans="1:11">
      <c r="A239" s="7">
        <v>40091</v>
      </c>
      <c r="B239" s="1">
        <v>575</v>
      </c>
      <c r="C239" s="1" t="s">
        <v>17</v>
      </c>
      <c r="D239" s="13">
        <f>VALUE(MID(C239,9,3))</f>
        <v>311</v>
      </c>
      <c r="E239" s="14">
        <f>MONTH(A239)</f>
        <v>10</v>
      </c>
      <c r="G239" s="1" t="s">
        <v>163</v>
      </c>
      <c r="H239" s="1">
        <v>1479.45</v>
      </c>
      <c r="I239" s="1" t="s">
        <v>68</v>
      </c>
      <c r="J239" s="13">
        <f>VALUE(MID(I239,1,3))</f>
        <v>160</v>
      </c>
      <c r="K239" s="13">
        <f>VALUE(MID(G239,5,2))</f>
        <v>5</v>
      </c>
    </row>
    <row r="240" spans="1:11">
      <c r="A240" s="7">
        <v>40091</v>
      </c>
      <c r="B240" s="1">
        <v>575</v>
      </c>
      <c r="C240" s="1" t="s">
        <v>17</v>
      </c>
      <c r="D240" s="13">
        <f>VALUE(MID(C240,9,3))</f>
        <v>311</v>
      </c>
      <c r="E240" s="14">
        <f>MONTH(A240)</f>
        <v>10</v>
      </c>
      <c r="G240" s="1" t="s">
        <v>163</v>
      </c>
      <c r="H240" s="1">
        <v>4857.87</v>
      </c>
      <c r="I240" s="1" t="s">
        <v>68</v>
      </c>
      <c r="J240" s="13">
        <f>VALUE(MID(I240,1,3))</f>
        <v>160</v>
      </c>
      <c r="K240" s="13">
        <f>VALUE(MID(G240,5,2))</f>
        <v>5</v>
      </c>
    </row>
    <row r="241" spans="1:11">
      <c r="A241" s="7">
        <v>40091</v>
      </c>
      <c r="B241" s="1">
        <v>575</v>
      </c>
      <c r="C241" s="1" t="s">
        <v>17</v>
      </c>
      <c r="D241" s="13">
        <f>VALUE(MID(C241,9,3))</f>
        <v>311</v>
      </c>
      <c r="E241" s="14">
        <f>MONTH(A241)</f>
        <v>10</v>
      </c>
      <c r="G241" s="1" t="s">
        <v>163</v>
      </c>
      <c r="H241" s="1">
        <v>1707.91</v>
      </c>
      <c r="I241" s="1" t="s">
        <v>68</v>
      </c>
      <c r="J241" s="13">
        <f>VALUE(MID(I241,1,3))</f>
        <v>160</v>
      </c>
      <c r="K241" s="13">
        <f>VALUE(MID(G241,5,2))</f>
        <v>5</v>
      </c>
    </row>
    <row r="242" spans="1:11">
      <c r="A242" s="7">
        <v>40091</v>
      </c>
      <c r="B242" s="1">
        <v>287.5</v>
      </c>
      <c r="C242" s="1" t="s">
        <v>17</v>
      </c>
      <c r="D242" s="13">
        <f>VALUE(MID(C242,9,3))</f>
        <v>311</v>
      </c>
      <c r="E242" s="14">
        <f>MONTH(A242)</f>
        <v>10</v>
      </c>
      <c r="G242" s="1" t="s">
        <v>163</v>
      </c>
      <c r="H242" s="1">
        <v>1198.76</v>
      </c>
      <c r="I242" s="1" t="s">
        <v>69</v>
      </c>
      <c r="J242" s="13">
        <f>VALUE(MID(I242,1,3))</f>
        <v>160</v>
      </c>
      <c r="K242" s="13">
        <f>VALUE(MID(G242,5,2))</f>
        <v>5</v>
      </c>
    </row>
    <row r="243" spans="1:11">
      <c r="A243" s="7">
        <v>40091</v>
      </c>
      <c r="B243" s="1">
        <v>575</v>
      </c>
      <c r="C243" s="1" t="s">
        <v>17</v>
      </c>
      <c r="D243" s="13">
        <f>VALUE(MID(C243,9,3))</f>
        <v>311</v>
      </c>
      <c r="E243" s="14">
        <f>MONTH(A243)</f>
        <v>10</v>
      </c>
      <c r="G243" s="1" t="s">
        <v>163</v>
      </c>
      <c r="H243" s="1">
        <v>936.68</v>
      </c>
      <c r="I243" s="1" t="s">
        <v>70</v>
      </c>
      <c r="J243" s="13">
        <f>VALUE(MID(I243,1,3))</f>
        <v>160</v>
      </c>
      <c r="K243" s="13">
        <f>VALUE(MID(G243,5,2))</f>
        <v>5</v>
      </c>
    </row>
    <row r="244" spans="1:11">
      <c r="A244" s="7">
        <v>40091</v>
      </c>
      <c r="B244" s="1">
        <v>287.5</v>
      </c>
      <c r="C244" s="1" t="s">
        <v>17</v>
      </c>
      <c r="D244" s="13">
        <f>VALUE(MID(C244,9,3))</f>
        <v>311</v>
      </c>
      <c r="E244" s="14">
        <f>MONTH(A244)</f>
        <v>10</v>
      </c>
      <c r="G244" s="1" t="s">
        <v>163</v>
      </c>
      <c r="H244" s="1">
        <v>223.32</v>
      </c>
      <c r="I244" s="1" t="s">
        <v>70</v>
      </c>
      <c r="J244" s="13">
        <f>VALUE(MID(I244,1,3))</f>
        <v>160</v>
      </c>
      <c r="K244" s="13">
        <f>VALUE(MID(G244,5,2))</f>
        <v>5</v>
      </c>
    </row>
    <row r="245" spans="1:11">
      <c r="A245" s="7">
        <v>40091</v>
      </c>
      <c r="B245" s="1">
        <v>287.5</v>
      </c>
      <c r="C245" s="1" t="s">
        <v>17</v>
      </c>
      <c r="D245" s="13">
        <f>VALUE(MID(C245,9,3))</f>
        <v>311</v>
      </c>
      <c r="E245" s="14">
        <f>MONTH(A245)</f>
        <v>10</v>
      </c>
      <c r="G245" s="1" t="s">
        <v>163</v>
      </c>
      <c r="H245" s="1">
        <v>2151.61</v>
      </c>
      <c r="I245" s="1" t="s">
        <v>70</v>
      </c>
      <c r="J245" s="13">
        <f>VALUE(MID(I245,1,3))</f>
        <v>160</v>
      </c>
      <c r="K245" s="13">
        <f>VALUE(MID(G245,5,2))</f>
        <v>5</v>
      </c>
    </row>
    <row r="246" spans="1:11">
      <c r="A246" s="7">
        <v>40091</v>
      </c>
      <c r="B246" s="1">
        <v>287.5</v>
      </c>
      <c r="C246" s="1" t="s">
        <v>17</v>
      </c>
      <c r="D246" s="13">
        <f>VALUE(MID(C246,9,3))</f>
        <v>311</v>
      </c>
      <c r="E246" s="14">
        <f>MONTH(A246)</f>
        <v>10</v>
      </c>
      <c r="G246" s="1" t="s">
        <v>163</v>
      </c>
      <c r="H246" s="1">
        <v>378.91</v>
      </c>
      <c r="I246" s="1" t="s">
        <v>70</v>
      </c>
      <c r="J246" s="13">
        <f>VALUE(MID(I246,1,3))</f>
        <v>160</v>
      </c>
      <c r="K246" s="13">
        <f>VALUE(MID(G246,5,2))</f>
        <v>5</v>
      </c>
    </row>
    <row r="247" spans="1:11">
      <c r="A247" s="7">
        <v>40091</v>
      </c>
      <c r="B247" s="1">
        <v>80</v>
      </c>
      <c r="C247" s="1" t="s">
        <v>18</v>
      </c>
      <c r="D247" s="13">
        <f>VALUE(MID(C247,9,3))</f>
        <v>311</v>
      </c>
      <c r="E247" s="14">
        <f>MONTH(A247)</f>
        <v>10</v>
      </c>
      <c r="G247" s="1" t="s">
        <v>163</v>
      </c>
      <c r="H247" s="1">
        <v>313.64</v>
      </c>
      <c r="I247" s="1" t="s">
        <v>71</v>
      </c>
      <c r="J247" s="13">
        <f>VALUE(MID(I247,1,3))</f>
        <v>160</v>
      </c>
      <c r="K247" s="13">
        <f>VALUE(MID(G247,5,2))</f>
        <v>5</v>
      </c>
    </row>
    <row r="248" spans="1:11">
      <c r="A248" s="7">
        <v>40091</v>
      </c>
      <c r="B248" s="1">
        <v>80</v>
      </c>
      <c r="C248" s="1" t="s">
        <v>18</v>
      </c>
      <c r="D248" s="13">
        <f>VALUE(MID(C248,9,3))</f>
        <v>311</v>
      </c>
      <c r="E248" s="14">
        <f>MONTH(A248)</f>
        <v>10</v>
      </c>
      <c r="G248" s="1" t="s">
        <v>163</v>
      </c>
      <c r="H248" s="1">
        <v>113.78</v>
      </c>
      <c r="I248" s="1" t="s">
        <v>71</v>
      </c>
      <c r="J248" s="13">
        <f>VALUE(MID(I248,1,3))</f>
        <v>160</v>
      </c>
      <c r="K248" s="13">
        <f>VALUE(MID(G248,5,2))</f>
        <v>5</v>
      </c>
    </row>
    <row r="249" spans="1:11">
      <c r="A249" s="7">
        <v>40091</v>
      </c>
      <c r="B249" s="1">
        <v>300</v>
      </c>
      <c r="C249" s="1" t="s">
        <v>20</v>
      </c>
      <c r="D249" s="13">
        <f>VALUE(MID(C249,9,3))</f>
        <v>311</v>
      </c>
      <c r="E249" s="14">
        <f>MONTH(A249)</f>
        <v>10</v>
      </c>
      <c r="G249" s="1" t="s">
        <v>163</v>
      </c>
      <c r="H249" s="1">
        <v>373.62</v>
      </c>
      <c r="I249" s="1" t="s">
        <v>71</v>
      </c>
      <c r="J249" s="13">
        <f>VALUE(MID(I249,1,3))</f>
        <v>160</v>
      </c>
      <c r="K249" s="13">
        <f>VALUE(MID(G249,5,2))</f>
        <v>5</v>
      </c>
    </row>
    <row r="250" spans="1:11">
      <c r="A250" s="7">
        <v>40122</v>
      </c>
      <c r="B250" s="1">
        <v>3880</v>
      </c>
      <c r="C250" s="1" t="s">
        <v>39</v>
      </c>
      <c r="D250" s="13">
        <f>VALUE(MID(C250,9,3))</f>
        <v>311</v>
      </c>
      <c r="E250" s="14">
        <f>MONTH(A250)</f>
        <v>11</v>
      </c>
      <c r="G250" s="1" t="s">
        <v>163</v>
      </c>
      <c r="H250" s="1">
        <v>131.35</v>
      </c>
      <c r="I250" s="1" t="s">
        <v>71</v>
      </c>
      <c r="J250" s="13">
        <f>VALUE(MID(I250,1,3))</f>
        <v>160</v>
      </c>
      <c r="K250" s="13">
        <f>VALUE(MID(G250,5,2))</f>
        <v>5</v>
      </c>
    </row>
    <row r="251" spans="1:11">
      <c r="A251" s="7">
        <v>40122</v>
      </c>
      <c r="B251" s="1">
        <v>80</v>
      </c>
      <c r="C251" s="1" t="s">
        <v>18</v>
      </c>
      <c r="D251" s="13">
        <f>VALUE(MID(C251,9,3))</f>
        <v>311</v>
      </c>
      <c r="E251" s="14">
        <f>MONTH(A251)</f>
        <v>11</v>
      </c>
      <c r="G251" s="1" t="s">
        <v>167</v>
      </c>
      <c r="H251" s="1">
        <v>3266.02</v>
      </c>
      <c r="I251" s="1" t="s">
        <v>68</v>
      </c>
      <c r="J251" s="13">
        <f>VALUE(MID(I251,1,3))</f>
        <v>160</v>
      </c>
      <c r="K251" s="13">
        <f>VALUE(MID(G251,5,2))</f>
        <v>6</v>
      </c>
    </row>
    <row r="252" spans="1:11">
      <c r="A252" s="7">
        <v>40122</v>
      </c>
      <c r="B252" s="1">
        <v>80</v>
      </c>
      <c r="C252" s="1" t="s">
        <v>18</v>
      </c>
      <c r="D252" s="13">
        <f>VALUE(MID(C252,9,3))</f>
        <v>311</v>
      </c>
      <c r="E252" s="14">
        <f>MONTH(A252)</f>
        <v>11</v>
      </c>
      <c r="G252" s="1" t="s">
        <v>167</v>
      </c>
      <c r="H252" s="1">
        <v>1609.54</v>
      </c>
      <c r="I252" s="1" t="s">
        <v>68</v>
      </c>
      <c r="J252" s="13">
        <f>VALUE(MID(I252,1,3))</f>
        <v>160</v>
      </c>
      <c r="K252" s="13">
        <f>VALUE(MID(G252,5,2))</f>
        <v>6</v>
      </c>
    </row>
    <row r="253" spans="1:11">
      <c r="A253" s="7">
        <v>40122</v>
      </c>
      <c r="B253" s="1">
        <v>65</v>
      </c>
      <c r="C253" s="1" t="s">
        <v>18</v>
      </c>
      <c r="D253" s="13">
        <f>VALUE(MID(C253,9,3))</f>
        <v>311</v>
      </c>
      <c r="E253" s="14">
        <f>MONTH(A253)</f>
        <v>11</v>
      </c>
      <c r="G253" s="1" t="s">
        <v>167</v>
      </c>
      <c r="H253" s="1">
        <v>4920.29</v>
      </c>
      <c r="I253" s="1" t="s">
        <v>68</v>
      </c>
      <c r="J253" s="13">
        <f>VALUE(MID(I253,1,3))</f>
        <v>160</v>
      </c>
      <c r="K253" s="13">
        <f>VALUE(MID(G253,5,2))</f>
        <v>6</v>
      </c>
    </row>
    <row r="254" spans="1:11">
      <c r="A254" s="7">
        <v>40122</v>
      </c>
      <c r="B254" s="1">
        <v>80</v>
      </c>
      <c r="C254" s="1" t="s">
        <v>18</v>
      </c>
      <c r="D254" s="13">
        <f>VALUE(MID(C254,9,3))</f>
        <v>311</v>
      </c>
      <c r="E254" s="14">
        <f>MONTH(A254)</f>
        <v>11</v>
      </c>
      <c r="G254" s="1" t="s">
        <v>167</v>
      </c>
      <c r="H254" s="1">
        <v>1670.37</v>
      </c>
      <c r="I254" s="1" t="s">
        <v>68</v>
      </c>
      <c r="J254" s="13">
        <f>VALUE(MID(I254,1,3))</f>
        <v>160</v>
      </c>
      <c r="K254" s="13">
        <f>VALUE(MID(G254,5,2))</f>
        <v>6</v>
      </c>
    </row>
    <row r="255" spans="1:11">
      <c r="A255" s="7">
        <v>40122</v>
      </c>
      <c r="B255" s="1">
        <v>80</v>
      </c>
      <c r="C255" s="1" t="s">
        <v>18</v>
      </c>
      <c r="D255" s="13">
        <f>VALUE(MID(C255,9,3))</f>
        <v>311</v>
      </c>
      <c r="E255" s="14">
        <f>MONTH(A255)</f>
        <v>11</v>
      </c>
      <c r="G255" s="1" t="s">
        <v>167</v>
      </c>
      <c r="H255" s="1">
        <v>1198.76</v>
      </c>
      <c r="I255" s="1" t="s">
        <v>69</v>
      </c>
      <c r="J255" s="13">
        <f>VALUE(MID(I255,1,3))</f>
        <v>160</v>
      </c>
      <c r="K255" s="13">
        <f>VALUE(MID(G255,5,2))</f>
        <v>6</v>
      </c>
    </row>
    <row r="256" spans="1:11">
      <c r="A256" s="7">
        <v>39850</v>
      </c>
      <c r="B256" s="1">
        <v>636.85</v>
      </c>
      <c r="C256" s="1" t="s">
        <v>12</v>
      </c>
      <c r="D256" s="13">
        <f>VALUE(MID(C256,9,3))</f>
        <v>311</v>
      </c>
      <c r="E256" s="14">
        <f>MONTH(A256)</f>
        <v>2</v>
      </c>
      <c r="G256" s="1" t="s">
        <v>167</v>
      </c>
      <c r="H256" s="1">
        <v>1223.3800000000001</v>
      </c>
      <c r="I256" s="1" t="s">
        <v>70</v>
      </c>
      <c r="J256" s="13">
        <f>VALUE(MID(I256,1,3))</f>
        <v>160</v>
      </c>
      <c r="K256" s="13">
        <f>VALUE(MID(G256,5,2))</f>
        <v>6</v>
      </c>
    </row>
    <row r="257" spans="1:11">
      <c r="A257" s="7">
        <v>39850</v>
      </c>
      <c r="B257" s="1">
        <v>808.44</v>
      </c>
      <c r="C257" s="1" t="s">
        <v>12</v>
      </c>
      <c r="D257" s="13">
        <f>VALUE(MID(C257,9,3))</f>
        <v>311</v>
      </c>
      <c r="E257" s="14">
        <f>MONTH(A257)</f>
        <v>2</v>
      </c>
      <c r="G257" s="1" t="s">
        <v>167</v>
      </c>
      <c r="H257" s="1">
        <v>441.59</v>
      </c>
      <c r="I257" s="1" t="s">
        <v>70</v>
      </c>
      <c r="J257" s="13">
        <f>VALUE(MID(I257,1,3))</f>
        <v>160</v>
      </c>
      <c r="K257" s="13">
        <f>VALUE(MID(G257,5,2))</f>
        <v>6</v>
      </c>
    </row>
    <row r="258" spans="1:11">
      <c r="A258" s="7">
        <v>39850</v>
      </c>
      <c r="B258" s="1">
        <v>772.35</v>
      </c>
      <c r="C258" s="1" t="s">
        <v>12</v>
      </c>
      <c r="D258" s="13">
        <f>VALUE(MID(C258,9,3))</f>
        <v>311</v>
      </c>
      <c r="E258" s="14">
        <f>MONTH(A258)</f>
        <v>2</v>
      </c>
      <c r="G258" s="1" t="s">
        <v>167</v>
      </c>
      <c r="H258" s="1">
        <v>2483.08</v>
      </c>
      <c r="I258" s="1" t="s">
        <v>70</v>
      </c>
      <c r="J258" s="13">
        <f>VALUE(MID(I258,1,3))</f>
        <v>160</v>
      </c>
      <c r="K258" s="13">
        <f>VALUE(MID(G258,5,2))</f>
        <v>6</v>
      </c>
    </row>
    <row r="259" spans="1:11">
      <c r="A259" s="7">
        <v>39850</v>
      </c>
      <c r="B259" s="1">
        <v>433.6</v>
      </c>
      <c r="C259" s="1" t="s">
        <v>12</v>
      </c>
      <c r="D259" s="13">
        <f>VALUE(MID(C259,9,3))</f>
        <v>311</v>
      </c>
      <c r="E259" s="14">
        <f>MONTH(A259)</f>
        <v>2</v>
      </c>
      <c r="G259" s="1" t="s">
        <v>167</v>
      </c>
      <c r="H259" s="1">
        <v>777.46</v>
      </c>
      <c r="I259" s="1" t="s">
        <v>70</v>
      </c>
      <c r="J259" s="13">
        <f>VALUE(MID(I259,1,3))</f>
        <v>160</v>
      </c>
      <c r="K259" s="13">
        <f>VALUE(MID(G259,5,2))</f>
        <v>6</v>
      </c>
    </row>
    <row r="260" spans="1:11">
      <c r="A260" s="7">
        <v>39850</v>
      </c>
      <c r="B260" s="1">
        <v>230.35</v>
      </c>
      <c r="C260" s="1" t="s">
        <v>12</v>
      </c>
      <c r="D260" s="13">
        <f>VALUE(MID(C260,9,3))</f>
        <v>311</v>
      </c>
      <c r="E260" s="14">
        <f>MONTH(A260)</f>
        <v>2</v>
      </c>
      <c r="G260" s="1" t="s">
        <v>167</v>
      </c>
      <c r="H260" s="1">
        <v>343.38</v>
      </c>
      <c r="I260" s="1" t="s">
        <v>71</v>
      </c>
      <c r="J260" s="13">
        <f>VALUE(MID(I260,1,3))</f>
        <v>160</v>
      </c>
      <c r="K260" s="13">
        <f>VALUE(MID(G260,5,2))</f>
        <v>6</v>
      </c>
    </row>
    <row r="261" spans="1:11">
      <c r="A261" s="7">
        <v>39850</v>
      </c>
      <c r="B261" s="1">
        <v>282.14999999999998</v>
      </c>
      <c r="C261" s="1" t="s">
        <v>13</v>
      </c>
      <c r="D261" s="13">
        <f>VALUE(MID(C261,9,3))</f>
        <v>311</v>
      </c>
      <c r="E261" s="14">
        <f>MONTH(A261)</f>
        <v>2</v>
      </c>
      <c r="G261" s="1" t="s">
        <v>167</v>
      </c>
      <c r="H261" s="1">
        <v>123.79</v>
      </c>
      <c r="I261" s="1" t="s">
        <v>71</v>
      </c>
      <c r="J261" s="13">
        <f>VALUE(MID(I261,1,3))</f>
        <v>160</v>
      </c>
      <c r="K261" s="13">
        <f>VALUE(MID(G261,5,2))</f>
        <v>6</v>
      </c>
    </row>
    <row r="262" spans="1:11">
      <c r="A262" s="7">
        <v>39850</v>
      </c>
      <c r="B262" s="1">
        <v>474.65</v>
      </c>
      <c r="C262" s="1" t="s">
        <v>13</v>
      </c>
      <c r="D262" s="13">
        <f>VALUE(MID(C262,9,3))</f>
        <v>311</v>
      </c>
      <c r="E262" s="14">
        <f>MONTH(A262)</f>
        <v>2</v>
      </c>
      <c r="G262" s="1" t="s">
        <v>167</v>
      </c>
      <c r="H262" s="1">
        <v>378.42</v>
      </c>
      <c r="I262" s="1" t="s">
        <v>71</v>
      </c>
      <c r="J262" s="13">
        <f>VALUE(MID(I262,1,3))</f>
        <v>160</v>
      </c>
      <c r="K262" s="13">
        <f>VALUE(MID(G262,5,2))</f>
        <v>6</v>
      </c>
    </row>
    <row r="263" spans="1:11">
      <c r="A263" s="7">
        <v>39850</v>
      </c>
      <c r="B263" s="1">
        <v>125.4</v>
      </c>
      <c r="C263" s="1" t="s">
        <v>13</v>
      </c>
      <c r="D263" s="13">
        <f>VALUE(MID(C263,9,3))</f>
        <v>311</v>
      </c>
      <c r="E263" s="14">
        <f>MONTH(A263)</f>
        <v>2</v>
      </c>
      <c r="G263" s="1" t="s">
        <v>167</v>
      </c>
      <c r="H263" s="1">
        <v>128.46</v>
      </c>
      <c r="I263" s="1" t="s">
        <v>71</v>
      </c>
      <c r="J263" s="13">
        <f>VALUE(MID(I263,1,3))</f>
        <v>160</v>
      </c>
      <c r="K263" s="13">
        <f>VALUE(MID(G263,5,2))</f>
        <v>6</v>
      </c>
    </row>
    <row r="264" spans="1:11">
      <c r="A264" s="7">
        <v>39850</v>
      </c>
      <c r="B264" s="1">
        <v>408.19</v>
      </c>
      <c r="C264" s="1" t="s">
        <v>13</v>
      </c>
      <c r="D264" s="13">
        <f>VALUE(MID(C264,9,3))</f>
        <v>311</v>
      </c>
      <c r="E264" s="14">
        <f>MONTH(A264)</f>
        <v>2</v>
      </c>
      <c r="G264" s="1" t="s">
        <v>180</v>
      </c>
      <c r="H264" s="1">
        <v>3247.28</v>
      </c>
      <c r="I264" s="1" t="s">
        <v>68</v>
      </c>
      <c r="J264" s="13">
        <f>VALUE(MID(I264,1,3))</f>
        <v>160</v>
      </c>
      <c r="K264" s="13">
        <f>VALUE(MID(G264,5,2))</f>
        <v>7</v>
      </c>
    </row>
    <row r="265" spans="1:11">
      <c r="A265" s="7">
        <v>39850</v>
      </c>
      <c r="B265" s="1">
        <v>204.42</v>
      </c>
      <c r="C265" s="1" t="s">
        <v>13</v>
      </c>
      <c r="D265" s="13">
        <f>VALUE(MID(C265,9,3))</f>
        <v>311</v>
      </c>
      <c r="E265" s="14">
        <f>MONTH(A265)</f>
        <v>2</v>
      </c>
      <c r="G265" s="1" t="s">
        <v>180</v>
      </c>
      <c r="H265" s="1">
        <v>1592.64</v>
      </c>
      <c r="I265" s="1" t="s">
        <v>68</v>
      </c>
      <c r="J265" s="13">
        <f>VALUE(MID(I265,1,3))</f>
        <v>160</v>
      </c>
      <c r="K265" s="13">
        <f>VALUE(MID(G265,5,2))</f>
        <v>7</v>
      </c>
    </row>
    <row r="266" spans="1:11">
      <c r="A266" s="7">
        <v>39850</v>
      </c>
      <c r="B266" s="1">
        <v>832.06</v>
      </c>
      <c r="C266" s="1" t="s">
        <v>13</v>
      </c>
      <c r="D266" s="13">
        <f>VALUE(MID(C266,9,3))</f>
        <v>311</v>
      </c>
      <c r="E266" s="14">
        <f>MONTH(A266)</f>
        <v>2</v>
      </c>
      <c r="G266" s="1" t="s">
        <v>180</v>
      </c>
      <c r="H266" s="1">
        <v>4857.87</v>
      </c>
      <c r="I266" s="1" t="s">
        <v>68</v>
      </c>
      <c r="J266" s="13">
        <f>VALUE(MID(I266,1,3))</f>
        <v>160</v>
      </c>
      <c r="K266" s="13">
        <f>VALUE(MID(G266,5,2))</f>
        <v>7</v>
      </c>
    </row>
    <row r="267" spans="1:11">
      <c r="A267" s="7">
        <v>39850</v>
      </c>
      <c r="B267" s="1">
        <v>219.45</v>
      </c>
      <c r="C267" s="1" t="s">
        <v>13</v>
      </c>
      <c r="D267" s="13">
        <f>VALUE(MID(C267,9,3))</f>
        <v>311</v>
      </c>
      <c r="E267" s="14">
        <f>MONTH(A267)</f>
        <v>2</v>
      </c>
      <c r="G267" s="1" t="s">
        <v>180</v>
      </c>
      <c r="H267" s="1">
        <v>1707.91</v>
      </c>
      <c r="I267" s="1" t="s">
        <v>68</v>
      </c>
      <c r="J267" s="13">
        <f>VALUE(MID(I267,1,3))</f>
        <v>160</v>
      </c>
      <c r="K267" s="13">
        <f>VALUE(MID(G267,5,2))</f>
        <v>7</v>
      </c>
    </row>
    <row r="268" spans="1:11">
      <c r="A268" s="7">
        <v>39850</v>
      </c>
      <c r="B268" s="1">
        <v>557.1</v>
      </c>
      <c r="C268" s="1" t="s">
        <v>13</v>
      </c>
      <c r="D268" s="13">
        <f>VALUE(MID(C268,9,3))</f>
        <v>311</v>
      </c>
      <c r="E268" s="14">
        <f>MONTH(A268)</f>
        <v>2</v>
      </c>
      <c r="G268" s="1" t="s">
        <v>180</v>
      </c>
      <c r="H268" s="1">
        <v>1198.76</v>
      </c>
      <c r="I268" s="1" t="s">
        <v>69</v>
      </c>
      <c r="J268" s="13">
        <f>VALUE(MID(I268,1,3))</f>
        <v>160</v>
      </c>
      <c r="K268" s="13">
        <f>VALUE(MID(G268,5,2))</f>
        <v>7</v>
      </c>
    </row>
    <row r="269" spans="1:11">
      <c r="A269" s="7">
        <v>39850</v>
      </c>
      <c r="B269" s="1">
        <v>18</v>
      </c>
      <c r="C269" s="1" t="s">
        <v>13</v>
      </c>
      <c r="D269" s="13">
        <f>VALUE(MID(C269,9,3))</f>
        <v>311</v>
      </c>
      <c r="E269" s="14">
        <f>MONTH(A269)</f>
        <v>2</v>
      </c>
      <c r="G269" s="1" t="s">
        <v>180</v>
      </c>
      <c r="H269" s="1">
        <v>169.95</v>
      </c>
      <c r="I269" s="1" t="s">
        <v>70</v>
      </c>
      <c r="J269" s="13">
        <f>VALUE(MID(I269,1,3))</f>
        <v>160</v>
      </c>
      <c r="K269" s="13">
        <f>VALUE(MID(G269,5,2))</f>
        <v>7</v>
      </c>
    </row>
    <row r="270" spans="1:11">
      <c r="A270" s="7">
        <v>39850</v>
      </c>
      <c r="B270" s="1">
        <v>1020.16</v>
      </c>
      <c r="C270" s="1" t="s">
        <v>13</v>
      </c>
      <c r="D270" s="13">
        <f>VALUE(MID(C270,9,3))</f>
        <v>311</v>
      </c>
      <c r="E270" s="14">
        <f>MONTH(A270)</f>
        <v>2</v>
      </c>
      <c r="G270" s="1" t="s">
        <v>180</v>
      </c>
      <c r="H270" s="1">
        <v>239.31</v>
      </c>
      <c r="I270" s="1" t="s">
        <v>70</v>
      </c>
      <c r="J270" s="13">
        <f>VALUE(MID(I270,1,3))</f>
        <v>160</v>
      </c>
      <c r="K270" s="13">
        <f>VALUE(MID(G270,5,2))</f>
        <v>7</v>
      </c>
    </row>
    <row r="271" spans="1:11">
      <c r="A271" s="7">
        <v>39850</v>
      </c>
      <c r="B271" s="1">
        <v>816.39</v>
      </c>
      <c r="C271" s="1" t="s">
        <v>13</v>
      </c>
      <c r="D271" s="13">
        <f>VALUE(MID(C271,9,3))</f>
        <v>311</v>
      </c>
      <c r="E271" s="14">
        <f>MONTH(A271)</f>
        <v>2</v>
      </c>
      <c r="G271" s="1" t="s">
        <v>180</v>
      </c>
      <c r="H271" s="1">
        <v>471.57</v>
      </c>
      <c r="I271" s="1" t="s">
        <v>70</v>
      </c>
      <c r="J271" s="13">
        <f>VALUE(MID(I271,1,3))</f>
        <v>160</v>
      </c>
      <c r="K271" s="13">
        <f>VALUE(MID(G271,5,2))</f>
        <v>7</v>
      </c>
    </row>
    <row r="272" spans="1:11">
      <c r="A272" s="7">
        <v>39850</v>
      </c>
      <c r="B272" s="1">
        <v>517.23</v>
      </c>
      <c r="C272" s="1" t="s">
        <v>3</v>
      </c>
      <c r="D272" s="13">
        <f>VALUE(MID(C272,9,3))</f>
        <v>311</v>
      </c>
      <c r="E272" s="14">
        <f>MONTH(A272)</f>
        <v>2</v>
      </c>
      <c r="G272" s="1" t="s">
        <v>180</v>
      </c>
      <c r="H272" s="1">
        <v>341.94</v>
      </c>
      <c r="I272" s="1" t="s">
        <v>71</v>
      </c>
      <c r="J272" s="13">
        <f>VALUE(MID(I272,1,3))</f>
        <v>160</v>
      </c>
      <c r="K272" s="13">
        <f>VALUE(MID(G272,5,2))</f>
        <v>7</v>
      </c>
    </row>
    <row r="273" spans="1:11">
      <c r="A273" s="7">
        <v>39850</v>
      </c>
      <c r="B273" s="1">
        <v>909.15</v>
      </c>
      <c r="C273" s="1" t="s">
        <v>3</v>
      </c>
      <c r="D273" s="13">
        <f>VALUE(MID(C273,9,3))</f>
        <v>311</v>
      </c>
      <c r="E273" s="14">
        <f>MONTH(A273)</f>
        <v>2</v>
      </c>
      <c r="G273" s="1" t="s">
        <v>180</v>
      </c>
      <c r="H273" s="1">
        <v>122.49</v>
      </c>
      <c r="I273" s="1" t="s">
        <v>71</v>
      </c>
      <c r="J273" s="13">
        <f>VALUE(MID(I273,1,3))</f>
        <v>160</v>
      </c>
      <c r="K273" s="13">
        <f>VALUE(MID(G273,5,2))</f>
        <v>7</v>
      </c>
    </row>
    <row r="274" spans="1:11">
      <c r="A274" s="7">
        <v>39850</v>
      </c>
      <c r="B274" s="1">
        <v>909.15</v>
      </c>
      <c r="C274" s="1" t="s">
        <v>3</v>
      </c>
      <c r="D274" s="13">
        <f>VALUE(MID(C274,9,3))</f>
        <v>311</v>
      </c>
      <c r="E274" s="14">
        <f>MONTH(A274)</f>
        <v>2</v>
      </c>
      <c r="G274" s="1" t="s">
        <v>180</v>
      </c>
      <c r="H274" s="1">
        <v>373.62</v>
      </c>
      <c r="I274" s="1" t="s">
        <v>71</v>
      </c>
      <c r="J274" s="13">
        <f>VALUE(MID(I274,1,3))</f>
        <v>160</v>
      </c>
      <c r="K274" s="13">
        <f>VALUE(MID(G274,5,2))</f>
        <v>7</v>
      </c>
    </row>
    <row r="275" spans="1:11">
      <c r="A275" s="7">
        <v>39850</v>
      </c>
      <c r="B275" s="1">
        <v>909.15</v>
      </c>
      <c r="C275" s="1" t="s">
        <v>3</v>
      </c>
      <c r="D275" s="13">
        <f>VALUE(MID(C275,9,3))</f>
        <v>311</v>
      </c>
      <c r="E275" s="14">
        <f>MONTH(A275)</f>
        <v>2</v>
      </c>
      <c r="G275" s="1" t="s">
        <v>180</v>
      </c>
      <c r="H275" s="1">
        <v>131.35</v>
      </c>
      <c r="I275" s="1" t="s">
        <v>71</v>
      </c>
      <c r="J275" s="13">
        <f>VALUE(MID(I275,1,3))</f>
        <v>160</v>
      </c>
      <c r="K275" s="13">
        <f>VALUE(MID(G275,5,2))</f>
        <v>7</v>
      </c>
    </row>
    <row r="276" spans="1:11">
      <c r="A276" s="7">
        <v>39850</v>
      </c>
      <c r="B276" s="1">
        <v>1097.25</v>
      </c>
      <c r="C276" s="1" t="s">
        <v>3</v>
      </c>
      <c r="D276" s="13">
        <f>VALUE(MID(C276,9,3))</f>
        <v>311</v>
      </c>
      <c r="E276" s="14">
        <f>MONTH(A276)</f>
        <v>2</v>
      </c>
      <c r="G276" s="1" t="s">
        <v>186</v>
      </c>
      <c r="H276" s="1">
        <v>3247.28</v>
      </c>
      <c r="I276" s="1" t="s">
        <v>68</v>
      </c>
      <c r="J276" s="13">
        <f>VALUE(MID(I276,1,3))</f>
        <v>160</v>
      </c>
      <c r="K276" s="13">
        <f>VALUE(MID(G276,5,2))</f>
        <v>8</v>
      </c>
    </row>
    <row r="277" spans="1:11">
      <c r="A277" s="7">
        <v>39850</v>
      </c>
      <c r="B277" s="1">
        <v>517.28</v>
      </c>
      <c r="C277" s="1" t="s">
        <v>3</v>
      </c>
      <c r="D277" s="13">
        <f>VALUE(MID(C277,9,3))</f>
        <v>311</v>
      </c>
      <c r="E277" s="14">
        <f>MONTH(A277)</f>
        <v>2</v>
      </c>
      <c r="G277" s="1" t="s">
        <v>186</v>
      </c>
      <c r="H277" s="1">
        <v>1458.79</v>
      </c>
      <c r="I277" s="1" t="s">
        <v>68</v>
      </c>
      <c r="J277" s="13">
        <f>VALUE(MID(I277,1,3))</f>
        <v>160</v>
      </c>
      <c r="K277" s="13">
        <f>VALUE(MID(G277,5,2))</f>
        <v>8</v>
      </c>
    </row>
    <row r="278" spans="1:11">
      <c r="A278" s="7">
        <v>39850</v>
      </c>
      <c r="B278" s="1">
        <v>909.15</v>
      </c>
      <c r="C278" s="1" t="s">
        <v>3</v>
      </c>
      <c r="D278" s="13">
        <f>VALUE(MID(C278,9,3))</f>
        <v>311</v>
      </c>
      <c r="E278" s="14">
        <f>MONTH(A278)</f>
        <v>2</v>
      </c>
      <c r="G278" s="1" t="s">
        <v>186</v>
      </c>
      <c r="H278" s="1">
        <v>4644.2299999999996</v>
      </c>
      <c r="I278" s="1" t="s">
        <v>68</v>
      </c>
      <c r="J278" s="13">
        <f>VALUE(MID(I278,1,3))</f>
        <v>160</v>
      </c>
      <c r="K278" s="13">
        <f>VALUE(MID(G278,5,2))</f>
        <v>8</v>
      </c>
    </row>
    <row r="279" spans="1:11">
      <c r="A279" s="7">
        <v>39850</v>
      </c>
      <c r="B279" s="1">
        <v>454.58</v>
      </c>
      <c r="C279" s="1" t="s">
        <v>3</v>
      </c>
      <c r="D279" s="13">
        <f>VALUE(MID(C279,9,3))</f>
        <v>311</v>
      </c>
      <c r="E279" s="14">
        <f>MONTH(A279)</f>
        <v>2</v>
      </c>
      <c r="G279" s="1" t="s">
        <v>186</v>
      </c>
      <c r="H279" s="1">
        <v>1400.79</v>
      </c>
      <c r="I279" s="1" t="s">
        <v>68</v>
      </c>
      <c r="J279" s="13">
        <f>VALUE(MID(I279,1,3))</f>
        <v>160</v>
      </c>
      <c r="K279" s="13">
        <f>VALUE(MID(G279,5,2))</f>
        <v>8</v>
      </c>
    </row>
    <row r="280" spans="1:11">
      <c r="A280" s="7">
        <v>39850</v>
      </c>
      <c r="B280" s="1">
        <v>846.45</v>
      </c>
      <c r="C280" s="1" t="s">
        <v>3</v>
      </c>
      <c r="D280" s="13">
        <f>VALUE(MID(C280,9,3))</f>
        <v>311</v>
      </c>
      <c r="E280" s="14">
        <f>MONTH(A280)</f>
        <v>2</v>
      </c>
      <c r="G280" s="1" t="s">
        <v>186</v>
      </c>
      <c r="H280" s="1">
        <v>1198.76</v>
      </c>
      <c r="I280" s="1" t="s">
        <v>69</v>
      </c>
      <c r="J280" s="13">
        <f>VALUE(MID(I280,1,3))</f>
        <v>160</v>
      </c>
      <c r="K280" s="13">
        <f>VALUE(MID(G280,5,2))</f>
        <v>8</v>
      </c>
    </row>
    <row r="281" spans="1:11">
      <c r="A281" s="7">
        <v>39850</v>
      </c>
      <c r="B281" s="1">
        <v>846.45</v>
      </c>
      <c r="C281" s="1" t="s">
        <v>3</v>
      </c>
      <c r="D281" s="13">
        <f>VALUE(MID(C281,9,3))</f>
        <v>311</v>
      </c>
      <c r="E281" s="14">
        <f>MONTH(A281)</f>
        <v>2</v>
      </c>
      <c r="G281" s="1" t="s">
        <v>186</v>
      </c>
      <c r="H281" s="1">
        <v>169.95</v>
      </c>
      <c r="I281" s="1" t="s">
        <v>70</v>
      </c>
      <c r="J281" s="13">
        <f>VALUE(MID(I281,1,3))</f>
        <v>160</v>
      </c>
      <c r="K281" s="13">
        <f>VALUE(MID(G281,5,2))</f>
        <v>8</v>
      </c>
    </row>
    <row r="282" spans="1:11">
      <c r="A282" s="7">
        <v>39850</v>
      </c>
      <c r="B282" s="1">
        <v>493.48</v>
      </c>
      <c r="C282" s="1" t="s">
        <v>29</v>
      </c>
      <c r="D282" s="13">
        <f>VALUE(MID(C282,9,3))</f>
        <v>311</v>
      </c>
      <c r="E282" s="14">
        <f>MONTH(A282)</f>
        <v>2</v>
      </c>
      <c r="G282" s="1" t="s">
        <v>186</v>
      </c>
      <c r="H282" s="1">
        <v>31.83</v>
      </c>
      <c r="I282" s="1" t="s">
        <v>70</v>
      </c>
      <c r="J282" s="13">
        <f>VALUE(MID(I282,1,3))</f>
        <v>160</v>
      </c>
      <c r="K282" s="13">
        <f>VALUE(MID(G282,5,2))</f>
        <v>8</v>
      </c>
    </row>
    <row r="283" spans="1:11">
      <c r="A283" s="7">
        <v>39850</v>
      </c>
      <c r="B283" s="1">
        <v>796.39</v>
      </c>
      <c r="C283" s="1" t="s">
        <v>29</v>
      </c>
      <c r="D283" s="13">
        <f>VALUE(MID(C283,9,3))</f>
        <v>311</v>
      </c>
      <c r="E283" s="14">
        <f>MONTH(A283)</f>
        <v>2</v>
      </c>
      <c r="G283" s="1" t="s">
        <v>186</v>
      </c>
      <c r="H283" s="1">
        <v>48.84</v>
      </c>
      <c r="I283" s="1" t="s">
        <v>70</v>
      </c>
      <c r="J283" s="13">
        <f>VALUE(MID(I283,1,3))</f>
        <v>160</v>
      </c>
      <c r="K283" s="13">
        <f>VALUE(MID(G283,5,2))</f>
        <v>8</v>
      </c>
    </row>
    <row r="284" spans="1:11">
      <c r="A284" s="7">
        <v>39850</v>
      </c>
      <c r="B284" s="1">
        <v>651.52</v>
      </c>
      <c r="C284" s="1" t="s">
        <v>29</v>
      </c>
      <c r="D284" s="13">
        <f>VALUE(MID(C284,9,3))</f>
        <v>311</v>
      </c>
      <c r="E284" s="14">
        <f>MONTH(A284)</f>
        <v>2</v>
      </c>
      <c r="G284" s="1" t="s">
        <v>186</v>
      </c>
      <c r="H284" s="1">
        <v>341.94</v>
      </c>
      <c r="I284" s="1" t="s">
        <v>71</v>
      </c>
      <c r="J284" s="13">
        <f>VALUE(MID(I284,1,3))</f>
        <v>160</v>
      </c>
      <c r="K284" s="13">
        <f>VALUE(MID(G284,5,2))</f>
        <v>8</v>
      </c>
    </row>
    <row r="285" spans="1:11">
      <c r="A285" s="7">
        <v>39850</v>
      </c>
      <c r="B285" s="1">
        <v>888.58</v>
      </c>
      <c r="C285" s="1" t="s">
        <v>29</v>
      </c>
      <c r="D285" s="13">
        <f>VALUE(MID(C285,9,3))</f>
        <v>311</v>
      </c>
      <c r="E285" s="14">
        <f>MONTH(A285)</f>
        <v>2</v>
      </c>
      <c r="G285" s="1" t="s">
        <v>186</v>
      </c>
      <c r="H285" s="1">
        <v>112.19</v>
      </c>
      <c r="I285" s="1" t="s">
        <v>71</v>
      </c>
      <c r="J285" s="13">
        <f>VALUE(MID(I285,1,3))</f>
        <v>160</v>
      </c>
      <c r="K285" s="13">
        <f>VALUE(MID(G285,5,2))</f>
        <v>8</v>
      </c>
    </row>
    <row r="286" spans="1:11">
      <c r="A286" s="7">
        <v>39850</v>
      </c>
      <c r="B286" s="1">
        <v>651.52</v>
      </c>
      <c r="C286" s="1" t="s">
        <v>29</v>
      </c>
      <c r="D286" s="13">
        <f>VALUE(MID(C286,9,3))</f>
        <v>311</v>
      </c>
      <c r="E286" s="14">
        <f>MONTH(A286)</f>
        <v>2</v>
      </c>
      <c r="G286" s="1" t="s">
        <v>186</v>
      </c>
      <c r="H286" s="1">
        <v>357.19</v>
      </c>
      <c r="I286" s="1" t="s">
        <v>71</v>
      </c>
      <c r="J286" s="13">
        <f>VALUE(MID(I286,1,3))</f>
        <v>160</v>
      </c>
      <c r="K286" s="13">
        <f>VALUE(MID(G286,5,2))</f>
        <v>8</v>
      </c>
    </row>
    <row r="287" spans="1:11">
      <c r="A287" s="7">
        <v>39850</v>
      </c>
      <c r="B287" s="1">
        <v>244.8</v>
      </c>
      <c r="C287" s="1" t="s">
        <v>40</v>
      </c>
      <c r="D287" s="13">
        <f>VALUE(MID(C287,9,3))</f>
        <v>311</v>
      </c>
      <c r="E287" s="14">
        <f>MONTH(A287)</f>
        <v>2</v>
      </c>
      <c r="G287" s="1" t="s">
        <v>186</v>
      </c>
      <c r="H287" s="1">
        <v>107.72</v>
      </c>
      <c r="I287" s="1" t="s">
        <v>71</v>
      </c>
      <c r="J287" s="13">
        <f>VALUE(MID(I287,1,3))</f>
        <v>160</v>
      </c>
      <c r="K287" s="13">
        <f>VALUE(MID(G287,5,2))</f>
        <v>8</v>
      </c>
    </row>
    <row r="288" spans="1:11">
      <c r="A288" s="7">
        <v>39850</v>
      </c>
      <c r="B288" s="1">
        <v>150</v>
      </c>
      <c r="C288" s="1" t="s">
        <v>41</v>
      </c>
      <c r="D288" s="13">
        <f>VALUE(MID(C288,9,3))</f>
        <v>311</v>
      </c>
      <c r="E288" s="14">
        <f>MONTH(A288)</f>
        <v>2</v>
      </c>
      <c r="G288" s="1" t="s">
        <v>198</v>
      </c>
      <c r="H288" s="1">
        <v>3179.54</v>
      </c>
      <c r="I288" s="1" t="s">
        <v>68</v>
      </c>
      <c r="J288" s="13">
        <f>VALUE(MID(I288,1,3))</f>
        <v>160</v>
      </c>
      <c r="K288" s="13">
        <f>VALUE(MID(G288,5,2))</f>
        <v>9</v>
      </c>
    </row>
    <row r="289" spans="1:11">
      <c r="A289" s="7">
        <v>39878</v>
      </c>
      <c r="B289" s="1">
        <v>39.51</v>
      </c>
      <c r="C289" s="1" t="s">
        <v>29</v>
      </c>
      <c r="D289" s="13">
        <f>VALUE(MID(C289,9,3))</f>
        <v>311</v>
      </c>
      <c r="E289" s="14">
        <f>MONTH(A289)</f>
        <v>3</v>
      </c>
      <c r="G289" s="1" t="s">
        <v>198</v>
      </c>
      <c r="H289" s="1">
        <v>1458.79</v>
      </c>
      <c r="I289" s="1" t="s">
        <v>68</v>
      </c>
      <c r="J289" s="13">
        <f>VALUE(MID(I289,1,3))</f>
        <v>160</v>
      </c>
      <c r="K289" s="13">
        <f>VALUE(MID(G289,5,2))</f>
        <v>9</v>
      </c>
    </row>
    <row r="290" spans="1:11">
      <c r="A290" s="7">
        <v>39939</v>
      </c>
      <c r="B290" s="1">
        <v>-595.48</v>
      </c>
      <c r="C290" s="1" t="s">
        <v>28</v>
      </c>
      <c r="D290" s="13">
        <f>VALUE(MID(C290,9,3))</f>
        <v>311</v>
      </c>
      <c r="E290" s="14">
        <f>MONTH(A290)</f>
        <v>5</v>
      </c>
      <c r="G290" s="1" t="s">
        <v>198</v>
      </c>
      <c r="H290" s="1">
        <v>4657.72</v>
      </c>
      <c r="I290" s="1" t="s">
        <v>68</v>
      </c>
      <c r="J290" s="13">
        <f>VALUE(MID(I290,1,3))</f>
        <v>160</v>
      </c>
      <c r="K290" s="13">
        <f>VALUE(MID(G290,5,2))</f>
        <v>9</v>
      </c>
    </row>
    <row r="291" spans="1:11">
      <c r="A291" s="7">
        <v>39939</v>
      </c>
      <c r="B291" s="1">
        <v>200</v>
      </c>
      <c r="C291" s="1" t="s">
        <v>35</v>
      </c>
      <c r="D291" s="13">
        <f>VALUE(MID(C291,9,3))</f>
        <v>311</v>
      </c>
      <c r="E291" s="14">
        <f>MONTH(A291)</f>
        <v>5</v>
      </c>
      <c r="G291" s="1" t="s">
        <v>198</v>
      </c>
      <c r="H291" s="1">
        <v>1400.79</v>
      </c>
      <c r="I291" s="1" t="s">
        <v>68</v>
      </c>
      <c r="J291" s="13">
        <f>VALUE(MID(I291,1,3))</f>
        <v>160</v>
      </c>
      <c r="K291" s="13">
        <f>VALUE(MID(G291,5,2))</f>
        <v>9</v>
      </c>
    </row>
    <row r="292" spans="1:11">
      <c r="A292" s="7">
        <v>39939</v>
      </c>
      <c r="B292" s="1">
        <v>200</v>
      </c>
      <c r="C292" s="1" t="s">
        <v>35</v>
      </c>
      <c r="D292" s="13">
        <f>VALUE(MID(C292,9,3))</f>
        <v>311</v>
      </c>
      <c r="E292" s="14">
        <f>MONTH(A292)</f>
        <v>5</v>
      </c>
      <c r="G292" s="1" t="s">
        <v>198</v>
      </c>
      <c r="H292" s="1">
        <v>1198.77</v>
      </c>
      <c r="I292" s="1" t="s">
        <v>69</v>
      </c>
      <c r="J292" s="13">
        <f>VALUE(MID(I292,1,3))</f>
        <v>160</v>
      </c>
      <c r="K292" s="13">
        <f>VALUE(MID(G292,5,2))</f>
        <v>9</v>
      </c>
    </row>
    <row r="293" spans="1:11">
      <c r="A293" s="7">
        <v>39939</v>
      </c>
      <c r="B293" s="1">
        <v>200</v>
      </c>
      <c r="C293" s="1" t="s">
        <v>35</v>
      </c>
      <c r="D293" s="13">
        <f>VALUE(MID(C293,9,3))</f>
        <v>311</v>
      </c>
      <c r="E293" s="14">
        <f>MONTH(A293)</f>
        <v>5</v>
      </c>
      <c r="G293" s="1" t="s">
        <v>198</v>
      </c>
      <c r="H293" s="1">
        <v>761.79</v>
      </c>
      <c r="I293" s="1" t="s">
        <v>70</v>
      </c>
      <c r="J293" s="13">
        <f>VALUE(MID(I293,1,3))</f>
        <v>160</v>
      </c>
      <c r="K293" s="13">
        <f>VALUE(MID(G293,5,2))</f>
        <v>9</v>
      </c>
    </row>
    <row r="294" spans="1:11">
      <c r="A294" s="7">
        <v>40000</v>
      </c>
      <c r="B294" s="1">
        <v>901.5</v>
      </c>
      <c r="C294" s="1" t="s">
        <v>7</v>
      </c>
      <c r="D294" s="13">
        <f>VALUE(MID(C294,9,3))</f>
        <v>311</v>
      </c>
      <c r="E294" s="14">
        <f>MONTH(A294)</f>
        <v>7</v>
      </c>
      <c r="G294" s="1" t="s">
        <v>198</v>
      </c>
      <c r="H294" s="1">
        <v>558.36</v>
      </c>
      <c r="I294" s="1" t="s">
        <v>70</v>
      </c>
      <c r="J294" s="13">
        <f>VALUE(MID(I294,1,3))</f>
        <v>160</v>
      </c>
      <c r="K294" s="13">
        <f>VALUE(MID(G294,5,2))</f>
        <v>9</v>
      </c>
    </row>
    <row r="295" spans="1:11">
      <c r="A295" s="7">
        <v>40000</v>
      </c>
      <c r="B295" s="1">
        <v>240.08</v>
      </c>
      <c r="C295" s="1" t="s">
        <v>6</v>
      </c>
      <c r="D295" s="13">
        <f>VALUE(MID(C295,9,3))</f>
        <v>311</v>
      </c>
      <c r="E295" s="14">
        <f>MONTH(A295)</f>
        <v>7</v>
      </c>
      <c r="G295" s="1" t="s">
        <v>198</v>
      </c>
      <c r="H295" s="1">
        <v>507.91</v>
      </c>
      <c r="I295" s="1" t="s">
        <v>70</v>
      </c>
      <c r="J295" s="13">
        <f>VALUE(MID(I295,1,3))</f>
        <v>160</v>
      </c>
      <c r="K295" s="13">
        <f>VALUE(MID(G295,5,2))</f>
        <v>9</v>
      </c>
    </row>
    <row r="296" spans="1:11">
      <c r="A296" s="7">
        <v>40000</v>
      </c>
      <c r="B296" s="1">
        <v>300</v>
      </c>
      <c r="C296" s="1" t="s">
        <v>20</v>
      </c>
      <c r="D296" s="13">
        <f>VALUE(MID(C296,9,3))</f>
        <v>311</v>
      </c>
      <c r="E296" s="14">
        <f>MONTH(A296)</f>
        <v>7</v>
      </c>
      <c r="G296" s="1" t="s">
        <v>198</v>
      </c>
      <c r="H296" s="1">
        <v>48.84</v>
      </c>
      <c r="I296" s="1" t="s">
        <v>70</v>
      </c>
      <c r="J296" s="13">
        <f>VALUE(MID(I296,1,3))</f>
        <v>160</v>
      </c>
      <c r="K296" s="13">
        <f>VALUE(MID(G296,5,2))</f>
        <v>9</v>
      </c>
    </row>
    <row r="297" spans="1:11">
      <c r="A297" s="7">
        <v>40031</v>
      </c>
      <c r="B297" s="1">
        <v>987.52</v>
      </c>
      <c r="C297" s="1" t="s">
        <v>3</v>
      </c>
      <c r="D297" s="13">
        <f>VALUE(MID(C297,9,3))</f>
        <v>311</v>
      </c>
      <c r="E297" s="14">
        <f>MONTH(A297)</f>
        <v>8</v>
      </c>
      <c r="G297" s="1" t="s">
        <v>198</v>
      </c>
      <c r="H297" s="1">
        <v>336.73</v>
      </c>
      <c r="I297" s="1" t="s">
        <v>71</v>
      </c>
      <c r="J297" s="13">
        <f>VALUE(MID(I297,1,3))</f>
        <v>160</v>
      </c>
      <c r="K297" s="13">
        <f>VALUE(MID(G297,5,2))</f>
        <v>9</v>
      </c>
    </row>
    <row r="298" spans="1:11">
      <c r="A298" s="7">
        <v>40031</v>
      </c>
      <c r="B298" s="1">
        <v>592.12</v>
      </c>
      <c r="C298" s="1" t="s">
        <v>6</v>
      </c>
      <c r="D298" s="13">
        <f>VALUE(MID(C298,9,3))</f>
        <v>311</v>
      </c>
      <c r="E298" s="14">
        <f>MONTH(A298)</f>
        <v>8</v>
      </c>
      <c r="G298" s="1" t="s">
        <v>198</v>
      </c>
      <c r="H298" s="1">
        <v>112.19</v>
      </c>
      <c r="I298" s="1" t="s">
        <v>71</v>
      </c>
      <c r="J298" s="13">
        <f>VALUE(MID(I298,1,3))</f>
        <v>160</v>
      </c>
      <c r="K298" s="13">
        <f>VALUE(MID(G298,5,2))</f>
        <v>9</v>
      </c>
    </row>
    <row r="299" spans="1:11">
      <c r="A299" s="7">
        <v>40031</v>
      </c>
      <c r="B299" s="1">
        <v>532.99</v>
      </c>
      <c r="C299" s="1" t="s">
        <v>6</v>
      </c>
      <c r="D299" s="13">
        <f>VALUE(MID(C299,9,3))</f>
        <v>311</v>
      </c>
      <c r="E299" s="14">
        <f>MONTH(A299)</f>
        <v>8</v>
      </c>
      <c r="G299" s="1" t="s">
        <v>198</v>
      </c>
      <c r="H299" s="1">
        <v>358.23</v>
      </c>
      <c r="I299" s="1" t="s">
        <v>71</v>
      </c>
      <c r="J299" s="13">
        <f>VALUE(MID(I299,1,3))</f>
        <v>160</v>
      </c>
      <c r="K299" s="13">
        <f>VALUE(MID(G299,5,2))</f>
        <v>9</v>
      </c>
    </row>
    <row r="300" spans="1:11">
      <c r="A300" s="7">
        <v>40092</v>
      </c>
      <c r="B300" s="1">
        <v>406.5</v>
      </c>
      <c r="C300" s="1" t="s">
        <v>12</v>
      </c>
      <c r="D300" s="13">
        <f>VALUE(MID(C300,9,3))</f>
        <v>311</v>
      </c>
      <c r="E300" s="14">
        <f>MONTH(A300)</f>
        <v>10</v>
      </c>
      <c r="G300" s="1" t="s">
        <v>198</v>
      </c>
      <c r="H300" s="1">
        <v>107.72</v>
      </c>
      <c r="I300" s="1" t="s">
        <v>71</v>
      </c>
      <c r="J300" s="13">
        <f>VALUE(MID(I300,1,3))</f>
        <v>160</v>
      </c>
      <c r="K300" s="13">
        <f>VALUE(MID(G300,5,2))</f>
        <v>9</v>
      </c>
    </row>
    <row r="301" spans="1:11">
      <c r="A301" s="7">
        <v>40092</v>
      </c>
      <c r="B301" s="1">
        <v>470.25</v>
      </c>
      <c r="C301" s="1" t="s">
        <v>3</v>
      </c>
      <c r="D301" s="13">
        <f>VALUE(MID(C301,9,3))</f>
        <v>311</v>
      </c>
      <c r="E301" s="14">
        <f>MONTH(A301)</f>
        <v>10</v>
      </c>
      <c r="G301" s="1" t="s">
        <v>205</v>
      </c>
      <c r="H301" s="1">
        <v>3247.28</v>
      </c>
      <c r="I301" s="1" t="s">
        <v>68</v>
      </c>
      <c r="J301" s="13">
        <f>VALUE(MID(I301,1,3))</f>
        <v>160</v>
      </c>
      <c r="K301" s="13">
        <f>VALUE(MID(G301,5,2))</f>
        <v>10</v>
      </c>
    </row>
    <row r="302" spans="1:11">
      <c r="A302" s="7">
        <v>40092</v>
      </c>
      <c r="B302" s="1">
        <v>314.68</v>
      </c>
      <c r="C302" s="1" t="s">
        <v>6</v>
      </c>
      <c r="D302" s="13">
        <f>VALUE(MID(C302,9,3))</f>
        <v>311</v>
      </c>
      <c r="E302" s="14">
        <f>MONTH(A302)</f>
        <v>10</v>
      </c>
      <c r="G302" s="1" t="s">
        <v>205</v>
      </c>
      <c r="H302" s="1">
        <v>1625.93</v>
      </c>
      <c r="I302" s="1" t="s">
        <v>68</v>
      </c>
      <c r="J302" s="13">
        <f>VALUE(MID(I302,1,3))</f>
        <v>160</v>
      </c>
      <c r="K302" s="13">
        <f>VALUE(MID(G302,5,2))</f>
        <v>10</v>
      </c>
    </row>
    <row r="303" spans="1:11">
      <c r="A303" s="7">
        <v>40092</v>
      </c>
      <c r="B303" s="1">
        <v>287.5</v>
      </c>
      <c r="C303" s="1" t="s">
        <v>17</v>
      </c>
      <c r="D303" s="13">
        <f>VALUE(MID(C303,9,3))</f>
        <v>311</v>
      </c>
      <c r="E303" s="14">
        <f>MONTH(A303)</f>
        <v>10</v>
      </c>
      <c r="G303" s="1" t="s">
        <v>205</v>
      </c>
      <c r="H303" s="1">
        <v>4657.72</v>
      </c>
      <c r="I303" s="1" t="s">
        <v>68</v>
      </c>
      <c r="J303" s="13">
        <f>VALUE(MID(I303,1,3))</f>
        <v>160</v>
      </c>
      <c r="K303" s="13">
        <f>VALUE(MID(G303,5,2))</f>
        <v>10</v>
      </c>
    </row>
    <row r="304" spans="1:11">
      <c r="A304" s="7">
        <v>40092</v>
      </c>
      <c r="B304" s="1">
        <v>287.5</v>
      </c>
      <c r="C304" s="1" t="s">
        <v>17</v>
      </c>
      <c r="D304" s="13">
        <f>VALUE(MID(C304,9,3))</f>
        <v>311</v>
      </c>
      <c r="E304" s="14">
        <f>MONTH(A304)</f>
        <v>10</v>
      </c>
      <c r="G304" s="1" t="s">
        <v>205</v>
      </c>
      <c r="H304" s="1">
        <v>1400.79</v>
      </c>
      <c r="I304" s="1" t="s">
        <v>68</v>
      </c>
      <c r="J304" s="13">
        <f>VALUE(MID(I304,1,3))</f>
        <v>160</v>
      </c>
      <c r="K304" s="13">
        <f>VALUE(MID(G304,5,2))</f>
        <v>10</v>
      </c>
    </row>
    <row r="305" spans="1:11">
      <c r="A305" s="7">
        <v>39820</v>
      </c>
      <c r="B305" s="1">
        <v>397.94</v>
      </c>
      <c r="C305" s="1" t="s">
        <v>28</v>
      </c>
      <c r="D305" s="13">
        <f>VALUE(MID(C305,9,3))</f>
        <v>311</v>
      </c>
      <c r="E305" s="14">
        <f>MONTH(A305)</f>
        <v>1</v>
      </c>
      <c r="G305" s="1" t="s">
        <v>205</v>
      </c>
      <c r="H305" s="1">
        <v>1198.77</v>
      </c>
      <c r="I305" s="1" t="s">
        <v>69</v>
      </c>
      <c r="J305" s="13">
        <f>VALUE(MID(I305,1,3))</f>
        <v>160</v>
      </c>
      <c r="K305" s="13">
        <f>VALUE(MID(G305,5,2))</f>
        <v>10</v>
      </c>
    </row>
    <row r="306" spans="1:11">
      <c r="A306" s="7">
        <v>39851</v>
      </c>
      <c r="B306" s="1">
        <v>572.5</v>
      </c>
      <c r="C306" s="1" t="s">
        <v>29</v>
      </c>
      <c r="D306" s="13">
        <f>VALUE(MID(C306,9,3))</f>
        <v>311</v>
      </c>
      <c r="E306" s="14">
        <f>MONTH(A306)</f>
        <v>2</v>
      </c>
      <c r="G306" s="1" t="s">
        <v>205</v>
      </c>
      <c r="H306" s="1">
        <v>930.32</v>
      </c>
      <c r="I306" s="1" t="s">
        <v>70</v>
      </c>
      <c r="J306" s="13">
        <f>VALUE(MID(I306,1,3))</f>
        <v>160</v>
      </c>
      <c r="K306" s="13">
        <f>VALUE(MID(G306,5,2))</f>
        <v>10</v>
      </c>
    </row>
    <row r="307" spans="1:11">
      <c r="A307" s="7">
        <v>39851</v>
      </c>
      <c r="B307" s="1">
        <v>407.83</v>
      </c>
      <c r="C307" s="1" t="s">
        <v>29</v>
      </c>
      <c r="D307" s="13">
        <f>VALUE(MID(C307,9,3))</f>
        <v>311</v>
      </c>
      <c r="E307" s="14">
        <f>MONTH(A307)</f>
        <v>2</v>
      </c>
      <c r="G307" s="1" t="s">
        <v>205</v>
      </c>
      <c r="H307" s="1">
        <v>1286.73</v>
      </c>
      <c r="I307" s="1" t="s">
        <v>70</v>
      </c>
      <c r="J307" s="13">
        <f>VALUE(MID(I307,1,3))</f>
        <v>160</v>
      </c>
      <c r="K307" s="13">
        <f>VALUE(MID(G307,5,2))</f>
        <v>10</v>
      </c>
    </row>
    <row r="308" spans="1:11">
      <c r="A308" s="7">
        <v>40001</v>
      </c>
      <c r="B308" s="1">
        <v>470.25</v>
      </c>
      <c r="C308" s="1" t="s">
        <v>3</v>
      </c>
      <c r="D308" s="13">
        <f>VALUE(MID(C308,9,3))</f>
        <v>311</v>
      </c>
      <c r="E308" s="14">
        <f>MONTH(A308)</f>
        <v>7</v>
      </c>
      <c r="G308" s="1" t="s">
        <v>205</v>
      </c>
      <c r="H308" s="1">
        <v>1292.46</v>
      </c>
      <c r="I308" s="1" t="s">
        <v>70</v>
      </c>
      <c r="J308" s="13">
        <f>VALUE(MID(I308,1,3))</f>
        <v>160</v>
      </c>
      <c r="K308" s="13">
        <f>VALUE(MID(G308,5,2))</f>
        <v>10</v>
      </c>
    </row>
    <row r="309" spans="1:11">
      <c r="A309" s="7">
        <v>40001</v>
      </c>
      <c r="B309" s="1">
        <v>572.5</v>
      </c>
      <c r="C309" s="1" t="s">
        <v>5</v>
      </c>
      <c r="D309" s="13">
        <f>VALUE(MID(C309,9,3))</f>
        <v>311</v>
      </c>
      <c r="E309" s="14">
        <f>MONTH(A309)</f>
        <v>7</v>
      </c>
      <c r="G309" s="1" t="s">
        <v>205</v>
      </c>
      <c r="H309" s="1">
        <v>48.84</v>
      </c>
      <c r="I309" s="1" t="s">
        <v>70</v>
      </c>
      <c r="J309" s="13">
        <f>VALUE(MID(I309,1,3))</f>
        <v>160</v>
      </c>
      <c r="K309" s="13">
        <f>VALUE(MID(G309,5,2))</f>
        <v>10</v>
      </c>
    </row>
    <row r="310" spans="1:11">
      <c r="A310" s="7">
        <v>40001</v>
      </c>
      <c r="B310" s="1">
        <v>115.04</v>
      </c>
      <c r="C310" s="1" t="s">
        <v>6</v>
      </c>
      <c r="D310" s="13">
        <f>VALUE(MID(C310,9,3))</f>
        <v>311</v>
      </c>
      <c r="E310" s="14">
        <f>MONTH(A310)</f>
        <v>7</v>
      </c>
      <c r="G310" s="1" t="s">
        <v>205</v>
      </c>
      <c r="H310" s="1">
        <v>341.94</v>
      </c>
      <c r="I310" s="1" t="s">
        <v>71</v>
      </c>
      <c r="J310" s="13">
        <f>VALUE(MID(I310,1,3))</f>
        <v>160</v>
      </c>
      <c r="K310" s="13">
        <f>VALUE(MID(G310,5,2))</f>
        <v>10</v>
      </c>
    </row>
    <row r="311" spans="1:11">
      <c r="A311" s="7">
        <v>40001</v>
      </c>
      <c r="B311" s="1">
        <v>256.42</v>
      </c>
      <c r="C311" s="1" t="s">
        <v>6</v>
      </c>
      <c r="D311" s="13">
        <f>VALUE(MID(C311,9,3))</f>
        <v>311</v>
      </c>
      <c r="E311" s="14">
        <f>MONTH(A311)</f>
        <v>7</v>
      </c>
      <c r="G311" s="1" t="s">
        <v>205</v>
      </c>
      <c r="H311" s="1">
        <v>125.04</v>
      </c>
      <c r="I311" s="1" t="s">
        <v>71</v>
      </c>
      <c r="J311" s="13">
        <f>VALUE(MID(I311,1,3))</f>
        <v>160</v>
      </c>
      <c r="K311" s="13">
        <f>VALUE(MID(G311,5,2))</f>
        <v>10</v>
      </c>
    </row>
    <row r="312" spans="1:11">
      <c r="A312" s="7">
        <v>40001</v>
      </c>
      <c r="B312" s="1">
        <v>216.9</v>
      </c>
      <c r="C312" s="1" t="s">
        <v>6</v>
      </c>
      <c r="D312" s="13">
        <f>VALUE(MID(C312,9,3))</f>
        <v>311</v>
      </c>
      <c r="E312" s="14">
        <f>MONTH(A312)</f>
        <v>7</v>
      </c>
      <c r="G312" s="1" t="s">
        <v>205</v>
      </c>
      <c r="H312" s="1">
        <v>358.23</v>
      </c>
      <c r="I312" s="1" t="s">
        <v>71</v>
      </c>
      <c r="J312" s="13">
        <f>VALUE(MID(I312,1,3))</f>
        <v>160</v>
      </c>
      <c r="K312" s="13">
        <f>VALUE(MID(G312,5,2))</f>
        <v>10</v>
      </c>
    </row>
    <row r="313" spans="1:11">
      <c r="A313" s="7">
        <v>40001</v>
      </c>
      <c r="B313" s="1">
        <v>300</v>
      </c>
      <c r="C313" s="1" t="s">
        <v>20</v>
      </c>
      <c r="D313" s="13">
        <f>VALUE(MID(C313,9,3))</f>
        <v>311</v>
      </c>
      <c r="E313" s="14">
        <f>MONTH(A313)</f>
        <v>7</v>
      </c>
      <c r="G313" s="1" t="s">
        <v>205</v>
      </c>
      <c r="H313" s="1">
        <v>107.72</v>
      </c>
      <c r="I313" s="1" t="s">
        <v>71</v>
      </c>
      <c r="J313" s="13">
        <f>VALUE(MID(I313,1,3))</f>
        <v>160</v>
      </c>
      <c r="K313" s="13">
        <f>VALUE(MID(G313,5,2))</f>
        <v>10</v>
      </c>
    </row>
    <row r="314" spans="1:11">
      <c r="A314" s="7">
        <v>40001</v>
      </c>
      <c r="B314" s="1">
        <v>300</v>
      </c>
      <c r="C314" s="1" t="s">
        <v>20</v>
      </c>
      <c r="D314" s="13">
        <f>VALUE(MID(C314,9,3))</f>
        <v>311</v>
      </c>
      <c r="E314" s="14">
        <f>MONTH(A314)</f>
        <v>7</v>
      </c>
      <c r="G314" s="1" t="s">
        <v>213</v>
      </c>
      <c r="H314" s="1">
        <v>3552.45</v>
      </c>
      <c r="I314" s="1" t="s">
        <v>68</v>
      </c>
      <c r="J314" s="13">
        <f>VALUE(MID(I314,1,3))</f>
        <v>160</v>
      </c>
      <c r="K314" s="13">
        <f>VALUE(MID(G314,5,2))</f>
        <v>11</v>
      </c>
    </row>
    <row r="315" spans="1:11">
      <c r="A315" s="7">
        <v>40001</v>
      </c>
      <c r="B315" s="1">
        <v>300</v>
      </c>
      <c r="C315" s="1" t="s">
        <v>20</v>
      </c>
      <c r="D315" s="13">
        <f>VALUE(MID(C315,9,3))</f>
        <v>311</v>
      </c>
      <c r="E315" s="14">
        <f>MONTH(A315)</f>
        <v>7</v>
      </c>
      <c r="G315" s="1" t="s">
        <v>213</v>
      </c>
      <c r="H315" s="1">
        <v>1968.31</v>
      </c>
      <c r="I315" s="1" t="s">
        <v>68</v>
      </c>
      <c r="J315" s="13">
        <f>VALUE(MID(I315,1,3))</f>
        <v>160</v>
      </c>
      <c r="K315" s="13">
        <f>VALUE(MID(G315,5,2))</f>
        <v>11</v>
      </c>
    </row>
    <row r="316" spans="1:11">
      <c r="A316" s="7">
        <v>40001</v>
      </c>
      <c r="B316" s="1">
        <v>300</v>
      </c>
      <c r="C316" s="1" t="s">
        <v>20</v>
      </c>
      <c r="D316" s="13">
        <f>VALUE(MID(C316,9,3))</f>
        <v>311</v>
      </c>
      <c r="E316" s="14">
        <f>MONTH(A316)</f>
        <v>7</v>
      </c>
      <c r="G316" s="1" t="s">
        <v>213</v>
      </c>
      <c r="H316" s="1">
        <v>5303.46</v>
      </c>
      <c r="I316" s="1" t="s">
        <v>68</v>
      </c>
      <c r="J316" s="13">
        <f>VALUE(MID(I316,1,3))</f>
        <v>160</v>
      </c>
      <c r="K316" s="13">
        <f>VALUE(MID(G316,5,2))</f>
        <v>11</v>
      </c>
    </row>
    <row r="317" spans="1:11">
      <c r="A317" s="7">
        <v>40001</v>
      </c>
      <c r="B317" s="1">
        <v>300</v>
      </c>
      <c r="C317" s="1" t="s">
        <v>20</v>
      </c>
      <c r="D317" s="13">
        <f>VALUE(MID(C317,9,3))</f>
        <v>311</v>
      </c>
      <c r="E317" s="14">
        <f>MONTH(A317)</f>
        <v>7</v>
      </c>
      <c r="G317" s="1" t="s">
        <v>213</v>
      </c>
      <c r="H317" s="1">
        <v>1941.46</v>
      </c>
      <c r="I317" s="1" t="s">
        <v>68</v>
      </c>
      <c r="J317" s="13">
        <f>VALUE(MID(I317,1,3))</f>
        <v>160</v>
      </c>
      <c r="K317" s="13">
        <f>VALUE(MID(G317,5,2))</f>
        <v>11</v>
      </c>
    </row>
    <row r="318" spans="1:11">
      <c r="A318" s="7">
        <v>40032</v>
      </c>
      <c r="B318" s="1">
        <v>32.78</v>
      </c>
      <c r="C318" s="1" t="s">
        <v>6</v>
      </c>
      <c r="D318" s="13">
        <f>VALUE(MID(C318,9,3))</f>
        <v>311</v>
      </c>
      <c r="E318" s="14">
        <f>MONTH(A318)</f>
        <v>8</v>
      </c>
      <c r="G318" s="1" t="s">
        <v>213</v>
      </c>
      <c r="H318" s="1">
        <v>1337.09</v>
      </c>
      <c r="I318" s="1" t="s">
        <v>69</v>
      </c>
      <c r="J318" s="13">
        <f>VALUE(MID(I318,1,3))</f>
        <v>160</v>
      </c>
      <c r="K318" s="13">
        <f>VALUE(MID(G318,5,2))</f>
        <v>11</v>
      </c>
    </row>
    <row r="319" spans="1:11">
      <c r="A319" s="7">
        <v>40063</v>
      </c>
      <c r="B319" s="1">
        <v>230.5</v>
      </c>
      <c r="C319" s="1" t="s">
        <v>42</v>
      </c>
      <c r="D319" s="13">
        <f>VALUE(MID(C319,9,3))</f>
        <v>311</v>
      </c>
      <c r="E319" s="14">
        <f>MONTH(A319)</f>
        <v>9</v>
      </c>
      <c r="G319" s="1" t="s">
        <v>213</v>
      </c>
      <c r="H319" s="1">
        <v>1036.27</v>
      </c>
      <c r="I319" s="1" t="s">
        <v>70</v>
      </c>
      <c r="J319" s="13">
        <f>VALUE(MID(I319,1,3))</f>
        <v>160</v>
      </c>
      <c r="K319" s="13">
        <f>VALUE(MID(G319,5,2))</f>
        <v>11</v>
      </c>
    </row>
    <row r="320" spans="1:11">
      <c r="A320" s="7">
        <v>40063</v>
      </c>
      <c r="B320" s="1">
        <v>218.5</v>
      </c>
      <c r="C320" s="1" t="s">
        <v>42</v>
      </c>
      <c r="D320" s="13">
        <f>VALUE(MID(C320,9,3))</f>
        <v>311</v>
      </c>
      <c r="E320" s="14">
        <f>MONTH(A320)</f>
        <v>9</v>
      </c>
      <c r="G320" s="1" t="s">
        <v>213</v>
      </c>
      <c r="H320" s="1">
        <v>1784.96</v>
      </c>
      <c r="I320" s="1" t="s">
        <v>70</v>
      </c>
      <c r="J320" s="13">
        <f>VALUE(MID(I320,1,3))</f>
        <v>160</v>
      </c>
      <c r="K320" s="13">
        <f>VALUE(MID(G320,5,2))</f>
        <v>11</v>
      </c>
    </row>
    <row r="321" spans="1:11">
      <c r="A321" s="7">
        <v>40063</v>
      </c>
      <c r="B321" s="1">
        <v>1475.92</v>
      </c>
      <c r="C321" s="1" t="s">
        <v>7</v>
      </c>
      <c r="D321" s="13">
        <f>VALUE(MID(C321,9,3))</f>
        <v>311</v>
      </c>
      <c r="E321" s="14">
        <f>MONTH(A321)</f>
        <v>9</v>
      </c>
      <c r="G321" s="1" t="s">
        <v>213</v>
      </c>
      <c r="H321" s="1">
        <v>2321.64</v>
      </c>
      <c r="I321" s="1" t="s">
        <v>70</v>
      </c>
      <c r="J321" s="13">
        <f>VALUE(MID(I321,1,3))</f>
        <v>160</v>
      </c>
      <c r="K321" s="13">
        <f>VALUE(MID(G321,5,2))</f>
        <v>11</v>
      </c>
    </row>
    <row r="322" spans="1:11">
      <c r="A322" s="7">
        <v>40063</v>
      </c>
      <c r="B322" s="1">
        <v>887.33</v>
      </c>
      <c r="C322" s="1" t="s">
        <v>7</v>
      </c>
      <c r="D322" s="13">
        <f>VALUE(MID(C322,9,3))</f>
        <v>311</v>
      </c>
      <c r="E322" s="14">
        <f>MONTH(A322)</f>
        <v>9</v>
      </c>
      <c r="G322" s="1" t="s">
        <v>213</v>
      </c>
      <c r="H322" s="1">
        <v>412.49</v>
      </c>
      <c r="I322" s="1" t="s">
        <v>70</v>
      </c>
      <c r="J322" s="13">
        <f>VALUE(MID(I322,1,3))</f>
        <v>160</v>
      </c>
      <c r="K322" s="13">
        <f>VALUE(MID(G322,5,2))</f>
        <v>11</v>
      </c>
    </row>
    <row r="323" spans="1:11">
      <c r="A323" s="7">
        <v>40063</v>
      </c>
      <c r="B323" s="1">
        <v>813</v>
      </c>
      <c r="C323" s="1" t="s">
        <v>12</v>
      </c>
      <c r="D323" s="13">
        <f>VALUE(MID(C323,9,3))</f>
        <v>311</v>
      </c>
      <c r="E323" s="14">
        <f>MONTH(A323)</f>
        <v>9</v>
      </c>
      <c r="G323" s="1" t="s">
        <v>213</v>
      </c>
      <c r="H323" s="1">
        <v>337.14</v>
      </c>
      <c r="I323" s="1" t="s">
        <v>71</v>
      </c>
      <c r="J323" s="13">
        <f>VALUE(MID(I323,1,3))</f>
        <v>160</v>
      </c>
      <c r="K323" s="13">
        <f>VALUE(MID(G323,5,2))</f>
        <v>11</v>
      </c>
    </row>
    <row r="324" spans="1:11">
      <c r="A324" s="7">
        <v>40063</v>
      </c>
      <c r="B324" s="1">
        <v>455.86</v>
      </c>
      <c r="C324" s="1" t="s">
        <v>13</v>
      </c>
      <c r="D324" s="13">
        <f>VALUE(MID(C324,9,3))</f>
        <v>311</v>
      </c>
      <c r="E324" s="14">
        <f>MONTH(A324)</f>
        <v>9</v>
      </c>
      <c r="G324" s="1" t="s">
        <v>213</v>
      </c>
      <c r="H324" s="1">
        <v>135.71</v>
      </c>
      <c r="I324" s="1" t="s">
        <v>71</v>
      </c>
      <c r="J324" s="13">
        <f>VALUE(MID(I324,1,3))</f>
        <v>160</v>
      </c>
      <c r="K324" s="13">
        <f>VALUE(MID(G324,5,2))</f>
        <v>11</v>
      </c>
    </row>
    <row r="325" spans="1:11">
      <c r="A325" s="7">
        <v>40063</v>
      </c>
      <c r="B325" s="1">
        <v>236.08</v>
      </c>
      <c r="C325" s="1" t="s">
        <v>13</v>
      </c>
      <c r="D325" s="13">
        <f>VALUE(MID(C325,9,3))</f>
        <v>311</v>
      </c>
      <c r="E325" s="14">
        <f>MONTH(A325)</f>
        <v>9</v>
      </c>
      <c r="G325" s="1" t="s">
        <v>213</v>
      </c>
      <c r="H325" s="1">
        <v>365.7</v>
      </c>
      <c r="I325" s="1" t="s">
        <v>71</v>
      </c>
      <c r="J325" s="13">
        <f>VALUE(MID(I325,1,3))</f>
        <v>160</v>
      </c>
      <c r="K325" s="13">
        <f>VALUE(MID(G325,5,2))</f>
        <v>11</v>
      </c>
    </row>
    <row r="326" spans="1:11">
      <c r="A326" s="7">
        <v>40063</v>
      </c>
      <c r="B326" s="1">
        <v>470.25</v>
      </c>
      <c r="C326" s="1" t="s">
        <v>3</v>
      </c>
      <c r="D326" s="13">
        <f>VALUE(MID(C326,9,3))</f>
        <v>311</v>
      </c>
      <c r="E326" s="14">
        <f>MONTH(A326)</f>
        <v>9</v>
      </c>
      <c r="G326" s="1" t="s">
        <v>213</v>
      </c>
      <c r="H326" s="1">
        <v>133.86000000000001</v>
      </c>
      <c r="I326" s="1" t="s">
        <v>71</v>
      </c>
      <c r="J326" s="13">
        <f>VALUE(MID(I326,1,3))</f>
        <v>160</v>
      </c>
      <c r="K326" s="13">
        <f>VALUE(MID(G326,5,2))</f>
        <v>11</v>
      </c>
    </row>
    <row r="327" spans="1:11">
      <c r="A327" s="7">
        <v>40063</v>
      </c>
      <c r="B327" s="1">
        <v>862.12</v>
      </c>
      <c r="C327" s="1" t="s">
        <v>3</v>
      </c>
      <c r="D327" s="13">
        <f>VALUE(MID(C327,9,3))</f>
        <v>311</v>
      </c>
      <c r="E327" s="14">
        <f>MONTH(A327)</f>
        <v>9</v>
      </c>
      <c r="G327" s="1" t="s">
        <v>220</v>
      </c>
      <c r="H327" s="1">
        <v>7073.02</v>
      </c>
      <c r="I327" s="1" t="s">
        <v>68</v>
      </c>
      <c r="J327" s="13">
        <f>VALUE(MID(I327,1,3))</f>
        <v>160</v>
      </c>
      <c r="K327" s="13">
        <f>VALUE(MID(G327,5,2))</f>
        <v>12</v>
      </c>
    </row>
    <row r="328" spans="1:11">
      <c r="A328" s="7">
        <v>40063</v>
      </c>
      <c r="B328" s="1">
        <v>815.1</v>
      </c>
      <c r="C328" s="1" t="s">
        <v>3</v>
      </c>
      <c r="D328" s="13">
        <f>VALUE(MID(C328,9,3))</f>
        <v>311</v>
      </c>
      <c r="E328" s="14">
        <f>MONTH(A328)</f>
        <v>9</v>
      </c>
      <c r="G328" s="1" t="s">
        <v>220</v>
      </c>
      <c r="H328" s="1">
        <v>4122.9799999999996</v>
      </c>
      <c r="I328" s="1" t="s">
        <v>68</v>
      </c>
      <c r="J328" s="13">
        <f>VALUE(MID(I328,1,3))</f>
        <v>160</v>
      </c>
      <c r="K328" s="13">
        <f>VALUE(MID(G328,5,2))</f>
        <v>12</v>
      </c>
    </row>
    <row r="329" spans="1:11">
      <c r="A329" s="7">
        <v>40063</v>
      </c>
      <c r="B329" s="1">
        <v>595.65</v>
      </c>
      <c r="C329" s="1" t="s">
        <v>3</v>
      </c>
      <c r="D329" s="13">
        <f>VALUE(MID(C329,9,3))</f>
        <v>311</v>
      </c>
      <c r="E329" s="14">
        <f>MONTH(A329)</f>
        <v>9</v>
      </c>
      <c r="G329" s="1" t="s">
        <v>220</v>
      </c>
      <c r="H329" s="1">
        <v>10642.7</v>
      </c>
      <c r="I329" s="1" t="s">
        <v>68</v>
      </c>
      <c r="J329" s="13">
        <f>VALUE(MID(I329,1,3))</f>
        <v>160</v>
      </c>
      <c r="K329" s="13">
        <f>VALUE(MID(G329,5,2))</f>
        <v>12</v>
      </c>
    </row>
    <row r="330" spans="1:11">
      <c r="A330" s="7">
        <v>40063</v>
      </c>
      <c r="B330" s="1">
        <v>846.45</v>
      </c>
      <c r="C330" s="1" t="s">
        <v>3</v>
      </c>
      <c r="D330" s="13">
        <f>VALUE(MID(C330,9,3))</f>
        <v>311</v>
      </c>
      <c r="E330" s="14">
        <f>MONTH(A330)</f>
        <v>9</v>
      </c>
      <c r="G330" s="1" t="s">
        <v>220</v>
      </c>
      <c r="H330" s="1">
        <v>3436.32</v>
      </c>
      <c r="I330" s="1" t="s">
        <v>68</v>
      </c>
      <c r="J330" s="13">
        <f>VALUE(MID(I330,1,3))</f>
        <v>160</v>
      </c>
      <c r="K330" s="13">
        <f>VALUE(MID(G330,5,2))</f>
        <v>12</v>
      </c>
    </row>
    <row r="331" spans="1:11">
      <c r="A331" s="7">
        <v>40063</v>
      </c>
      <c r="B331" s="1">
        <v>374.95</v>
      </c>
      <c r="C331" s="1" t="s">
        <v>6</v>
      </c>
      <c r="D331" s="13">
        <f>VALUE(MID(C331,9,3))</f>
        <v>311</v>
      </c>
      <c r="E331" s="14">
        <f>MONTH(A331)</f>
        <v>9</v>
      </c>
      <c r="G331" s="1" t="s">
        <v>220</v>
      </c>
      <c r="H331" s="1">
        <v>2674.14</v>
      </c>
      <c r="I331" s="1" t="s">
        <v>69</v>
      </c>
      <c r="J331" s="13">
        <f>VALUE(MID(I331,1,3))</f>
        <v>160</v>
      </c>
      <c r="K331" s="13">
        <f>VALUE(MID(G331,5,2))</f>
        <v>12</v>
      </c>
    </row>
    <row r="332" spans="1:11">
      <c r="A332" s="7">
        <v>40063</v>
      </c>
      <c r="B332" s="1">
        <v>80</v>
      </c>
      <c r="C332" s="1" t="s">
        <v>18</v>
      </c>
      <c r="D332" s="13">
        <f>VALUE(MID(C332,9,3))</f>
        <v>311</v>
      </c>
      <c r="E332" s="14">
        <f>MONTH(A332)</f>
        <v>9</v>
      </c>
      <c r="G332" s="1" t="s">
        <v>220</v>
      </c>
      <c r="H332" s="1">
        <v>1486.33</v>
      </c>
      <c r="I332" s="1" t="s">
        <v>70</v>
      </c>
      <c r="J332" s="13">
        <f>VALUE(MID(I332,1,3))</f>
        <v>160</v>
      </c>
      <c r="K332" s="13">
        <f>VALUE(MID(G332,5,2))</f>
        <v>12</v>
      </c>
    </row>
    <row r="333" spans="1:11">
      <c r="A333" s="7">
        <v>40093</v>
      </c>
      <c r="B333" s="1">
        <v>321.24</v>
      </c>
      <c r="C333" s="1" t="s">
        <v>8</v>
      </c>
      <c r="D333" s="13">
        <f>VALUE(MID(C333,9,3))</f>
        <v>311</v>
      </c>
      <c r="E333" s="14">
        <f>MONTH(A333)</f>
        <v>10</v>
      </c>
      <c r="G333" s="1" t="s">
        <v>220</v>
      </c>
      <c r="H333" s="1">
        <v>2235.7199999999998</v>
      </c>
      <c r="I333" s="1" t="s">
        <v>70</v>
      </c>
      <c r="J333" s="13">
        <f>VALUE(MID(I333,1,3))</f>
        <v>160</v>
      </c>
      <c r="K333" s="13">
        <f>VALUE(MID(G333,5,2))</f>
        <v>12</v>
      </c>
    </row>
    <row r="334" spans="1:11">
      <c r="A334" s="7">
        <v>40093</v>
      </c>
      <c r="B334" s="1">
        <v>0.27</v>
      </c>
      <c r="C334" s="1" t="s">
        <v>9</v>
      </c>
      <c r="D334" s="13">
        <f>VALUE(MID(C334,9,3))</f>
        <v>311</v>
      </c>
      <c r="E334" s="14">
        <f>MONTH(A334)</f>
        <v>10</v>
      </c>
      <c r="G334" s="1" t="s">
        <v>220</v>
      </c>
      <c r="H334" s="1">
        <v>2548.27</v>
      </c>
      <c r="I334" s="1" t="s">
        <v>70</v>
      </c>
      <c r="J334" s="13">
        <f>VALUE(MID(I334,1,3))</f>
        <v>160</v>
      </c>
      <c r="K334" s="13">
        <f>VALUE(MID(G334,5,2))</f>
        <v>12</v>
      </c>
    </row>
    <row r="335" spans="1:11">
      <c r="A335" s="7">
        <v>40093</v>
      </c>
      <c r="B335" s="1">
        <v>292.73</v>
      </c>
      <c r="C335" s="1" t="s">
        <v>9</v>
      </c>
      <c r="D335" s="13">
        <f>VALUE(MID(C335,9,3))</f>
        <v>311</v>
      </c>
      <c r="E335" s="14">
        <f>MONTH(A335)</f>
        <v>10</v>
      </c>
      <c r="G335" s="1" t="s">
        <v>220</v>
      </c>
      <c r="H335" s="1">
        <v>726.26</v>
      </c>
      <c r="I335" s="1" t="s">
        <v>70</v>
      </c>
      <c r="J335" s="13">
        <f>VALUE(MID(I335,1,3))</f>
        <v>160</v>
      </c>
      <c r="K335" s="13">
        <f>VALUE(MID(G335,5,2))</f>
        <v>12</v>
      </c>
    </row>
    <row r="336" spans="1:11">
      <c r="A336" s="7">
        <v>40093</v>
      </c>
      <c r="B336" s="1">
        <v>575</v>
      </c>
      <c r="C336" s="1" t="s">
        <v>17</v>
      </c>
      <c r="D336" s="13">
        <f>VALUE(MID(C336,9,3))</f>
        <v>311</v>
      </c>
      <c r="E336" s="14">
        <f>MONTH(A336)</f>
        <v>10</v>
      </c>
      <c r="G336" s="1" t="s">
        <v>220</v>
      </c>
      <c r="H336" s="1">
        <v>672.14</v>
      </c>
      <c r="I336" s="1" t="s">
        <v>71</v>
      </c>
      <c r="J336" s="13">
        <f>VALUE(MID(I336,1,3))</f>
        <v>160</v>
      </c>
      <c r="K336" s="13">
        <f>VALUE(MID(G336,5,2))</f>
        <v>12</v>
      </c>
    </row>
    <row r="337" spans="1:11">
      <c r="A337" s="7">
        <v>40093</v>
      </c>
      <c r="B337" s="1">
        <v>575</v>
      </c>
      <c r="C337" s="1" t="s">
        <v>17</v>
      </c>
      <c r="D337" s="13">
        <f>VALUE(MID(C337,9,3))</f>
        <v>311</v>
      </c>
      <c r="E337" s="14">
        <f>MONTH(A337)</f>
        <v>10</v>
      </c>
      <c r="G337" s="1" t="s">
        <v>220</v>
      </c>
      <c r="H337" s="1">
        <v>284.32</v>
      </c>
      <c r="I337" s="1" t="s">
        <v>71</v>
      </c>
      <c r="J337" s="13">
        <f>VALUE(MID(I337,1,3))</f>
        <v>160</v>
      </c>
      <c r="K337" s="13">
        <f>VALUE(MID(G337,5,2))</f>
        <v>12</v>
      </c>
    </row>
    <row r="338" spans="1:11">
      <c r="A338" s="7">
        <v>40093</v>
      </c>
      <c r="B338" s="1">
        <v>80</v>
      </c>
      <c r="C338" s="1" t="s">
        <v>18</v>
      </c>
      <c r="D338" s="13">
        <f>VALUE(MID(C338,9,3))</f>
        <v>311</v>
      </c>
      <c r="E338" s="14">
        <f>MONTH(A338)</f>
        <v>10</v>
      </c>
      <c r="G338" s="1" t="s">
        <v>220</v>
      </c>
      <c r="H338" s="1">
        <v>733.92</v>
      </c>
      <c r="I338" s="1" t="s">
        <v>71</v>
      </c>
      <c r="J338" s="13">
        <f>VALUE(MID(I338,1,3))</f>
        <v>160</v>
      </c>
      <c r="K338" s="13">
        <f>VALUE(MID(G338,5,2))</f>
        <v>12</v>
      </c>
    </row>
    <row r="339" spans="1:11">
      <c r="A339" s="7">
        <v>40093</v>
      </c>
      <c r="B339" s="1">
        <v>188.1</v>
      </c>
      <c r="C339" s="1" t="s">
        <v>20</v>
      </c>
      <c r="D339" s="13">
        <f>VALUE(MID(C339,9,3))</f>
        <v>311</v>
      </c>
      <c r="E339" s="14">
        <f>MONTH(A339)</f>
        <v>10</v>
      </c>
      <c r="G339" s="1" t="s">
        <v>220</v>
      </c>
      <c r="H339" s="1">
        <v>236.97</v>
      </c>
      <c r="I339" s="1" t="s">
        <v>71</v>
      </c>
      <c r="J339" s="13">
        <f>VALUE(MID(I339,1,3))</f>
        <v>160</v>
      </c>
      <c r="K339" s="13">
        <f>VALUE(MID(G339,5,2))</f>
        <v>12</v>
      </c>
    </row>
    <row r="340" spans="1:11">
      <c r="A340" s="7">
        <v>40093</v>
      </c>
      <c r="B340" s="1">
        <v>300</v>
      </c>
      <c r="C340" s="1" t="s">
        <v>20</v>
      </c>
      <c r="D340" s="13">
        <f>VALUE(MID(C340,9,3))</f>
        <v>311</v>
      </c>
      <c r="E340" s="14">
        <f>MONTH(A340)</f>
        <v>10</v>
      </c>
      <c r="G340" s="1" t="s">
        <v>73</v>
      </c>
      <c r="H340" s="1">
        <v>475</v>
      </c>
      <c r="I340" s="1" t="s">
        <v>72</v>
      </c>
      <c r="J340" s="13">
        <f>VALUE(MID(I340,1,3))</f>
        <v>163</v>
      </c>
      <c r="K340" s="13">
        <f>VALUE(MID(G340,5,2))</f>
        <v>1</v>
      </c>
    </row>
    <row r="341" spans="1:11">
      <c r="A341" s="7">
        <v>40093</v>
      </c>
      <c r="B341" s="1">
        <v>300</v>
      </c>
      <c r="C341" s="1" t="s">
        <v>20</v>
      </c>
      <c r="D341" s="13">
        <f>VALUE(MID(C341,9,3))</f>
        <v>311</v>
      </c>
      <c r="E341" s="14">
        <f>MONTH(A341)</f>
        <v>10</v>
      </c>
      <c r="G341" s="1" t="s">
        <v>73</v>
      </c>
      <c r="H341" s="1">
        <v>205</v>
      </c>
      <c r="I341" s="1" t="s">
        <v>72</v>
      </c>
      <c r="J341" s="13">
        <f>VALUE(MID(I341,1,3))</f>
        <v>163</v>
      </c>
      <c r="K341" s="13">
        <f>VALUE(MID(G341,5,2))</f>
        <v>1</v>
      </c>
    </row>
    <row r="342" spans="1:11">
      <c r="A342" s="7">
        <v>40002</v>
      </c>
      <c r="B342" s="1">
        <v>822</v>
      </c>
      <c r="C342" s="1" t="s">
        <v>7</v>
      </c>
      <c r="D342" s="13">
        <f>VALUE(MID(C342,9,3))</f>
        <v>311</v>
      </c>
      <c r="E342" s="14">
        <f>MONTH(A342)</f>
        <v>7</v>
      </c>
      <c r="G342" s="1" t="s">
        <v>97</v>
      </c>
      <c r="H342" s="1">
        <v>664</v>
      </c>
      <c r="I342" s="1" t="s">
        <v>72</v>
      </c>
      <c r="J342" s="13">
        <f>VALUE(MID(I342,1,3))</f>
        <v>163</v>
      </c>
      <c r="K342" s="13">
        <f>VALUE(MID(G342,5,2))</f>
        <v>2</v>
      </c>
    </row>
    <row r="343" spans="1:11">
      <c r="A343" s="7">
        <v>40002</v>
      </c>
      <c r="B343" s="1">
        <v>406.5</v>
      </c>
      <c r="C343" s="1" t="s">
        <v>12</v>
      </c>
      <c r="D343" s="13">
        <f>VALUE(MID(C343,9,3))</f>
        <v>311</v>
      </c>
      <c r="E343" s="14">
        <f>MONTH(A343)</f>
        <v>7</v>
      </c>
      <c r="G343" s="1" t="s">
        <v>97</v>
      </c>
      <c r="H343" s="1">
        <v>687.03</v>
      </c>
      <c r="I343" s="1" t="s">
        <v>72</v>
      </c>
      <c r="J343" s="13">
        <f>VALUE(MID(I343,1,3))</f>
        <v>163</v>
      </c>
      <c r="K343" s="13">
        <f>VALUE(MID(G343,5,2))</f>
        <v>2</v>
      </c>
    </row>
    <row r="344" spans="1:11">
      <c r="A344" s="7">
        <v>40002</v>
      </c>
      <c r="B344" s="1">
        <v>470.25</v>
      </c>
      <c r="C344" s="1" t="s">
        <v>13</v>
      </c>
      <c r="D344" s="13">
        <f>VALUE(MID(C344,9,3))</f>
        <v>311</v>
      </c>
      <c r="E344" s="14">
        <f>MONTH(A344)</f>
        <v>7</v>
      </c>
      <c r="G344" s="1" t="s">
        <v>97</v>
      </c>
      <c r="H344" s="1">
        <v>669.04</v>
      </c>
      <c r="I344" s="1" t="s">
        <v>72</v>
      </c>
      <c r="J344" s="13">
        <f>VALUE(MID(I344,1,3))</f>
        <v>163</v>
      </c>
      <c r="K344" s="13">
        <f>VALUE(MID(G344,5,2))</f>
        <v>2</v>
      </c>
    </row>
    <row r="345" spans="1:11">
      <c r="A345" s="7">
        <v>40002</v>
      </c>
      <c r="B345" s="1">
        <v>-94.05</v>
      </c>
      <c r="C345" s="1" t="s">
        <v>3</v>
      </c>
      <c r="D345" s="13">
        <f>VALUE(MID(C345,9,3))</f>
        <v>311</v>
      </c>
      <c r="E345" s="14">
        <f>MONTH(A345)</f>
        <v>7</v>
      </c>
      <c r="G345" s="1" t="s">
        <v>97</v>
      </c>
      <c r="H345" s="1">
        <v>207.23</v>
      </c>
      <c r="I345" s="1" t="s">
        <v>72</v>
      </c>
      <c r="J345" s="13">
        <f>VALUE(MID(I345,1,3))</f>
        <v>163</v>
      </c>
      <c r="K345" s="13">
        <f>VALUE(MID(G345,5,2))</f>
        <v>2</v>
      </c>
    </row>
    <row r="346" spans="1:11">
      <c r="A346" s="7">
        <v>40002</v>
      </c>
      <c r="B346" s="1">
        <v>-94.05</v>
      </c>
      <c r="C346" s="1" t="s">
        <v>3</v>
      </c>
      <c r="D346" s="13">
        <f>VALUE(MID(C346,9,3))</f>
        <v>311</v>
      </c>
      <c r="E346" s="14">
        <f>MONTH(A346)</f>
        <v>7</v>
      </c>
      <c r="G346" s="1" t="s">
        <v>120</v>
      </c>
      <c r="H346" s="1">
        <v>306</v>
      </c>
      <c r="I346" s="1" t="s">
        <v>72</v>
      </c>
      <c r="J346" s="13">
        <f>VALUE(MID(I346,1,3))</f>
        <v>163</v>
      </c>
      <c r="K346" s="13">
        <f>VALUE(MID(G346,5,2))</f>
        <v>3</v>
      </c>
    </row>
    <row r="347" spans="1:11">
      <c r="A347" s="7">
        <v>40002</v>
      </c>
      <c r="B347" s="1">
        <v>1159.95</v>
      </c>
      <c r="C347" s="1" t="s">
        <v>3</v>
      </c>
      <c r="D347" s="13">
        <f>VALUE(MID(C347,9,3))</f>
        <v>311</v>
      </c>
      <c r="E347" s="14">
        <f>MONTH(A347)</f>
        <v>7</v>
      </c>
      <c r="G347" s="1" t="s">
        <v>120</v>
      </c>
      <c r="H347" s="1">
        <v>522.62</v>
      </c>
      <c r="I347" s="1" t="s">
        <v>72</v>
      </c>
      <c r="J347" s="13">
        <f>VALUE(MID(I347,1,3))</f>
        <v>163</v>
      </c>
      <c r="K347" s="13">
        <f>VALUE(MID(G347,5,2))</f>
        <v>3</v>
      </c>
    </row>
    <row r="348" spans="1:11">
      <c r="A348" s="7">
        <v>40002</v>
      </c>
      <c r="B348" s="1">
        <v>374.95</v>
      </c>
      <c r="C348" s="1" t="s">
        <v>6</v>
      </c>
      <c r="D348" s="13">
        <f>VALUE(MID(C348,9,3))</f>
        <v>311</v>
      </c>
      <c r="E348" s="14">
        <f>MONTH(A348)</f>
        <v>7</v>
      </c>
      <c r="G348" s="1" t="s">
        <v>120</v>
      </c>
      <c r="H348" s="1">
        <v>200</v>
      </c>
      <c r="I348" s="1" t="s">
        <v>72</v>
      </c>
      <c r="J348" s="13">
        <f>VALUE(MID(I348,1,3))</f>
        <v>163</v>
      </c>
      <c r="K348" s="13">
        <f>VALUE(MID(G348,5,2))</f>
        <v>3</v>
      </c>
    </row>
    <row r="349" spans="1:11">
      <c r="A349" s="7">
        <v>40002</v>
      </c>
      <c r="B349" s="1">
        <v>300</v>
      </c>
      <c r="C349" s="1" t="s">
        <v>20</v>
      </c>
      <c r="D349" s="13">
        <f>VALUE(MID(C349,9,3))</f>
        <v>311</v>
      </c>
      <c r="E349" s="14">
        <f>MONTH(A349)</f>
        <v>7</v>
      </c>
      <c r="G349" s="1" t="s">
        <v>120</v>
      </c>
      <c r="H349" s="1">
        <v>248.68</v>
      </c>
      <c r="I349" s="1" t="s">
        <v>72</v>
      </c>
      <c r="J349" s="13">
        <f>VALUE(MID(I349,1,3))</f>
        <v>163</v>
      </c>
      <c r="K349" s="13">
        <f>VALUE(MID(G349,5,2))</f>
        <v>3</v>
      </c>
    </row>
    <row r="350" spans="1:11">
      <c r="A350" s="7">
        <v>40094</v>
      </c>
      <c r="B350" s="1">
        <v>489.96</v>
      </c>
      <c r="C350" s="1" t="s">
        <v>9</v>
      </c>
      <c r="D350" s="13">
        <f>VALUE(MID(C350,9,3))</f>
        <v>311</v>
      </c>
      <c r="E350" s="14">
        <f>MONTH(A350)</f>
        <v>10</v>
      </c>
      <c r="G350" s="1" t="s">
        <v>120</v>
      </c>
      <c r="H350" s="1">
        <v>153.85</v>
      </c>
      <c r="I350" s="1" t="s">
        <v>72</v>
      </c>
      <c r="J350" s="13">
        <f>VALUE(MID(I350,1,3))</f>
        <v>163</v>
      </c>
      <c r="K350" s="13">
        <f>VALUE(MID(G350,5,2))</f>
        <v>3</v>
      </c>
    </row>
    <row r="351" spans="1:11">
      <c r="A351" s="7">
        <v>40094</v>
      </c>
      <c r="B351" s="1">
        <v>489.95</v>
      </c>
      <c r="C351" s="1" t="s">
        <v>9</v>
      </c>
      <c r="D351" s="13">
        <f>VALUE(MID(C351,9,3))</f>
        <v>311</v>
      </c>
      <c r="E351" s="14">
        <f>MONTH(A351)</f>
        <v>10</v>
      </c>
      <c r="G351" s="1" t="s">
        <v>120</v>
      </c>
      <c r="H351" s="1">
        <v>269.45999999999998</v>
      </c>
      <c r="I351" s="1" t="s">
        <v>72</v>
      </c>
      <c r="J351" s="13">
        <f>VALUE(MID(I351,1,3))</f>
        <v>163</v>
      </c>
      <c r="K351" s="13">
        <f>VALUE(MID(G351,5,2))</f>
        <v>3</v>
      </c>
    </row>
    <row r="352" spans="1:11">
      <c r="A352" s="7">
        <v>40094</v>
      </c>
      <c r="B352" s="1">
        <v>27.1</v>
      </c>
      <c r="C352" s="1" t="s">
        <v>12</v>
      </c>
      <c r="D352" s="13">
        <f>VALUE(MID(C352,9,3))</f>
        <v>311</v>
      </c>
      <c r="E352" s="14">
        <f>MONTH(A352)</f>
        <v>10</v>
      </c>
      <c r="G352" s="1" t="s">
        <v>120</v>
      </c>
      <c r="H352" s="1">
        <v>272.8</v>
      </c>
      <c r="I352" s="1" t="s">
        <v>72</v>
      </c>
      <c r="J352" s="13">
        <f>VALUE(MID(I352,1,3))</f>
        <v>163</v>
      </c>
      <c r="K352" s="13">
        <f>VALUE(MID(G352,5,2))</f>
        <v>3</v>
      </c>
    </row>
    <row r="353" spans="1:11">
      <c r="A353" s="7">
        <v>40094</v>
      </c>
      <c r="B353" s="1">
        <v>855.45</v>
      </c>
      <c r="C353" s="1" t="s">
        <v>13</v>
      </c>
      <c r="D353" s="13">
        <f>VALUE(MID(C353,9,3))</f>
        <v>311</v>
      </c>
      <c r="E353" s="14">
        <f>MONTH(A353)</f>
        <v>10</v>
      </c>
      <c r="G353" s="1" t="s">
        <v>139</v>
      </c>
      <c r="H353" s="1">
        <v>429.5</v>
      </c>
      <c r="I353" s="1" t="s">
        <v>72</v>
      </c>
      <c r="J353" s="13">
        <f>VALUE(MID(I353,1,3))</f>
        <v>163</v>
      </c>
      <c r="K353" s="13">
        <f>VALUE(MID(G353,5,2))</f>
        <v>4</v>
      </c>
    </row>
    <row r="354" spans="1:11">
      <c r="A354" s="7">
        <v>40094</v>
      </c>
      <c r="B354" s="1">
        <v>287.5</v>
      </c>
      <c r="C354" s="1" t="s">
        <v>17</v>
      </c>
      <c r="D354" s="13">
        <f>VALUE(MID(C354,9,3))</f>
        <v>311</v>
      </c>
      <c r="E354" s="14">
        <f>MONTH(A354)</f>
        <v>10</v>
      </c>
      <c r="G354" s="1" t="s">
        <v>139</v>
      </c>
      <c r="H354" s="1">
        <v>397.12</v>
      </c>
      <c r="I354" s="1" t="s">
        <v>72</v>
      </c>
      <c r="J354" s="13">
        <f>VALUE(MID(I354,1,3))</f>
        <v>163</v>
      </c>
      <c r="K354" s="13">
        <f>VALUE(MID(G354,5,2))</f>
        <v>4</v>
      </c>
    </row>
    <row r="355" spans="1:11">
      <c r="A355" s="7">
        <v>40094</v>
      </c>
      <c r="B355" s="1">
        <v>575</v>
      </c>
      <c r="C355" s="1" t="s">
        <v>17</v>
      </c>
      <c r="D355" s="13">
        <f>VALUE(MID(C355,9,3))</f>
        <v>311</v>
      </c>
      <c r="E355" s="14">
        <f>MONTH(A355)</f>
        <v>10</v>
      </c>
      <c r="G355" s="1" t="s">
        <v>139</v>
      </c>
      <c r="H355" s="1">
        <v>68.88</v>
      </c>
      <c r="I355" s="1" t="s">
        <v>72</v>
      </c>
      <c r="J355" s="13">
        <f>VALUE(MID(I355,1,3))</f>
        <v>163</v>
      </c>
      <c r="K355" s="13">
        <f>VALUE(MID(G355,5,2))</f>
        <v>4</v>
      </c>
    </row>
    <row r="356" spans="1:11">
      <c r="A356" s="7">
        <v>39822</v>
      </c>
      <c r="B356" s="1">
        <v>516.47</v>
      </c>
      <c r="C356" s="1" t="s">
        <v>28</v>
      </c>
      <c r="D356" s="13">
        <f>VALUE(MID(C356,9,3))</f>
        <v>311</v>
      </c>
      <c r="E356" s="14">
        <f>MONTH(A356)</f>
        <v>1</v>
      </c>
      <c r="G356" s="1" t="s">
        <v>139</v>
      </c>
      <c r="H356" s="1">
        <v>150</v>
      </c>
      <c r="I356" s="1" t="s">
        <v>72</v>
      </c>
      <c r="J356" s="13">
        <f>VALUE(MID(I356,1,3))</f>
        <v>163</v>
      </c>
      <c r="K356" s="13">
        <f>VALUE(MID(G356,5,2))</f>
        <v>4</v>
      </c>
    </row>
    <row r="357" spans="1:11">
      <c r="A357" s="7">
        <v>39822</v>
      </c>
      <c r="B357" s="1">
        <v>150</v>
      </c>
      <c r="C357" s="1" t="s">
        <v>41</v>
      </c>
      <c r="D357" s="13">
        <f>VALUE(MID(C357,9,3))</f>
        <v>311</v>
      </c>
      <c r="E357" s="14">
        <f>MONTH(A357)</f>
        <v>1</v>
      </c>
      <c r="G357" s="1" t="s">
        <v>152</v>
      </c>
      <c r="H357" s="1">
        <v>500</v>
      </c>
      <c r="I357" s="1" t="s">
        <v>72</v>
      </c>
      <c r="J357" s="13">
        <f>VALUE(MID(I357,1,3))</f>
        <v>163</v>
      </c>
      <c r="K357" s="13">
        <f>VALUE(MID(G357,5,2))</f>
        <v>5</v>
      </c>
    </row>
    <row r="358" spans="1:11">
      <c r="A358" s="7">
        <v>39822</v>
      </c>
      <c r="B358" s="1">
        <v>150</v>
      </c>
      <c r="C358" s="1" t="s">
        <v>41</v>
      </c>
      <c r="D358" s="13">
        <f>VALUE(MID(C358,9,3))</f>
        <v>311</v>
      </c>
      <c r="E358" s="14">
        <f>MONTH(A358)</f>
        <v>1</v>
      </c>
      <c r="G358" s="1" t="s">
        <v>152</v>
      </c>
      <c r="H358" s="1">
        <v>1770</v>
      </c>
      <c r="I358" s="1" t="s">
        <v>72</v>
      </c>
      <c r="J358" s="13">
        <f>VALUE(MID(I358,1,3))</f>
        <v>163</v>
      </c>
      <c r="K358" s="13">
        <f>VALUE(MID(G358,5,2))</f>
        <v>5</v>
      </c>
    </row>
    <row r="359" spans="1:11">
      <c r="A359" s="7">
        <v>39822</v>
      </c>
      <c r="B359" s="1">
        <v>150</v>
      </c>
      <c r="C359" s="1" t="s">
        <v>41</v>
      </c>
      <c r="D359" s="13">
        <f>VALUE(MID(C359,9,3))</f>
        <v>311</v>
      </c>
      <c r="E359" s="14">
        <f>MONTH(A359)</f>
        <v>1</v>
      </c>
      <c r="G359" s="1" t="s">
        <v>167</v>
      </c>
      <c r="H359" s="1">
        <v>151.86000000000001</v>
      </c>
      <c r="I359" s="1" t="s">
        <v>72</v>
      </c>
      <c r="J359" s="13">
        <f>VALUE(MID(I359,1,3))</f>
        <v>163</v>
      </c>
      <c r="K359" s="13">
        <f>VALUE(MID(G359,5,2))</f>
        <v>6</v>
      </c>
    </row>
    <row r="360" spans="1:11">
      <c r="A360" s="7">
        <v>39853</v>
      </c>
      <c r="B360" s="1">
        <v>501.6</v>
      </c>
      <c r="C360" s="1" t="s">
        <v>7</v>
      </c>
      <c r="D360" s="13">
        <f>VALUE(MID(C360,9,3))</f>
        <v>311</v>
      </c>
      <c r="E360" s="14">
        <f>MONTH(A360)</f>
        <v>2</v>
      </c>
      <c r="G360" s="1" t="s">
        <v>167</v>
      </c>
      <c r="H360" s="1">
        <v>913.79</v>
      </c>
      <c r="I360" s="1" t="s">
        <v>72</v>
      </c>
      <c r="J360" s="13">
        <f>VALUE(MID(I360,1,3))</f>
        <v>163</v>
      </c>
      <c r="K360" s="13">
        <f>VALUE(MID(G360,5,2))</f>
        <v>6</v>
      </c>
    </row>
    <row r="361" spans="1:11">
      <c r="A361" s="7">
        <v>39853</v>
      </c>
      <c r="B361" s="1">
        <v>433.6</v>
      </c>
      <c r="C361" s="1" t="s">
        <v>12</v>
      </c>
      <c r="D361" s="13">
        <f>VALUE(MID(C361,9,3))</f>
        <v>311</v>
      </c>
      <c r="E361" s="14">
        <f>MONTH(A361)</f>
        <v>2</v>
      </c>
      <c r="G361" s="1" t="s">
        <v>167</v>
      </c>
      <c r="H361" s="1">
        <v>30</v>
      </c>
      <c r="I361" s="1" t="s">
        <v>72</v>
      </c>
      <c r="J361" s="13">
        <f>VALUE(MID(I361,1,3))</f>
        <v>163</v>
      </c>
      <c r="K361" s="13">
        <f>VALUE(MID(G361,5,2))</f>
        <v>6</v>
      </c>
    </row>
    <row r="362" spans="1:11">
      <c r="A362" s="7">
        <v>39853</v>
      </c>
      <c r="B362" s="1">
        <v>67.75</v>
      </c>
      <c r="C362" s="1" t="s">
        <v>12</v>
      </c>
      <c r="D362" s="13">
        <f>VALUE(MID(C362,9,3))</f>
        <v>311</v>
      </c>
      <c r="E362" s="14">
        <f>MONTH(A362)</f>
        <v>2</v>
      </c>
      <c r="G362" s="1" t="s">
        <v>170</v>
      </c>
      <c r="H362" s="1">
        <v>17.18</v>
      </c>
      <c r="I362" s="1" t="s">
        <v>72</v>
      </c>
      <c r="J362" s="13">
        <f>VALUE(MID(I362,1,3))</f>
        <v>163</v>
      </c>
      <c r="K362" s="13">
        <f>VALUE(MID(G362,5,2))</f>
        <v>6</v>
      </c>
    </row>
    <row r="363" spans="1:11">
      <c r="A363" s="7">
        <v>39853</v>
      </c>
      <c r="B363" s="1">
        <v>440.38</v>
      </c>
      <c r="C363" s="1" t="s">
        <v>12</v>
      </c>
      <c r="D363" s="13">
        <f>VALUE(MID(C363,9,3))</f>
        <v>311</v>
      </c>
      <c r="E363" s="14">
        <f>MONTH(A363)</f>
        <v>2</v>
      </c>
      <c r="G363" s="1" t="s">
        <v>170</v>
      </c>
      <c r="H363" s="1">
        <v>12.24</v>
      </c>
      <c r="I363" s="1" t="s">
        <v>72</v>
      </c>
      <c r="J363" s="13">
        <f>VALUE(MID(I363,1,3))</f>
        <v>163</v>
      </c>
      <c r="K363" s="13">
        <f>VALUE(MID(G363,5,2))</f>
        <v>6</v>
      </c>
    </row>
    <row r="364" spans="1:11">
      <c r="A364" s="7">
        <v>39853</v>
      </c>
      <c r="B364" s="1">
        <v>376.2</v>
      </c>
      <c r="C364" s="1" t="s">
        <v>13</v>
      </c>
      <c r="D364" s="13">
        <f>VALUE(MID(C364,9,3))</f>
        <v>311</v>
      </c>
      <c r="E364" s="14">
        <f>MONTH(A364)</f>
        <v>2</v>
      </c>
      <c r="G364" s="1" t="s">
        <v>175</v>
      </c>
      <c r="H364" s="1">
        <v>271.86</v>
      </c>
      <c r="I364" s="1" t="s">
        <v>72</v>
      </c>
      <c r="J364" s="13">
        <f>VALUE(MID(I364,1,3))</f>
        <v>163</v>
      </c>
      <c r="K364" s="13">
        <f>VALUE(MID(G364,5,2))</f>
        <v>7</v>
      </c>
    </row>
    <row r="365" spans="1:11">
      <c r="A365" s="7">
        <v>39853</v>
      </c>
      <c r="B365" s="1">
        <v>376.2</v>
      </c>
      <c r="C365" s="1" t="s">
        <v>13</v>
      </c>
      <c r="D365" s="13">
        <f>VALUE(MID(C365,9,3))</f>
        <v>311</v>
      </c>
      <c r="E365" s="14">
        <f>MONTH(A365)</f>
        <v>2</v>
      </c>
      <c r="G365" s="1" t="s">
        <v>175</v>
      </c>
      <c r="H365" s="1">
        <v>205.47</v>
      </c>
      <c r="I365" s="1" t="s">
        <v>72</v>
      </c>
      <c r="J365" s="13">
        <f>VALUE(MID(I365,1,3))</f>
        <v>163</v>
      </c>
      <c r="K365" s="13">
        <f>VALUE(MID(G365,5,2))</f>
        <v>7</v>
      </c>
    </row>
    <row r="366" spans="1:11">
      <c r="A366" s="7">
        <v>39853</v>
      </c>
      <c r="B366" s="1">
        <v>408.2</v>
      </c>
      <c r="C366" s="1" t="s">
        <v>13</v>
      </c>
      <c r="D366" s="13">
        <f>VALUE(MID(C366,9,3))</f>
        <v>311</v>
      </c>
      <c r="E366" s="14">
        <f>MONTH(A366)</f>
        <v>2</v>
      </c>
      <c r="G366" s="1" t="s">
        <v>175</v>
      </c>
      <c r="H366" s="1">
        <v>348.5</v>
      </c>
      <c r="I366" s="1" t="s">
        <v>72</v>
      </c>
      <c r="J366" s="13">
        <f>VALUE(MID(I366,1,3))</f>
        <v>163</v>
      </c>
      <c r="K366" s="13">
        <f>VALUE(MID(G366,5,2))</f>
        <v>7</v>
      </c>
    </row>
    <row r="367" spans="1:11">
      <c r="A367" s="7">
        <v>39853</v>
      </c>
      <c r="B367" s="1">
        <v>786.33</v>
      </c>
      <c r="C367" s="1" t="s">
        <v>13</v>
      </c>
      <c r="D367" s="13">
        <f>VALUE(MID(C367,9,3))</f>
        <v>311</v>
      </c>
      <c r="E367" s="14">
        <f>MONTH(A367)</f>
        <v>2</v>
      </c>
      <c r="G367" s="1" t="s">
        <v>175</v>
      </c>
      <c r="H367" s="1">
        <v>296.08999999999997</v>
      </c>
      <c r="I367" s="1" t="s">
        <v>72</v>
      </c>
      <c r="J367" s="13">
        <f>VALUE(MID(I367,1,3))</f>
        <v>163</v>
      </c>
      <c r="K367" s="13">
        <f>VALUE(MID(G367,5,2))</f>
        <v>7</v>
      </c>
    </row>
    <row r="368" spans="1:11">
      <c r="A368" s="7">
        <v>39853</v>
      </c>
      <c r="B368" s="1">
        <v>94.05</v>
      </c>
      <c r="C368" s="1" t="s">
        <v>13</v>
      </c>
      <c r="D368" s="13">
        <f>VALUE(MID(C368,9,3))</f>
        <v>311</v>
      </c>
      <c r="E368" s="14">
        <f>MONTH(A368)</f>
        <v>2</v>
      </c>
      <c r="G368" s="1" t="s">
        <v>175</v>
      </c>
      <c r="H368" s="1">
        <v>86.71</v>
      </c>
      <c r="I368" s="1" t="s">
        <v>72</v>
      </c>
      <c r="J368" s="13">
        <f>VALUE(MID(I368,1,3))</f>
        <v>163</v>
      </c>
      <c r="K368" s="13">
        <f>VALUE(MID(G368,5,2))</f>
        <v>7</v>
      </c>
    </row>
    <row r="369" spans="1:11">
      <c r="A369" s="7">
        <v>39853</v>
      </c>
      <c r="B369" s="1">
        <v>282.14999999999998</v>
      </c>
      <c r="C369" s="1" t="s">
        <v>13</v>
      </c>
      <c r="D369" s="13">
        <f>VALUE(MID(C369,9,3))</f>
        <v>311</v>
      </c>
      <c r="E369" s="14">
        <f>MONTH(A369)</f>
        <v>2</v>
      </c>
      <c r="G369" s="1" t="s">
        <v>175</v>
      </c>
      <c r="H369" s="1">
        <v>446.16</v>
      </c>
      <c r="I369" s="1" t="s">
        <v>176</v>
      </c>
      <c r="J369" s="13">
        <f>VALUE(MID(I369,1,3))</f>
        <v>163</v>
      </c>
      <c r="K369" s="13">
        <f>VALUE(MID(G369,5,2))</f>
        <v>7</v>
      </c>
    </row>
    <row r="370" spans="1:11">
      <c r="A370" s="7">
        <v>39853</v>
      </c>
      <c r="B370" s="1">
        <v>785.04</v>
      </c>
      <c r="C370" s="1" t="s">
        <v>13</v>
      </c>
      <c r="D370" s="13">
        <f>VALUE(MID(C370,9,3))</f>
        <v>311</v>
      </c>
      <c r="E370" s="14">
        <f>MONTH(A370)</f>
        <v>2</v>
      </c>
      <c r="G370" s="1" t="s">
        <v>175</v>
      </c>
      <c r="H370" s="1">
        <v>216.03</v>
      </c>
      <c r="I370" s="1" t="s">
        <v>72</v>
      </c>
      <c r="J370" s="13">
        <f>VALUE(MID(I370,1,3))</f>
        <v>163</v>
      </c>
      <c r="K370" s="13">
        <f>VALUE(MID(G370,5,2))</f>
        <v>7</v>
      </c>
    </row>
    <row r="371" spans="1:11">
      <c r="A371" s="7">
        <v>39853</v>
      </c>
      <c r="B371" s="1">
        <v>200.5</v>
      </c>
      <c r="C371" s="1" t="s">
        <v>13</v>
      </c>
      <c r="D371" s="13">
        <f>VALUE(MID(C371,9,3))</f>
        <v>311</v>
      </c>
      <c r="E371" s="14">
        <f>MONTH(A371)</f>
        <v>2</v>
      </c>
      <c r="G371" s="1" t="s">
        <v>175</v>
      </c>
      <c r="H371" s="1">
        <v>340.7</v>
      </c>
      <c r="I371" s="1" t="s">
        <v>72</v>
      </c>
      <c r="J371" s="13">
        <f>VALUE(MID(I371,1,3))</f>
        <v>163</v>
      </c>
      <c r="K371" s="13">
        <f>VALUE(MID(G371,5,2))</f>
        <v>7</v>
      </c>
    </row>
    <row r="372" spans="1:11">
      <c r="A372" s="7">
        <v>39853</v>
      </c>
      <c r="B372" s="1">
        <v>454.57</v>
      </c>
      <c r="C372" s="1" t="s">
        <v>3</v>
      </c>
      <c r="D372" s="13">
        <f>VALUE(MID(C372,9,3))</f>
        <v>311</v>
      </c>
      <c r="E372" s="14">
        <f>MONTH(A372)</f>
        <v>2</v>
      </c>
      <c r="G372" s="1" t="s">
        <v>192</v>
      </c>
      <c r="H372" s="1">
        <v>994.35</v>
      </c>
      <c r="I372" s="1" t="s">
        <v>72</v>
      </c>
      <c r="J372" s="13">
        <f>VALUE(MID(I372,1,3))</f>
        <v>163</v>
      </c>
      <c r="K372" s="13">
        <f>VALUE(MID(G372,5,2))</f>
        <v>9</v>
      </c>
    </row>
    <row r="373" spans="1:11">
      <c r="A373" s="7">
        <v>39853</v>
      </c>
      <c r="B373" s="1">
        <v>1072.96</v>
      </c>
      <c r="C373" s="1" t="s">
        <v>28</v>
      </c>
      <c r="D373" s="13">
        <f>VALUE(MID(C373,9,3))</f>
        <v>311</v>
      </c>
      <c r="E373" s="14">
        <f>MONTH(A373)</f>
        <v>2</v>
      </c>
      <c r="G373" s="1" t="s">
        <v>192</v>
      </c>
      <c r="H373" s="1">
        <v>60</v>
      </c>
      <c r="I373" s="1" t="s">
        <v>72</v>
      </c>
      <c r="J373" s="13">
        <f>VALUE(MID(I373,1,3))</f>
        <v>163</v>
      </c>
      <c r="K373" s="13">
        <f>VALUE(MID(G373,5,2))</f>
        <v>9</v>
      </c>
    </row>
    <row r="374" spans="1:11">
      <c r="A374" s="7">
        <v>39853</v>
      </c>
      <c r="B374" s="1">
        <v>532.99</v>
      </c>
      <c r="C374" s="1" t="s">
        <v>29</v>
      </c>
      <c r="D374" s="13">
        <f>VALUE(MID(C374,9,3))</f>
        <v>311</v>
      </c>
      <c r="E374" s="14">
        <f>MONTH(A374)</f>
        <v>2</v>
      </c>
      <c r="G374" s="1" t="s">
        <v>203</v>
      </c>
      <c r="H374" s="1">
        <v>75</v>
      </c>
      <c r="I374" s="1" t="s">
        <v>72</v>
      </c>
      <c r="J374" s="13">
        <f>VALUE(MID(I374,1,3))</f>
        <v>163</v>
      </c>
      <c r="K374" s="13">
        <f>VALUE(MID(G374,5,2))</f>
        <v>10</v>
      </c>
    </row>
    <row r="375" spans="1:11">
      <c r="A375" s="7">
        <v>39853</v>
      </c>
      <c r="B375" s="1">
        <v>340.34</v>
      </c>
      <c r="C375" s="1" t="s">
        <v>29</v>
      </c>
      <c r="D375" s="13">
        <f>VALUE(MID(C375,9,3))</f>
        <v>311</v>
      </c>
      <c r="E375" s="14">
        <f>MONTH(A375)</f>
        <v>2</v>
      </c>
      <c r="G375" s="1" t="s">
        <v>210</v>
      </c>
      <c r="H375" s="1">
        <v>520</v>
      </c>
      <c r="I375" s="1" t="s">
        <v>72</v>
      </c>
      <c r="J375" s="13">
        <f>VALUE(MID(I375,1,3))</f>
        <v>163</v>
      </c>
      <c r="K375" s="13">
        <f>VALUE(MID(G375,5,2))</f>
        <v>11</v>
      </c>
    </row>
    <row r="376" spans="1:11">
      <c r="A376" s="7">
        <v>39853</v>
      </c>
      <c r="B376" s="1">
        <v>493.48</v>
      </c>
      <c r="C376" s="1" t="s">
        <v>29</v>
      </c>
      <c r="D376" s="13">
        <f>VALUE(MID(C376,9,3))</f>
        <v>311</v>
      </c>
      <c r="E376" s="14">
        <f>MONTH(A376)</f>
        <v>2</v>
      </c>
      <c r="G376" s="1" t="s">
        <v>219</v>
      </c>
      <c r="H376" s="1">
        <v>562</v>
      </c>
      <c r="I376" s="1" t="s">
        <v>72</v>
      </c>
      <c r="J376" s="13">
        <f>VALUE(MID(I376,1,3))</f>
        <v>163</v>
      </c>
      <c r="K376" s="13">
        <f>VALUE(MID(G376,5,2))</f>
        <v>12</v>
      </c>
    </row>
    <row r="377" spans="1:11">
      <c r="A377" s="7">
        <v>39853</v>
      </c>
      <c r="B377" s="1">
        <v>256.42</v>
      </c>
      <c r="C377" s="1" t="s">
        <v>29</v>
      </c>
      <c r="D377" s="13">
        <f>VALUE(MID(C377,9,3))</f>
        <v>311</v>
      </c>
      <c r="E377" s="14">
        <f>MONTH(A377)</f>
        <v>2</v>
      </c>
      <c r="G377" s="1" t="s">
        <v>223</v>
      </c>
      <c r="H377" s="1">
        <v>20.8</v>
      </c>
      <c r="I377" s="1" t="s">
        <v>72</v>
      </c>
      <c r="J377" s="13">
        <f>VALUE(MID(I377,1,3))</f>
        <v>163</v>
      </c>
      <c r="K377" s="13">
        <f>VALUE(MID(G377,5,2))</f>
        <v>12</v>
      </c>
    </row>
    <row r="378" spans="1:11">
      <c r="A378" s="7">
        <v>39853</v>
      </c>
      <c r="B378" s="1">
        <v>287.92</v>
      </c>
      <c r="C378" s="1" t="s">
        <v>29</v>
      </c>
      <c r="D378" s="13">
        <f>VALUE(MID(C378,9,3))</f>
        <v>311</v>
      </c>
      <c r="E378" s="14">
        <f>MONTH(A378)</f>
        <v>2</v>
      </c>
      <c r="G378" s="1" t="s">
        <v>226</v>
      </c>
      <c r="H378" s="1">
        <v>784</v>
      </c>
      <c r="I378" s="1" t="s">
        <v>176</v>
      </c>
      <c r="J378" s="13">
        <f>VALUE(MID(I378,1,3))</f>
        <v>163</v>
      </c>
      <c r="K378" s="13">
        <f>VALUE(MID(G378,5,2))</f>
        <v>1</v>
      </c>
    </row>
    <row r="379" spans="1:11">
      <c r="A379" s="7">
        <v>39853</v>
      </c>
      <c r="B379" s="1">
        <v>559.33000000000004</v>
      </c>
      <c r="C379" s="1" t="s">
        <v>29</v>
      </c>
      <c r="D379" s="13">
        <f>VALUE(MID(C379,9,3))</f>
        <v>311</v>
      </c>
      <c r="E379" s="14">
        <f>MONTH(A379)</f>
        <v>2</v>
      </c>
      <c r="G379" s="1" t="s">
        <v>226</v>
      </c>
      <c r="H379" s="1">
        <v>56</v>
      </c>
      <c r="I379" s="1" t="s">
        <v>72</v>
      </c>
      <c r="J379" s="13">
        <f>VALUE(MID(I379,1,3))</f>
        <v>163</v>
      </c>
      <c r="K379" s="13">
        <f>VALUE(MID(G379,5,2))</f>
        <v>1</v>
      </c>
    </row>
    <row r="380" spans="1:11">
      <c r="A380" s="7">
        <v>39853</v>
      </c>
      <c r="B380" s="1">
        <v>333.33</v>
      </c>
      <c r="C380" s="1" t="s">
        <v>29</v>
      </c>
      <c r="D380" s="13">
        <f>VALUE(MID(C380,9,3))</f>
        <v>311</v>
      </c>
      <c r="E380" s="14">
        <f>MONTH(A380)</f>
        <v>2</v>
      </c>
      <c r="G380" s="1" t="s">
        <v>226</v>
      </c>
      <c r="H380" s="1">
        <v>3142.41</v>
      </c>
      <c r="I380" s="1" t="s">
        <v>176</v>
      </c>
      <c r="J380" s="13">
        <f>VALUE(MID(I380,1,3))</f>
        <v>163</v>
      </c>
      <c r="K380" s="13">
        <f>VALUE(MID(G380,5,2))</f>
        <v>1</v>
      </c>
    </row>
    <row r="381" spans="1:11">
      <c r="A381" s="7">
        <v>39853</v>
      </c>
      <c r="B381" s="1">
        <v>295.93</v>
      </c>
      <c r="C381" s="1" t="s">
        <v>29</v>
      </c>
      <c r="D381" s="13">
        <f>VALUE(MID(C381,9,3))</f>
        <v>311</v>
      </c>
      <c r="E381" s="14">
        <f>MONTH(A381)</f>
        <v>2</v>
      </c>
      <c r="G381" s="1" t="s">
        <v>228</v>
      </c>
      <c r="H381" s="1">
        <v>2600</v>
      </c>
      <c r="I381" s="1" t="s">
        <v>72</v>
      </c>
      <c r="J381" s="13">
        <f>VALUE(MID(I381,1,3))</f>
        <v>163</v>
      </c>
      <c r="K381" s="13">
        <f>VALUE(MID(G381,5,2))</f>
        <v>1</v>
      </c>
    </row>
    <row r="382" spans="1:11">
      <c r="A382" s="7">
        <v>39853</v>
      </c>
      <c r="B382" s="1">
        <v>335.44</v>
      </c>
      <c r="C382" s="1" t="s">
        <v>29</v>
      </c>
      <c r="D382" s="13">
        <f>VALUE(MID(C382,9,3))</f>
        <v>311</v>
      </c>
      <c r="E382" s="14">
        <f>MONTH(A382)</f>
        <v>2</v>
      </c>
      <c r="G382" s="1" t="s">
        <v>91</v>
      </c>
      <c r="H382" s="1">
        <v>442.1</v>
      </c>
      <c r="I382" s="1" t="s">
        <v>90</v>
      </c>
      <c r="J382" s="13">
        <f>VALUE(MID(I382,1,3))</f>
        <v>202</v>
      </c>
      <c r="K382" s="13">
        <f>VALUE(MID(G382,5,2))</f>
        <v>2</v>
      </c>
    </row>
    <row r="383" spans="1:11">
      <c r="A383" s="7">
        <v>39853</v>
      </c>
      <c r="B383" s="1">
        <v>335.44</v>
      </c>
      <c r="C383" s="1" t="s">
        <v>29</v>
      </c>
      <c r="D383" s="13">
        <f>VALUE(MID(C383,9,3))</f>
        <v>311</v>
      </c>
      <c r="E383" s="14">
        <f>MONTH(A383)</f>
        <v>2</v>
      </c>
      <c r="G383" s="1" t="s">
        <v>96</v>
      </c>
      <c r="H383" s="1">
        <v>312.13</v>
      </c>
      <c r="I383" s="1" t="s">
        <v>90</v>
      </c>
      <c r="J383" s="13">
        <f>VALUE(MID(I383,1,3))</f>
        <v>202</v>
      </c>
      <c r="K383" s="13">
        <f>VALUE(MID(G383,5,2))</f>
        <v>2</v>
      </c>
    </row>
    <row r="384" spans="1:11">
      <c r="A384" s="7">
        <v>39853</v>
      </c>
      <c r="B384" s="1">
        <v>109.04</v>
      </c>
      <c r="C384" s="1" t="s">
        <v>29</v>
      </c>
      <c r="D384" s="13">
        <f>VALUE(MID(C384,9,3))</f>
        <v>311</v>
      </c>
      <c r="E384" s="14">
        <f>MONTH(A384)</f>
        <v>2</v>
      </c>
      <c r="G384" s="1" t="s">
        <v>115</v>
      </c>
      <c r="H384" s="1">
        <v>442.1</v>
      </c>
      <c r="I384" s="1" t="s">
        <v>90</v>
      </c>
      <c r="J384" s="13">
        <f>VALUE(MID(I384,1,3))</f>
        <v>202</v>
      </c>
      <c r="K384" s="13">
        <f>VALUE(MID(G384,5,2))</f>
        <v>3</v>
      </c>
    </row>
    <row r="385" spans="1:11">
      <c r="A385" s="7">
        <v>39853</v>
      </c>
      <c r="B385" s="1">
        <v>240.91</v>
      </c>
      <c r="C385" s="1" t="s">
        <v>29</v>
      </c>
      <c r="D385" s="13">
        <f>VALUE(MID(C385,9,3))</f>
        <v>311</v>
      </c>
      <c r="E385" s="14">
        <f>MONTH(A385)</f>
        <v>2</v>
      </c>
      <c r="G385" s="1" t="s">
        <v>118</v>
      </c>
      <c r="H385" s="1">
        <v>312.13</v>
      </c>
      <c r="I385" s="1" t="s">
        <v>90</v>
      </c>
      <c r="J385" s="13">
        <f>VALUE(MID(I385,1,3))</f>
        <v>202</v>
      </c>
      <c r="K385" s="13">
        <f>VALUE(MID(G385,5,2))</f>
        <v>3</v>
      </c>
    </row>
    <row r="386" spans="1:11">
      <c r="A386" s="7">
        <v>39853</v>
      </c>
      <c r="B386" s="1">
        <v>637.29</v>
      </c>
      <c r="C386" s="1" t="s">
        <v>29</v>
      </c>
      <c r="D386" s="13">
        <f>VALUE(MID(C386,9,3))</f>
        <v>311</v>
      </c>
      <c r="E386" s="14">
        <f>MONTH(A386)</f>
        <v>2</v>
      </c>
      <c r="G386" s="1" t="s">
        <v>135</v>
      </c>
      <c r="H386" s="1">
        <v>442.1</v>
      </c>
      <c r="I386" s="1" t="s">
        <v>90</v>
      </c>
      <c r="J386" s="13">
        <f>VALUE(MID(I386,1,3))</f>
        <v>202</v>
      </c>
      <c r="K386" s="13">
        <f>VALUE(MID(G386,5,2))</f>
        <v>4</v>
      </c>
    </row>
    <row r="387" spans="1:11">
      <c r="A387" s="7">
        <v>39853</v>
      </c>
      <c r="B387" s="1">
        <v>532.99</v>
      </c>
      <c r="C387" s="1" t="s">
        <v>29</v>
      </c>
      <c r="D387" s="13">
        <f>VALUE(MID(C387,9,3))</f>
        <v>311</v>
      </c>
      <c r="E387" s="14">
        <f>MONTH(A387)</f>
        <v>2</v>
      </c>
      <c r="G387" s="1" t="s">
        <v>138</v>
      </c>
      <c r="H387" s="1">
        <v>312.13</v>
      </c>
      <c r="I387" s="1" t="s">
        <v>90</v>
      </c>
      <c r="J387" s="13">
        <f>VALUE(MID(I387,1,3))</f>
        <v>202</v>
      </c>
      <c r="K387" s="13">
        <f>VALUE(MID(G387,5,2))</f>
        <v>4</v>
      </c>
    </row>
    <row r="388" spans="1:11">
      <c r="A388" s="7">
        <v>39853</v>
      </c>
      <c r="B388" s="1">
        <v>286.7</v>
      </c>
      <c r="C388" s="1" t="s">
        <v>29</v>
      </c>
      <c r="D388" s="13">
        <f>VALUE(MID(C388,9,3))</f>
        <v>311</v>
      </c>
      <c r="E388" s="14">
        <f>MONTH(A388)</f>
        <v>2</v>
      </c>
      <c r="G388" s="1" t="s">
        <v>148</v>
      </c>
      <c r="H388" s="1">
        <v>442.1</v>
      </c>
      <c r="I388" s="1" t="s">
        <v>90</v>
      </c>
      <c r="J388" s="13">
        <f>VALUE(MID(I388,1,3))</f>
        <v>202</v>
      </c>
      <c r="K388" s="13">
        <f>VALUE(MID(G388,5,2))</f>
        <v>5</v>
      </c>
    </row>
    <row r="389" spans="1:11">
      <c r="A389" s="7">
        <v>39853</v>
      </c>
      <c r="B389" s="1">
        <v>503.95</v>
      </c>
      <c r="C389" s="1" t="s">
        <v>29</v>
      </c>
      <c r="D389" s="13">
        <f>VALUE(MID(C389,9,3))</f>
        <v>311</v>
      </c>
      <c r="E389" s="14">
        <f>MONTH(A389)</f>
        <v>2</v>
      </c>
      <c r="G389" s="1" t="s">
        <v>151</v>
      </c>
      <c r="H389" s="1">
        <v>312.13</v>
      </c>
      <c r="I389" s="1" t="s">
        <v>90</v>
      </c>
      <c r="J389" s="13">
        <f>VALUE(MID(I389,1,3))</f>
        <v>202</v>
      </c>
      <c r="K389" s="13">
        <f>VALUE(MID(G389,5,2))</f>
        <v>5</v>
      </c>
    </row>
    <row r="390" spans="1:11">
      <c r="A390" s="7">
        <v>39853</v>
      </c>
      <c r="B390" s="1">
        <v>507.71</v>
      </c>
      <c r="C390" s="1" t="s">
        <v>29</v>
      </c>
      <c r="D390" s="13">
        <f>VALUE(MID(C390,9,3))</f>
        <v>311</v>
      </c>
      <c r="E390" s="14">
        <f>MONTH(A390)</f>
        <v>2</v>
      </c>
      <c r="G390" s="1" t="s">
        <v>162</v>
      </c>
      <c r="H390" s="1">
        <v>442.1</v>
      </c>
      <c r="I390" s="1" t="s">
        <v>90</v>
      </c>
      <c r="J390" s="13">
        <f>VALUE(MID(I390,1,3))</f>
        <v>202</v>
      </c>
      <c r="K390" s="13">
        <f>VALUE(MID(G390,5,2))</f>
        <v>6</v>
      </c>
    </row>
    <row r="391" spans="1:11">
      <c r="A391" s="7">
        <v>39853</v>
      </c>
      <c r="B391" s="1">
        <v>374.95</v>
      </c>
      <c r="C391" s="1" t="s">
        <v>29</v>
      </c>
      <c r="D391" s="13">
        <f>VALUE(MID(C391,9,3))</f>
        <v>311</v>
      </c>
      <c r="E391" s="14">
        <f>MONTH(A391)</f>
        <v>2</v>
      </c>
      <c r="G391" s="1" t="s">
        <v>166</v>
      </c>
      <c r="H391" s="1">
        <v>312.13</v>
      </c>
      <c r="I391" s="1" t="s">
        <v>90</v>
      </c>
      <c r="J391" s="13">
        <f>VALUE(MID(I391,1,3))</f>
        <v>202</v>
      </c>
      <c r="K391" s="13">
        <f>VALUE(MID(G391,5,2))</f>
        <v>6</v>
      </c>
    </row>
    <row r="392" spans="1:11">
      <c r="A392" s="7">
        <v>39853</v>
      </c>
      <c r="B392" s="1">
        <v>453.97</v>
      </c>
      <c r="C392" s="1" t="s">
        <v>29</v>
      </c>
      <c r="D392" s="13">
        <f>VALUE(MID(C392,9,3))</f>
        <v>311</v>
      </c>
      <c r="E392" s="14">
        <f>MONTH(A392)</f>
        <v>2</v>
      </c>
      <c r="G392" s="1" t="s">
        <v>173</v>
      </c>
      <c r="H392" s="1">
        <v>442.1</v>
      </c>
      <c r="I392" s="1" t="s">
        <v>90</v>
      </c>
      <c r="J392" s="13">
        <f>VALUE(MID(I392,1,3))</f>
        <v>202</v>
      </c>
      <c r="K392" s="13">
        <f>VALUE(MID(G392,5,2))</f>
        <v>7</v>
      </c>
    </row>
    <row r="393" spans="1:11">
      <c r="A393" s="7">
        <v>39853</v>
      </c>
      <c r="B393" s="1">
        <v>111.9</v>
      </c>
      <c r="C393" s="1" t="s">
        <v>30</v>
      </c>
      <c r="D393" s="13">
        <f>VALUE(MID(C393,9,3))</f>
        <v>311</v>
      </c>
      <c r="E393" s="14">
        <f>MONTH(A393)</f>
        <v>2</v>
      </c>
      <c r="G393" s="1" t="s">
        <v>174</v>
      </c>
      <c r="H393" s="1">
        <v>312.13</v>
      </c>
      <c r="I393" s="1" t="s">
        <v>90</v>
      </c>
      <c r="J393" s="13">
        <f>VALUE(MID(I393,1,3))</f>
        <v>202</v>
      </c>
      <c r="K393" s="13">
        <f>VALUE(MID(G393,5,2))</f>
        <v>7</v>
      </c>
    </row>
    <row r="394" spans="1:11">
      <c r="A394" s="7">
        <v>40003</v>
      </c>
      <c r="B394" s="1">
        <v>940.5</v>
      </c>
      <c r="C394" s="1" t="s">
        <v>13</v>
      </c>
      <c r="D394" s="13">
        <f>VALUE(MID(C394,9,3))</f>
        <v>311</v>
      </c>
      <c r="E394" s="14">
        <f>MONTH(A394)</f>
        <v>7</v>
      </c>
      <c r="G394" s="1" t="s">
        <v>179</v>
      </c>
      <c r="H394" s="1">
        <v>442.1</v>
      </c>
      <c r="I394" s="1" t="s">
        <v>90</v>
      </c>
      <c r="J394" s="13">
        <f>VALUE(MID(I394,1,3))</f>
        <v>202</v>
      </c>
      <c r="K394" s="13">
        <f>VALUE(MID(G394,5,2))</f>
        <v>8</v>
      </c>
    </row>
    <row r="395" spans="1:11">
      <c r="A395" s="7">
        <v>40003</v>
      </c>
      <c r="B395" s="1">
        <v>940.5</v>
      </c>
      <c r="C395" s="1" t="s">
        <v>13</v>
      </c>
      <c r="D395" s="13">
        <f>VALUE(MID(C395,9,3))</f>
        <v>311</v>
      </c>
      <c r="E395" s="14">
        <f>MONTH(A395)</f>
        <v>7</v>
      </c>
      <c r="G395" s="1" t="s">
        <v>182</v>
      </c>
      <c r="H395" s="1">
        <v>312.13</v>
      </c>
      <c r="I395" s="1" t="s">
        <v>90</v>
      </c>
      <c r="J395" s="13">
        <f>VALUE(MID(I395,1,3))</f>
        <v>202</v>
      </c>
      <c r="K395" s="13">
        <f>VALUE(MID(G395,5,2))</f>
        <v>8</v>
      </c>
    </row>
    <row r="396" spans="1:11">
      <c r="A396" s="7">
        <v>40003</v>
      </c>
      <c r="B396" s="1">
        <v>302.56</v>
      </c>
      <c r="C396" s="1" t="s">
        <v>6</v>
      </c>
      <c r="D396" s="13">
        <f>VALUE(MID(C396,9,3))</f>
        <v>311</v>
      </c>
      <c r="E396" s="14">
        <f>MONTH(A396)</f>
        <v>7</v>
      </c>
      <c r="G396" s="1" t="s">
        <v>188</v>
      </c>
      <c r="H396" s="1">
        <v>442.1</v>
      </c>
      <c r="I396" s="1" t="s">
        <v>90</v>
      </c>
      <c r="J396" s="13">
        <f>VALUE(MID(I396,1,3))</f>
        <v>202</v>
      </c>
      <c r="K396" s="13">
        <f>VALUE(MID(G396,5,2))</f>
        <v>9</v>
      </c>
    </row>
    <row r="397" spans="1:11">
      <c r="A397" s="7">
        <v>40003</v>
      </c>
      <c r="B397" s="1">
        <v>453.97</v>
      </c>
      <c r="C397" s="1" t="s">
        <v>6</v>
      </c>
      <c r="D397" s="13">
        <f>VALUE(MID(C397,9,3))</f>
        <v>311</v>
      </c>
      <c r="E397" s="14">
        <f>MONTH(A397)</f>
        <v>7</v>
      </c>
      <c r="G397" s="1" t="s">
        <v>190</v>
      </c>
      <c r="H397" s="1">
        <v>312.13</v>
      </c>
      <c r="I397" s="1" t="s">
        <v>90</v>
      </c>
      <c r="J397" s="13">
        <f>VALUE(MID(I397,1,3))</f>
        <v>202</v>
      </c>
      <c r="K397" s="13">
        <f>VALUE(MID(G397,5,2))</f>
        <v>9</v>
      </c>
    </row>
    <row r="398" spans="1:11">
      <c r="A398" s="7">
        <v>40003</v>
      </c>
      <c r="B398" s="1">
        <v>559.33000000000004</v>
      </c>
      <c r="C398" s="1" t="s">
        <v>6</v>
      </c>
      <c r="D398" s="13">
        <f>VALUE(MID(C398,9,3))</f>
        <v>311</v>
      </c>
      <c r="E398" s="14">
        <f>MONTH(A398)</f>
        <v>7</v>
      </c>
      <c r="G398" s="1" t="s">
        <v>192</v>
      </c>
      <c r="H398" s="1">
        <v>150</v>
      </c>
      <c r="I398" s="1" t="s">
        <v>90</v>
      </c>
      <c r="J398" s="13">
        <f>VALUE(MID(I398,1,3))</f>
        <v>202</v>
      </c>
      <c r="K398" s="13">
        <f>VALUE(MID(G398,5,2))</f>
        <v>9</v>
      </c>
    </row>
    <row r="399" spans="1:11">
      <c r="A399" s="7">
        <v>40003</v>
      </c>
      <c r="B399" s="1">
        <v>532.99</v>
      </c>
      <c r="C399" s="1" t="s">
        <v>6</v>
      </c>
      <c r="D399" s="13">
        <f>VALUE(MID(C399,9,3))</f>
        <v>311</v>
      </c>
      <c r="E399" s="14">
        <f>MONTH(A399)</f>
        <v>7</v>
      </c>
      <c r="G399" s="1" t="s">
        <v>192</v>
      </c>
      <c r="H399" s="1">
        <v>450</v>
      </c>
      <c r="I399" s="1" t="s">
        <v>90</v>
      </c>
      <c r="J399" s="13">
        <f>VALUE(MID(I399,1,3))</f>
        <v>202</v>
      </c>
      <c r="K399" s="13">
        <f>VALUE(MID(G399,5,2))</f>
        <v>9</v>
      </c>
    </row>
    <row r="400" spans="1:11">
      <c r="A400" s="7">
        <v>40003</v>
      </c>
      <c r="B400" s="1">
        <v>369.91</v>
      </c>
      <c r="C400" s="1" t="s">
        <v>6</v>
      </c>
      <c r="D400" s="13">
        <f>VALUE(MID(C400,9,3))</f>
        <v>311</v>
      </c>
      <c r="E400" s="14">
        <f>MONTH(A400)</f>
        <v>7</v>
      </c>
      <c r="G400" s="1" t="s">
        <v>197</v>
      </c>
      <c r="H400" s="1">
        <v>442.1</v>
      </c>
      <c r="I400" s="1" t="s">
        <v>90</v>
      </c>
      <c r="J400" s="13">
        <f>VALUE(MID(I400,1,3))</f>
        <v>202</v>
      </c>
      <c r="K400" s="13">
        <f>VALUE(MID(G400,5,2))</f>
        <v>10</v>
      </c>
    </row>
    <row r="401" spans="1:11">
      <c r="A401" s="7">
        <v>40003</v>
      </c>
      <c r="B401" s="1">
        <v>503.29</v>
      </c>
      <c r="C401" s="1" t="s">
        <v>6</v>
      </c>
      <c r="D401" s="13">
        <f>VALUE(MID(C401,9,3))</f>
        <v>311</v>
      </c>
      <c r="E401" s="14">
        <f>MONTH(A401)</f>
        <v>7</v>
      </c>
      <c r="G401" s="1" t="s">
        <v>201</v>
      </c>
      <c r="H401" s="1">
        <v>312.13</v>
      </c>
      <c r="I401" s="1" t="s">
        <v>90</v>
      </c>
      <c r="J401" s="13">
        <f>VALUE(MID(I401,1,3))</f>
        <v>202</v>
      </c>
      <c r="K401" s="13">
        <f>VALUE(MID(G401,5,2))</f>
        <v>10</v>
      </c>
    </row>
    <row r="402" spans="1:11">
      <c r="A402" s="7">
        <v>40003</v>
      </c>
      <c r="B402" s="1">
        <v>967.6</v>
      </c>
      <c r="C402" s="1" t="s">
        <v>6</v>
      </c>
      <c r="D402" s="13">
        <f>VALUE(MID(C402,9,3))</f>
        <v>311</v>
      </c>
      <c r="E402" s="14">
        <f>MONTH(A402)</f>
        <v>7</v>
      </c>
      <c r="G402" s="1" t="s">
        <v>206</v>
      </c>
      <c r="H402" s="1">
        <v>442.1</v>
      </c>
      <c r="I402" s="1" t="s">
        <v>90</v>
      </c>
      <c r="J402" s="13">
        <f>VALUE(MID(I402,1,3))</f>
        <v>202</v>
      </c>
      <c r="K402" s="13">
        <f>VALUE(MID(G402,5,2))</f>
        <v>11</v>
      </c>
    </row>
    <row r="403" spans="1:11">
      <c r="A403" s="7">
        <v>40003</v>
      </c>
      <c r="B403" s="1">
        <v>300</v>
      </c>
      <c r="C403" s="1" t="s">
        <v>20</v>
      </c>
      <c r="D403" s="13">
        <f>VALUE(MID(C403,9,3))</f>
        <v>311</v>
      </c>
      <c r="E403" s="14">
        <f>MONTH(A403)</f>
        <v>7</v>
      </c>
      <c r="G403" s="1" t="s">
        <v>208</v>
      </c>
      <c r="H403" s="1">
        <v>312.13</v>
      </c>
      <c r="I403" s="1" t="s">
        <v>90</v>
      </c>
      <c r="J403" s="13">
        <f>VALUE(MID(I403,1,3))</f>
        <v>202</v>
      </c>
      <c r="K403" s="13">
        <f>VALUE(MID(G403,5,2))</f>
        <v>11</v>
      </c>
    </row>
    <row r="404" spans="1:11">
      <c r="A404" s="7">
        <v>40065</v>
      </c>
      <c r="B404" s="1">
        <v>1990.72</v>
      </c>
      <c r="C404" s="1" t="s">
        <v>8</v>
      </c>
      <c r="D404" s="13">
        <f>VALUE(MID(C404,9,3))</f>
        <v>311</v>
      </c>
      <c r="E404" s="14">
        <f>MONTH(A404)</f>
        <v>9</v>
      </c>
      <c r="G404" s="1" t="s">
        <v>210</v>
      </c>
      <c r="H404" s="1">
        <v>150</v>
      </c>
      <c r="I404" s="1" t="s">
        <v>90</v>
      </c>
      <c r="J404" s="13">
        <f>VALUE(MID(I404,1,3))</f>
        <v>202</v>
      </c>
      <c r="K404" s="13">
        <f>VALUE(MID(G404,5,2))</f>
        <v>11</v>
      </c>
    </row>
    <row r="405" spans="1:11">
      <c r="A405" s="7">
        <v>40065</v>
      </c>
      <c r="B405" s="1">
        <v>420.05</v>
      </c>
      <c r="C405" s="1" t="s">
        <v>12</v>
      </c>
      <c r="D405" s="13">
        <f>VALUE(MID(C405,9,3))</f>
        <v>311</v>
      </c>
      <c r="E405" s="14">
        <f>MONTH(A405)</f>
        <v>9</v>
      </c>
      <c r="G405" s="1" t="s">
        <v>215</v>
      </c>
      <c r="H405" s="1">
        <v>442.1</v>
      </c>
      <c r="I405" s="1" t="s">
        <v>90</v>
      </c>
      <c r="J405" s="13">
        <f>VALUE(MID(I405,1,3))</f>
        <v>202</v>
      </c>
      <c r="K405" s="13">
        <f>VALUE(MID(G405,5,2))</f>
        <v>12</v>
      </c>
    </row>
    <row r="406" spans="1:11">
      <c r="A406" s="7">
        <v>40065</v>
      </c>
      <c r="B406" s="1">
        <v>418.01</v>
      </c>
      <c r="C406" s="1" t="s">
        <v>13</v>
      </c>
      <c r="D406" s="13">
        <f>VALUE(MID(C406,9,3))</f>
        <v>311</v>
      </c>
      <c r="E406" s="14">
        <f>MONTH(A406)</f>
        <v>9</v>
      </c>
      <c r="G406" s="1" t="s">
        <v>217</v>
      </c>
      <c r="H406" s="1">
        <v>312.13</v>
      </c>
      <c r="I406" s="1" t="s">
        <v>90</v>
      </c>
      <c r="J406" s="13">
        <f>VALUE(MID(I406,1,3))</f>
        <v>202</v>
      </c>
      <c r="K406" s="13">
        <f>VALUE(MID(G406,5,2))</f>
        <v>12</v>
      </c>
    </row>
    <row r="407" spans="1:11">
      <c r="A407" s="7">
        <v>40065</v>
      </c>
      <c r="B407" s="1">
        <v>817.16</v>
      </c>
      <c r="C407" s="1" t="s">
        <v>13</v>
      </c>
      <c r="D407" s="13">
        <f>VALUE(MID(C407,9,3))</f>
        <v>311</v>
      </c>
      <c r="E407" s="14">
        <f>MONTH(A407)</f>
        <v>9</v>
      </c>
      <c r="G407" s="1" t="s">
        <v>73</v>
      </c>
      <c r="H407" s="1">
        <v>663</v>
      </c>
      <c r="I407" s="1" t="s">
        <v>77</v>
      </c>
      <c r="J407" s="13">
        <f>VALUE(MID(I407,1,3))</f>
        <v>213</v>
      </c>
      <c r="K407" s="13">
        <f>VALUE(MID(G407,5,2))</f>
        <v>1</v>
      </c>
    </row>
    <row r="408" spans="1:11">
      <c r="A408" s="7">
        <v>40065</v>
      </c>
      <c r="B408" s="1">
        <v>903.56</v>
      </c>
      <c r="C408" s="1" t="s">
        <v>13</v>
      </c>
      <c r="D408" s="13">
        <f>VALUE(MID(C408,9,3))</f>
        <v>311</v>
      </c>
      <c r="E408" s="14">
        <f>MONTH(A408)</f>
        <v>9</v>
      </c>
      <c r="G408" s="1" t="s">
        <v>73</v>
      </c>
      <c r="H408" s="1">
        <v>708.55</v>
      </c>
      <c r="I408" s="1" t="s">
        <v>77</v>
      </c>
      <c r="J408" s="13">
        <f>VALUE(MID(I408,1,3))</f>
        <v>213</v>
      </c>
      <c r="K408" s="13">
        <f>VALUE(MID(G408,5,2))</f>
        <v>1</v>
      </c>
    </row>
    <row r="409" spans="1:11">
      <c r="A409" s="7">
        <v>40065</v>
      </c>
      <c r="B409" s="1">
        <v>470.89</v>
      </c>
      <c r="C409" s="1" t="s">
        <v>13</v>
      </c>
      <c r="D409" s="13">
        <f>VALUE(MID(C409,9,3))</f>
        <v>311</v>
      </c>
      <c r="E409" s="14">
        <f>MONTH(A409)</f>
        <v>9</v>
      </c>
      <c r="G409" s="1" t="s">
        <v>97</v>
      </c>
      <c r="H409" s="1">
        <v>475.52</v>
      </c>
      <c r="I409" s="1" t="s">
        <v>77</v>
      </c>
      <c r="J409" s="13">
        <f>VALUE(MID(I409,1,3))</f>
        <v>213</v>
      </c>
      <c r="K409" s="13">
        <f>VALUE(MID(G409,5,2))</f>
        <v>2</v>
      </c>
    </row>
    <row r="410" spans="1:11">
      <c r="A410" s="7">
        <v>40065</v>
      </c>
      <c r="B410" s="1">
        <v>129.80000000000001</v>
      </c>
      <c r="C410" s="1" t="s">
        <v>13</v>
      </c>
      <c r="D410" s="13">
        <f>VALUE(MID(C410,9,3))</f>
        <v>311</v>
      </c>
      <c r="E410" s="14">
        <f>MONTH(A410)</f>
        <v>9</v>
      </c>
      <c r="G410" s="1" t="s">
        <v>97</v>
      </c>
      <c r="H410" s="1">
        <v>331.66</v>
      </c>
      <c r="I410" s="1" t="s">
        <v>77</v>
      </c>
      <c r="J410" s="13">
        <f>VALUE(MID(I410,1,3))</f>
        <v>213</v>
      </c>
      <c r="K410" s="13">
        <f>VALUE(MID(G410,5,2))</f>
        <v>2</v>
      </c>
    </row>
    <row r="411" spans="1:11">
      <c r="A411" s="7">
        <v>40065</v>
      </c>
      <c r="B411" s="1">
        <v>352.69</v>
      </c>
      <c r="C411" s="1" t="s">
        <v>13</v>
      </c>
      <c r="D411" s="13">
        <f>VALUE(MID(C411,9,3))</f>
        <v>311</v>
      </c>
      <c r="E411" s="14">
        <f>MONTH(A411)</f>
        <v>9</v>
      </c>
      <c r="G411" s="1" t="s">
        <v>97</v>
      </c>
      <c r="H411" s="1">
        <v>14.19</v>
      </c>
      <c r="I411" s="1" t="s">
        <v>77</v>
      </c>
      <c r="J411" s="13">
        <f>VALUE(MID(I411,1,3))</f>
        <v>213</v>
      </c>
      <c r="K411" s="13">
        <f>VALUE(MID(G411,5,2))</f>
        <v>2</v>
      </c>
    </row>
    <row r="412" spans="1:11">
      <c r="A412" s="7">
        <v>40065</v>
      </c>
      <c r="B412" s="1">
        <v>816.39</v>
      </c>
      <c r="C412" s="1" t="s">
        <v>13</v>
      </c>
      <c r="D412" s="13">
        <f>VALUE(MID(C412,9,3))</f>
        <v>311</v>
      </c>
      <c r="E412" s="14">
        <f>MONTH(A412)</f>
        <v>9</v>
      </c>
      <c r="G412" s="1" t="s">
        <v>97</v>
      </c>
      <c r="H412" s="1">
        <v>297.42</v>
      </c>
      <c r="I412" s="1" t="s">
        <v>77</v>
      </c>
      <c r="J412" s="13">
        <f>VALUE(MID(I412,1,3))</f>
        <v>213</v>
      </c>
      <c r="K412" s="13">
        <f>VALUE(MID(G412,5,2))</f>
        <v>2</v>
      </c>
    </row>
    <row r="413" spans="1:11">
      <c r="A413" s="7">
        <v>40065</v>
      </c>
      <c r="B413" s="1">
        <v>470.25</v>
      </c>
      <c r="C413" s="1" t="s">
        <v>3</v>
      </c>
      <c r="D413" s="13">
        <f>VALUE(MID(C413,9,3))</f>
        <v>311</v>
      </c>
      <c r="E413" s="14">
        <f>MONTH(A413)</f>
        <v>9</v>
      </c>
      <c r="G413" s="1" t="s">
        <v>97</v>
      </c>
      <c r="H413" s="1">
        <v>677</v>
      </c>
      <c r="I413" s="1" t="s">
        <v>77</v>
      </c>
      <c r="J413" s="13">
        <f>VALUE(MID(I413,1,3))</f>
        <v>213</v>
      </c>
      <c r="K413" s="13">
        <f>VALUE(MID(G413,5,2))</f>
        <v>2</v>
      </c>
    </row>
    <row r="414" spans="1:11">
      <c r="A414" s="7">
        <v>40065</v>
      </c>
      <c r="B414" s="1">
        <v>909.15</v>
      </c>
      <c r="C414" s="1" t="s">
        <v>3</v>
      </c>
      <c r="D414" s="13">
        <f>VALUE(MID(C414,9,3))</f>
        <v>311</v>
      </c>
      <c r="E414" s="14">
        <f>MONTH(A414)</f>
        <v>9</v>
      </c>
      <c r="G414" s="1" t="s">
        <v>97</v>
      </c>
      <c r="H414" s="1">
        <v>2543.36</v>
      </c>
      <c r="I414" s="1" t="s">
        <v>77</v>
      </c>
      <c r="J414" s="13">
        <f>VALUE(MID(I414,1,3))</f>
        <v>213</v>
      </c>
      <c r="K414" s="13">
        <f>VALUE(MID(G414,5,2))</f>
        <v>2</v>
      </c>
    </row>
    <row r="415" spans="1:11">
      <c r="A415" s="7">
        <v>40065</v>
      </c>
      <c r="B415" s="1">
        <v>607.65</v>
      </c>
      <c r="C415" s="1" t="s">
        <v>3</v>
      </c>
      <c r="D415" s="13">
        <f>VALUE(MID(C415,9,3))</f>
        <v>311</v>
      </c>
      <c r="E415" s="14">
        <f>MONTH(A415)</f>
        <v>9</v>
      </c>
      <c r="G415" s="1" t="s">
        <v>97</v>
      </c>
      <c r="H415" s="1">
        <v>2542.04</v>
      </c>
      <c r="I415" s="1" t="s">
        <v>77</v>
      </c>
      <c r="J415" s="13">
        <f>VALUE(MID(I415,1,3))</f>
        <v>213</v>
      </c>
      <c r="K415" s="13">
        <f>VALUE(MID(G415,5,2))</f>
        <v>2</v>
      </c>
    </row>
    <row r="416" spans="1:11">
      <c r="A416" s="7">
        <v>40065</v>
      </c>
      <c r="B416" s="1">
        <v>516.47</v>
      </c>
      <c r="C416" s="1" t="s">
        <v>5</v>
      </c>
      <c r="D416" s="13">
        <f>VALUE(MID(C416,9,3))</f>
        <v>311</v>
      </c>
      <c r="E416" s="14">
        <f>MONTH(A416)</f>
        <v>9</v>
      </c>
      <c r="G416" s="1" t="s">
        <v>97</v>
      </c>
      <c r="H416" s="1">
        <v>886.42</v>
      </c>
      <c r="I416" s="1" t="s">
        <v>77</v>
      </c>
      <c r="J416" s="13">
        <f>VALUE(MID(I416,1,3))</f>
        <v>213</v>
      </c>
      <c r="K416" s="13">
        <f>VALUE(MID(G416,5,2))</f>
        <v>2</v>
      </c>
    </row>
    <row r="417" spans="1:11">
      <c r="A417" s="7">
        <v>40065</v>
      </c>
      <c r="B417" s="1">
        <v>476.96</v>
      </c>
      <c r="C417" s="1" t="s">
        <v>5</v>
      </c>
      <c r="D417" s="13">
        <f>VALUE(MID(C417,9,3))</f>
        <v>311</v>
      </c>
      <c r="E417" s="14">
        <f>MONTH(A417)</f>
        <v>9</v>
      </c>
      <c r="G417" s="1" t="s">
        <v>120</v>
      </c>
      <c r="H417" s="1">
        <v>331.66</v>
      </c>
      <c r="I417" s="1" t="s">
        <v>77</v>
      </c>
      <c r="J417" s="13">
        <f>VALUE(MID(I417,1,3))</f>
        <v>213</v>
      </c>
      <c r="K417" s="13">
        <f>VALUE(MID(G417,5,2))</f>
        <v>3</v>
      </c>
    </row>
    <row r="418" spans="1:11">
      <c r="A418" s="7">
        <v>40065</v>
      </c>
      <c r="B418" s="1">
        <v>516.47</v>
      </c>
      <c r="C418" s="1" t="s">
        <v>5</v>
      </c>
      <c r="D418" s="13">
        <f>VALUE(MID(C418,9,3))</f>
        <v>311</v>
      </c>
      <c r="E418" s="14">
        <f>MONTH(A418)</f>
        <v>9</v>
      </c>
      <c r="G418" s="1" t="s">
        <v>120</v>
      </c>
      <c r="H418" s="1">
        <v>258.12</v>
      </c>
      <c r="I418" s="1" t="s">
        <v>77</v>
      </c>
      <c r="J418" s="13">
        <f>VALUE(MID(I418,1,3))</f>
        <v>213</v>
      </c>
      <c r="K418" s="13">
        <f>VALUE(MID(G418,5,2))</f>
        <v>3</v>
      </c>
    </row>
    <row r="419" spans="1:11">
      <c r="A419" s="7">
        <v>40065</v>
      </c>
      <c r="B419" s="1">
        <v>80</v>
      </c>
      <c r="C419" s="1" t="s">
        <v>18</v>
      </c>
      <c r="D419" s="13">
        <f>VALUE(MID(C419,9,3))</f>
        <v>311</v>
      </c>
      <c r="E419" s="14">
        <f>MONTH(A419)</f>
        <v>9</v>
      </c>
      <c r="G419" s="1" t="s">
        <v>120</v>
      </c>
      <c r="H419" s="1">
        <v>328.56</v>
      </c>
      <c r="I419" s="1" t="s">
        <v>77</v>
      </c>
      <c r="J419" s="13">
        <f>VALUE(MID(I419,1,3))</f>
        <v>213</v>
      </c>
      <c r="K419" s="13">
        <f>VALUE(MID(G419,5,2))</f>
        <v>3</v>
      </c>
    </row>
    <row r="420" spans="1:11">
      <c r="A420" s="7">
        <v>40095</v>
      </c>
      <c r="B420" s="1">
        <v>187.5</v>
      </c>
      <c r="C420" s="1" t="s">
        <v>42</v>
      </c>
      <c r="D420" s="13">
        <f>VALUE(MID(C420,9,3))</f>
        <v>311</v>
      </c>
      <c r="E420" s="14">
        <f>MONTH(A420)</f>
        <v>10</v>
      </c>
      <c r="G420" s="1" t="s">
        <v>120</v>
      </c>
      <c r="H420" s="1">
        <v>159.04</v>
      </c>
      <c r="I420" s="1" t="s">
        <v>77</v>
      </c>
      <c r="J420" s="13">
        <f>VALUE(MID(I420,1,3))</f>
        <v>213</v>
      </c>
      <c r="K420" s="13">
        <f>VALUE(MID(G420,5,2))</f>
        <v>3</v>
      </c>
    </row>
    <row r="421" spans="1:11">
      <c r="A421" s="7">
        <v>40095</v>
      </c>
      <c r="B421" s="1">
        <v>65</v>
      </c>
      <c r="C421" s="1" t="s">
        <v>18</v>
      </c>
      <c r="D421" s="13">
        <f>VALUE(MID(C421,9,3))</f>
        <v>311</v>
      </c>
      <c r="E421" s="14">
        <f>MONTH(A421)</f>
        <v>10</v>
      </c>
      <c r="G421" s="1" t="s">
        <v>120</v>
      </c>
      <c r="H421" s="1">
        <v>566.36</v>
      </c>
      <c r="I421" s="1" t="s">
        <v>77</v>
      </c>
      <c r="J421" s="13">
        <f>VALUE(MID(I421,1,3))</f>
        <v>213</v>
      </c>
      <c r="K421" s="13">
        <f>VALUE(MID(G421,5,2))</f>
        <v>3</v>
      </c>
    </row>
    <row r="422" spans="1:11">
      <c r="A422" s="7">
        <v>40095</v>
      </c>
      <c r="B422" s="1">
        <v>80</v>
      </c>
      <c r="C422" s="1" t="s">
        <v>18</v>
      </c>
      <c r="D422" s="13">
        <f>VALUE(MID(C422,9,3))</f>
        <v>311</v>
      </c>
      <c r="E422" s="14">
        <f>MONTH(A422)</f>
        <v>10</v>
      </c>
      <c r="G422" s="1" t="s">
        <v>120</v>
      </c>
      <c r="H422" s="1">
        <v>283.36</v>
      </c>
      <c r="I422" s="1" t="s">
        <v>77</v>
      </c>
      <c r="J422" s="13">
        <f>VALUE(MID(I422,1,3))</f>
        <v>213</v>
      </c>
      <c r="K422" s="13">
        <f>VALUE(MID(G422,5,2))</f>
        <v>3</v>
      </c>
    </row>
    <row r="423" spans="1:11">
      <c r="A423" s="7">
        <v>40126</v>
      </c>
      <c r="B423" s="1">
        <v>80</v>
      </c>
      <c r="C423" s="1" t="s">
        <v>18</v>
      </c>
      <c r="D423" s="13">
        <f>VALUE(MID(C423,9,3))</f>
        <v>311</v>
      </c>
      <c r="E423" s="14">
        <f>MONTH(A423)</f>
        <v>11</v>
      </c>
      <c r="G423" s="1" t="s">
        <v>120</v>
      </c>
      <c r="H423" s="1">
        <v>2542.04</v>
      </c>
      <c r="I423" s="1" t="s">
        <v>77</v>
      </c>
      <c r="J423" s="13">
        <f>VALUE(MID(I423,1,3))</f>
        <v>213</v>
      </c>
      <c r="K423" s="13">
        <f>VALUE(MID(G423,5,2))</f>
        <v>3</v>
      </c>
    </row>
    <row r="424" spans="1:11">
      <c r="A424" s="7">
        <v>39823</v>
      </c>
      <c r="B424" s="1">
        <v>674.5</v>
      </c>
      <c r="C424" s="1" t="s">
        <v>28</v>
      </c>
      <c r="D424" s="13">
        <f>VALUE(MID(C424,9,3))</f>
        <v>311</v>
      </c>
      <c r="E424" s="14">
        <f>MONTH(A424)</f>
        <v>1</v>
      </c>
      <c r="G424" s="1" t="s">
        <v>139</v>
      </c>
      <c r="H424" s="1">
        <v>155</v>
      </c>
      <c r="I424" s="1" t="s">
        <v>77</v>
      </c>
      <c r="J424" s="13">
        <f>VALUE(MID(I424,1,3))</f>
        <v>213</v>
      </c>
      <c r="K424" s="13">
        <f>VALUE(MID(G424,5,2))</f>
        <v>4</v>
      </c>
    </row>
    <row r="425" spans="1:11">
      <c r="A425" s="7">
        <v>39854</v>
      </c>
      <c r="B425" s="1">
        <v>433.6</v>
      </c>
      <c r="C425" s="1" t="s">
        <v>12</v>
      </c>
      <c r="D425" s="13">
        <f>VALUE(MID(C425,9,3))</f>
        <v>311</v>
      </c>
      <c r="E425" s="14">
        <f>MONTH(A425)</f>
        <v>2</v>
      </c>
      <c r="G425" s="1" t="s">
        <v>139</v>
      </c>
      <c r="H425" s="1">
        <v>331.66</v>
      </c>
      <c r="I425" s="1" t="s">
        <v>77</v>
      </c>
      <c r="J425" s="13">
        <f>VALUE(MID(I425,1,3))</f>
        <v>213</v>
      </c>
      <c r="K425" s="13">
        <f>VALUE(MID(G425,5,2))</f>
        <v>4</v>
      </c>
    </row>
    <row r="426" spans="1:11">
      <c r="A426" s="7">
        <v>39854</v>
      </c>
      <c r="B426" s="1">
        <v>1018.88</v>
      </c>
      <c r="C426" s="1" t="s">
        <v>13</v>
      </c>
      <c r="D426" s="13">
        <f>VALUE(MID(C426,9,3))</f>
        <v>311</v>
      </c>
      <c r="E426" s="14">
        <f>MONTH(A426)</f>
        <v>2</v>
      </c>
      <c r="G426" s="1" t="s">
        <v>139</v>
      </c>
      <c r="H426" s="1">
        <v>2543.36</v>
      </c>
      <c r="I426" s="1" t="s">
        <v>77</v>
      </c>
      <c r="J426" s="13">
        <f>VALUE(MID(I426,1,3))</f>
        <v>213</v>
      </c>
      <c r="K426" s="13">
        <f>VALUE(MID(G426,5,2))</f>
        <v>4</v>
      </c>
    </row>
    <row r="427" spans="1:11">
      <c r="A427" s="7">
        <v>39854</v>
      </c>
      <c r="B427" s="1">
        <v>909.15</v>
      </c>
      <c r="C427" s="1" t="s">
        <v>3</v>
      </c>
      <c r="D427" s="13">
        <f>VALUE(MID(C427,9,3))</f>
        <v>311</v>
      </c>
      <c r="E427" s="14">
        <f>MONTH(A427)</f>
        <v>2</v>
      </c>
      <c r="G427" s="1" t="s">
        <v>139</v>
      </c>
      <c r="H427" s="1">
        <v>1693.73</v>
      </c>
      <c r="I427" s="1" t="s">
        <v>77</v>
      </c>
      <c r="J427" s="13">
        <f>VALUE(MID(I427,1,3))</f>
        <v>213</v>
      </c>
      <c r="K427" s="13">
        <f>VALUE(MID(G427,5,2))</f>
        <v>4</v>
      </c>
    </row>
    <row r="428" spans="1:11">
      <c r="A428" s="7">
        <v>39854</v>
      </c>
      <c r="B428" s="1">
        <v>909.15</v>
      </c>
      <c r="C428" s="1" t="s">
        <v>3</v>
      </c>
      <c r="D428" s="13">
        <f>VALUE(MID(C428,9,3))</f>
        <v>311</v>
      </c>
      <c r="E428" s="14">
        <f>MONTH(A428)</f>
        <v>2</v>
      </c>
      <c r="G428" s="1" t="s">
        <v>139</v>
      </c>
      <c r="H428" s="1">
        <v>96.63</v>
      </c>
      <c r="I428" s="1" t="s">
        <v>77</v>
      </c>
      <c r="J428" s="13">
        <f>VALUE(MID(I428,1,3))</f>
        <v>213</v>
      </c>
      <c r="K428" s="13">
        <f>VALUE(MID(G428,5,2))</f>
        <v>4</v>
      </c>
    </row>
    <row r="429" spans="1:11">
      <c r="A429" s="7">
        <v>39854</v>
      </c>
      <c r="B429" s="1">
        <v>770.05</v>
      </c>
      <c r="C429" s="1" t="s">
        <v>29</v>
      </c>
      <c r="D429" s="13">
        <f>VALUE(MID(C429,9,3))</f>
        <v>311</v>
      </c>
      <c r="E429" s="14">
        <f>MONTH(A429)</f>
        <v>2</v>
      </c>
      <c r="G429" s="1" t="s">
        <v>139</v>
      </c>
      <c r="H429" s="1">
        <v>2542.04</v>
      </c>
      <c r="I429" s="1" t="s">
        <v>77</v>
      </c>
      <c r="J429" s="13">
        <f>VALUE(MID(I429,1,3))</f>
        <v>213</v>
      </c>
      <c r="K429" s="13">
        <f>VALUE(MID(G429,5,2))</f>
        <v>4</v>
      </c>
    </row>
    <row r="430" spans="1:11">
      <c r="A430" s="7">
        <v>39854</v>
      </c>
      <c r="B430" s="1">
        <v>532.99</v>
      </c>
      <c r="C430" s="1" t="s">
        <v>29</v>
      </c>
      <c r="D430" s="13">
        <f>VALUE(MID(C430,9,3))</f>
        <v>311</v>
      </c>
      <c r="E430" s="14">
        <f>MONTH(A430)</f>
        <v>2</v>
      </c>
      <c r="G430" s="1" t="s">
        <v>139</v>
      </c>
      <c r="H430" s="1">
        <v>168.43</v>
      </c>
      <c r="I430" s="1" t="s">
        <v>77</v>
      </c>
      <c r="J430" s="13">
        <f>VALUE(MID(I430,1,3))</f>
        <v>213</v>
      </c>
      <c r="K430" s="13">
        <f>VALUE(MID(G430,5,2))</f>
        <v>4</v>
      </c>
    </row>
    <row r="431" spans="1:11">
      <c r="A431" s="7">
        <v>39854</v>
      </c>
      <c r="B431" s="1">
        <v>256.42</v>
      </c>
      <c r="C431" s="1" t="s">
        <v>29</v>
      </c>
      <c r="D431" s="13">
        <f>VALUE(MID(C431,9,3))</f>
        <v>311</v>
      </c>
      <c r="E431" s="14">
        <f>MONTH(A431)</f>
        <v>2</v>
      </c>
      <c r="G431" s="1" t="s">
        <v>152</v>
      </c>
      <c r="H431" s="1">
        <v>331.66</v>
      </c>
      <c r="I431" s="1" t="s">
        <v>77</v>
      </c>
      <c r="J431" s="13">
        <f>VALUE(MID(I431,1,3))</f>
        <v>213</v>
      </c>
      <c r="K431" s="13">
        <f>VALUE(MID(G431,5,2))</f>
        <v>5</v>
      </c>
    </row>
    <row r="432" spans="1:11">
      <c r="A432" s="7">
        <v>39854</v>
      </c>
      <c r="B432" s="1">
        <v>403.01</v>
      </c>
      <c r="C432" s="1" t="s">
        <v>29</v>
      </c>
      <c r="D432" s="13">
        <f>VALUE(MID(C432,9,3))</f>
        <v>311</v>
      </c>
      <c r="E432" s="14">
        <f>MONTH(A432)</f>
        <v>2</v>
      </c>
      <c r="G432" s="1" t="s">
        <v>152</v>
      </c>
      <c r="H432" s="1">
        <v>283.05</v>
      </c>
      <c r="I432" s="1" t="s">
        <v>77</v>
      </c>
      <c r="J432" s="13">
        <f>VALUE(MID(I432,1,3))</f>
        <v>213</v>
      </c>
      <c r="K432" s="13">
        <f>VALUE(MID(G432,5,2))</f>
        <v>5</v>
      </c>
    </row>
    <row r="433" spans="1:11">
      <c r="A433" s="7">
        <v>39854</v>
      </c>
      <c r="B433" s="1">
        <v>723.91</v>
      </c>
      <c r="C433" s="1" t="s">
        <v>29</v>
      </c>
      <c r="D433" s="13">
        <f>VALUE(MID(C433,9,3))</f>
        <v>311</v>
      </c>
      <c r="E433" s="14">
        <f>MONTH(A433)</f>
        <v>2</v>
      </c>
      <c r="G433" s="1" t="s">
        <v>152</v>
      </c>
      <c r="H433" s="1">
        <v>294.89</v>
      </c>
      <c r="I433" s="1" t="s">
        <v>77</v>
      </c>
      <c r="J433" s="13">
        <f>VALUE(MID(I433,1,3))</f>
        <v>213</v>
      </c>
      <c r="K433" s="13">
        <f>VALUE(MID(G433,5,2))</f>
        <v>5</v>
      </c>
    </row>
    <row r="434" spans="1:11">
      <c r="A434" s="7">
        <v>39854</v>
      </c>
      <c r="B434" s="1">
        <v>453.98</v>
      </c>
      <c r="C434" s="1" t="s">
        <v>29</v>
      </c>
      <c r="D434" s="13">
        <f>VALUE(MID(C434,9,3))</f>
        <v>311</v>
      </c>
      <c r="E434" s="14">
        <f>MONTH(A434)</f>
        <v>2</v>
      </c>
      <c r="G434" s="1" t="s">
        <v>152</v>
      </c>
      <c r="H434" s="1">
        <v>118.56</v>
      </c>
      <c r="I434" s="1" t="s">
        <v>77</v>
      </c>
      <c r="J434" s="13">
        <f>VALUE(MID(I434,1,3))</f>
        <v>213</v>
      </c>
      <c r="K434" s="13">
        <f>VALUE(MID(G434,5,2))</f>
        <v>5</v>
      </c>
    </row>
    <row r="435" spans="1:11">
      <c r="A435" s="7">
        <v>39854</v>
      </c>
      <c r="B435" s="1">
        <v>486.85</v>
      </c>
      <c r="C435" s="1" t="s">
        <v>29</v>
      </c>
      <c r="D435" s="13">
        <f>VALUE(MID(C435,9,3))</f>
        <v>311</v>
      </c>
      <c r="E435" s="14">
        <f>MONTH(A435)</f>
        <v>2</v>
      </c>
      <c r="G435" s="1" t="s">
        <v>152</v>
      </c>
      <c r="H435" s="1">
        <v>304.06</v>
      </c>
      <c r="I435" s="1" t="s">
        <v>77</v>
      </c>
      <c r="J435" s="13">
        <f>VALUE(MID(I435,1,3))</f>
        <v>213</v>
      </c>
      <c r="K435" s="13">
        <f>VALUE(MID(G435,5,2))</f>
        <v>5</v>
      </c>
    </row>
    <row r="436" spans="1:11">
      <c r="A436" s="7">
        <v>39854</v>
      </c>
      <c r="B436" s="1">
        <v>493.48</v>
      </c>
      <c r="C436" s="1" t="s">
        <v>29</v>
      </c>
      <c r="D436" s="13">
        <f>VALUE(MID(C436,9,3))</f>
        <v>311</v>
      </c>
      <c r="E436" s="14">
        <f>MONTH(A436)</f>
        <v>2</v>
      </c>
      <c r="G436" s="1" t="s">
        <v>152</v>
      </c>
      <c r="H436" s="1">
        <v>170.48</v>
      </c>
      <c r="I436" s="1" t="s">
        <v>77</v>
      </c>
      <c r="J436" s="13">
        <f>VALUE(MID(I436,1,3))</f>
        <v>213</v>
      </c>
      <c r="K436" s="13">
        <f>VALUE(MID(G436,5,2))</f>
        <v>5</v>
      </c>
    </row>
    <row r="437" spans="1:11">
      <c r="A437" s="7">
        <v>39854</v>
      </c>
      <c r="B437" s="1">
        <v>216.91</v>
      </c>
      <c r="C437" s="1" t="s">
        <v>29</v>
      </c>
      <c r="D437" s="13">
        <f>VALUE(MID(C437,9,3))</f>
        <v>311</v>
      </c>
      <c r="E437" s="14">
        <f>MONTH(A437)</f>
        <v>2</v>
      </c>
      <c r="G437" s="1" t="s">
        <v>152</v>
      </c>
      <c r="H437" s="1">
        <v>2542.04</v>
      </c>
      <c r="I437" s="1" t="s">
        <v>77</v>
      </c>
      <c r="J437" s="13">
        <f>VALUE(MID(I437,1,3))</f>
        <v>213</v>
      </c>
      <c r="K437" s="13">
        <f>VALUE(MID(G437,5,2))</f>
        <v>5</v>
      </c>
    </row>
    <row r="438" spans="1:11">
      <c r="A438" s="7">
        <v>39854</v>
      </c>
      <c r="B438" s="1">
        <v>532.99</v>
      </c>
      <c r="C438" s="1" t="s">
        <v>29</v>
      </c>
      <c r="D438" s="13">
        <f>VALUE(MID(C438,9,3))</f>
        <v>311</v>
      </c>
      <c r="E438" s="14">
        <f>MONTH(A438)</f>
        <v>2</v>
      </c>
      <c r="G438" s="1" t="s">
        <v>167</v>
      </c>
      <c r="H438" s="1">
        <v>331.66</v>
      </c>
      <c r="I438" s="1" t="s">
        <v>77</v>
      </c>
      <c r="J438" s="13">
        <f>VALUE(MID(I438,1,3))</f>
        <v>213</v>
      </c>
      <c r="K438" s="13">
        <f>VALUE(MID(G438,5,2))</f>
        <v>6</v>
      </c>
    </row>
    <row r="439" spans="1:11">
      <c r="A439" s="7">
        <v>39854</v>
      </c>
      <c r="B439" s="1">
        <v>835.9</v>
      </c>
      <c r="C439" s="1" t="s">
        <v>29</v>
      </c>
      <c r="D439" s="13">
        <f>VALUE(MID(C439,9,3))</f>
        <v>311</v>
      </c>
      <c r="E439" s="14">
        <f>MONTH(A439)</f>
        <v>2</v>
      </c>
      <c r="G439" s="1" t="s">
        <v>167</v>
      </c>
      <c r="H439" s="1">
        <v>189.68</v>
      </c>
      <c r="I439" s="1" t="s">
        <v>77</v>
      </c>
      <c r="J439" s="13">
        <f>VALUE(MID(I439,1,3))</f>
        <v>213</v>
      </c>
      <c r="K439" s="13">
        <f>VALUE(MID(G439,5,2))</f>
        <v>6</v>
      </c>
    </row>
    <row r="440" spans="1:11">
      <c r="A440" s="7">
        <v>39854</v>
      </c>
      <c r="B440" s="1">
        <v>371.44</v>
      </c>
      <c r="C440" s="1" t="s">
        <v>29</v>
      </c>
      <c r="D440" s="13">
        <f>VALUE(MID(C440,9,3))</f>
        <v>311</v>
      </c>
      <c r="E440" s="14">
        <f>MONTH(A440)</f>
        <v>2</v>
      </c>
      <c r="G440" s="1" t="s">
        <v>167</v>
      </c>
      <c r="H440" s="1">
        <v>1051.6600000000001</v>
      </c>
      <c r="I440" s="1" t="s">
        <v>77</v>
      </c>
      <c r="J440" s="13">
        <f>VALUE(MID(I440,1,3))</f>
        <v>213</v>
      </c>
      <c r="K440" s="13">
        <f>VALUE(MID(G440,5,2))</f>
        <v>6</v>
      </c>
    </row>
    <row r="441" spans="1:11">
      <c r="A441" s="7">
        <v>39854</v>
      </c>
      <c r="B441" s="1">
        <v>256.42</v>
      </c>
      <c r="C441" s="1" t="s">
        <v>29</v>
      </c>
      <c r="D441" s="13">
        <f>VALUE(MID(C441,9,3))</f>
        <v>311</v>
      </c>
      <c r="E441" s="14">
        <f>MONTH(A441)</f>
        <v>2</v>
      </c>
      <c r="G441" s="1" t="s">
        <v>167</v>
      </c>
      <c r="H441" s="1">
        <v>153.46</v>
      </c>
      <c r="I441" s="1" t="s">
        <v>77</v>
      </c>
      <c r="J441" s="13">
        <f>VALUE(MID(I441,1,3))</f>
        <v>213</v>
      </c>
      <c r="K441" s="13">
        <f>VALUE(MID(G441,5,2))</f>
        <v>6</v>
      </c>
    </row>
    <row r="442" spans="1:11">
      <c r="A442" s="7">
        <v>40004</v>
      </c>
      <c r="B442" s="1">
        <v>1881</v>
      </c>
      <c r="C442" s="1" t="s">
        <v>7</v>
      </c>
      <c r="D442" s="13">
        <f>VALUE(MID(C442,9,3))</f>
        <v>311</v>
      </c>
      <c r="E442" s="14">
        <f>MONTH(A442)</f>
        <v>7</v>
      </c>
      <c r="G442" s="1" t="s">
        <v>167</v>
      </c>
      <c r="H442" s="1">
        <v>2542.04</v>
      </c>
      <c r="I442" s="1" t="s">
        <v>77</v>
      </c>
      <c r="J442" s="13">
        <f>VALUE(MID(I442,1,3))</f>
        <v>213</v>
      </c>
      <c r="K442" s="13">
        <f>VALUE(MID(G442,5,2))</f>
        <v>6</v>
      </c>
    </row>
    <row r="443" spans="1:11">
      <c r="A443" s="7">
        <v>40004</v>
      </c>
      <c r="B443" s="1">
        <v>887.33</v>
      </c>
      <c r="C443" s="1" t="s">
        <v>7</v>
      </c>
      <c r="D443" s="13">
        <f>VALUE(MID(C443,9,3))</f>
        <v>311</v>
      </c>
      <c r="E443" s="14">
        <f>MONTH(A443)</f>
        <v>7</v>
      </c>
      <c r="G443" s="1" t="s">
        <v>167</v>
      </c>
      <c r="H443" s="1">
        <v>75.989999999999995</v>
      </c>
      <c r="I443" s="1" t="s">
        <v>77</v>
      </c>
      <c r="J443" s="13">
        <f>VALUE(MID(I443,1,3))</f>
        <v>213</v>
      </c>
      <c r="K443" s="13">
        <f>VALUE(MID(G443,5,2))</f>
        <v>6</v>
      </c>
    </row>
    <row r="444" spans="1:11">
      <c r="A444" s="7">
        <v>40004</v>
      </c>
      <c r="B444" s="1">
        <v>940.5</v>
      </c>
      <c r="C444" s="1" t="s">
        <v>3</v>
      </c>
      <c r="D444" s="13">
        <f>VALUE(MID(C444,9,3))</f>
        <v>311</v>
      </c>
      <c r="E444" s="14">
        <f>MONTH(A444)</f>
        <v>7</v>
      </c>
      <c r="G444" s="1" t="s">
        <v>167</v>
      </c>
      <c r="H444" s="1">
        <v>307.86</v>
      </c>
      <c r="I444" s="1" t="s">
        <v>77</v>
      </c>
      <c r="J444" s="13">
        <f>VALUE(MID(I444,1,3))</f>
        <v>213</v>
      </c>
      <c r="K444" s="13">
        <f>VALUE(MID(G444,5,2))</f>
        <v>6</v>
      </c>
    </row>
    <row r="445" spans="1:11">
      <c r="A445" s="7">
        <v>40004</v>
      </c>
      <c r="B445" s="1">
        <v>501.6</v>
      </c>
      <c r="C445" s="1" t="s">
        <v>3</v>
      </c>
      <c r="D445" s="13">
        <f>VALUE(MID(C445,9,3))</f>
        <v>311</v>
      </c>
      <c r="E445" s="14">
        <f>MONTH(A445)</f>
        <v>7</v>
      </c>
      <c r="G445" s="1" t="s">
        <v>175</v>
      </c>
      <c r="H445" s="1">
        <v>331.66</v>
      </c>
      <c r="I445" s="1" t="s">
        <v>77</v>
      </c>
      <c r="J445" s="13">
        <f>VALUE(MID(I445,1,3))</f>
        <v>213</v>
      </c>
      <c r="K445" s="13">
        <f>VALUE(MID(G445,5,2))</f>
        <v>7</v>
      </c>
    </row>
    <row r="446" spans="1:11">
      <c r="A446" s="7">
        <v>40004</v>
      </c>
      <c r="B446" s="1">
        <v>263.05</v>
      </c>
      <c r="C446" s="1" t="s">
        <v>6</v>
      </c>
      <c r="D446" s="13">
        <f>VALUE(MID(C446,9,3))</f>
        <v>311</v>
      </c>
      <c r="E446" s="14">
        <f>MONTH(A446)</f>
        <v>7</v>
      </c>
      <c r="G446" s="1" t="s">
        <v>175</v>
      </c>
      <c r="H446" s="1">
        <v>734.23</v>
      </c>
      <c r="I446" s="1" t="s">
        <v>77</v>
      </c>
      <c r="J446" s="13">
        <f>VALUE(MID(I446,1,3))</f>
        <v>213</v>
      </c>
      <c r="K446" s="13">
        <f>VALUE(MID(G446,5,2))</f>
        <v>7</v>
      </c>
    </row>
    <row r="447" spans="1:11">
      <c r="A447" s="7">
        <v>40004</v>
      </c>
      <c r="B447" s="1">
        <v>414.46</v>
      </c>
      <c r="C447" s="1" t="s">
        <v>6</v>
      </c>
      <c r="D447" s="13">
        <f>VALUE(MID(C447,9,3))</f>
        <v>311</v>
      </c>
      <c r="E447" s="14">
        <f>MONTH(A447)</f>
        <v>7</v>
      </c>
      <c r="G447" s="1" t="s">
        <v>175</v>
      </c>
      <c r="H447" s="1">
        <v>87.72</v>
      </c>
      <c r="I447" s="1" t="s">
        <v>77</v>
      </c>
      <c r="J447" s="13">
        <f>VALUE(MID(I447,1,3))</f>
        <v>213</v>
      </c>
      <c r="K447" s="13">
        <f>VALUE(MID(G447,5,2))</f>
        <v>7</v>
      </c>
    </row>
    <row r="448" spans="1:11">
      <c r="A448" s="7">
        <v>40004</v>
      </c>
      <c r="B448" s="1">
        <v>705.52</v>
      </c>
      <c r="C448" s="1" t="s">
        <v>6</v>
      </c>
      <c r="D448" s="13">
        <f>VALUE(MID(C448,9,3))</f>
        <v>311</v>
      </c>
      <c r="E448" s="14">
        <f>MONTH(A448)</f>
        <v>7</v>
      </c>
      <c r="G448" s="1" t="s">
        <v>175</v>
      </c>
      <c r="H448" s="1">
        <v>2543.36</v>
      </c>
      <c r="I448" s="1" t="s">
        <v>77</v>
      </c>
      <c r="J448" s="13">
        <f>VALUE(MID(I448,1,3))</f>
        <v>213</v>
      </c>
      <c r="K448" s="13">
        <f>VALUE(MID(G448,5,2))</f>
        <v>7</v>
      </c>
    </row>
    <row r="449" spans="1:11">
      <c r="A449" s="7">
        <v>40004</v>
      </c>
      <c r="B449" s="1">
        <v>381.58</v>
      </c>
      <c r="C449" s="1" t="s">
        <v>6</v>
      </c>
      <c r="D449" s="13">
        <f>VALUE(MID(C449,9,3))</f>
        <v>311</v>
      </c>
      <c r="E449" s="14">
        <f>MONTH(A449)</f>
        <v>7</v>
      </c>
      <c r="G449" s="1" t="s">
        <v>175</v>
      </c>
      <c r="H449" s="1">
        <v>633.29</v>
      </c>
      <c r="I449" s="1" t="s">
        <v>77</v>
      </c>
      <c r="J449" s="13">
        <f>VALUE(MID(I449,1,3))</f>
        <v>213</v>
      </c>
      <c r="K449" s="13">
        <f>VALUE(MID(G449,5,2))</f>
        <v>7</v>
      </c>
    </row>
    <row r="450" spans="1:11">
      <c r="A450" s="7">
        <v>40004</v>
      </c>
      <c r="B450" s="1">
        <v>493.48</v>
      </c>
      <c r="C450" s="1" t="s">
        <v>6</v>
      </c>
      <c r="D450" s="13">
        <f>VALUE(MID(C450,9,3))</f>
        <v>311</v>
      </c>
      <c r="E450" s="14">
        <f>MONTH(A450)</f>
        <v>7</v>
      </c>
      <c r="G450" s="1" t="s">
        <v>175</v>
      </c>
      <c r="H450" s="1">
        <v>98.78</v>
      </c>
      <c r="I450" s="1" t="s">
        <v>77</v>
      </c>
      <c r="J450" s="13">
        <f>VALUE(MID(I450,1,3))</f>
        <v>213</v>
      </c>
      <c r="K450" s="13">
        <f>VALUE(MID(G450,5,2))</f>
        <v>7</v>
      </c>
    </row>
    <row r="451" spans="1:11">
      <c r="A451" s="7">
        <v>40004</v>
      </c>
      <c r="B451" s="1">
        <v>370.63</v>
      </c>
      <c r="C451" s="1" t="s">
        <v>6</v>
      </c>
      <c r="D451" s="13">
        <f>VALUE(MID(C451,9,3))</f>
        <v>311</v>
      </c>
      <c r="E451" s="14">
        <f>MONTH(A451)</f>
        <v>7</v>
      </c>
      <c r="G451" s="1" t="s">
        <v>175</v>
      </c>
      <c r="H451" s="1">
        <v>2068.15</v>
      </c>
      <c r="I451" s="1" t="s">
        <v>77</v>
      </c>
      <c r="J451" s="13">
        <f>VALUE(MID(I451,1,3))</f>
        <v>213</v>
      </c>
      <c r="K451" s="13">
        <f>VALUE(MID(G451,5,2))</f>
        <v>7</v>
      </c>
    </row>
    <row r="452" spans="1:11">
      <c r="A452" s="7">
        <v>40035</v>
      </c>
      <c r="B452" s="1">
        <v>202.78</v>
      </c>
      <c r="C452" s="1" t="s">
        <v>6</v>
      </c>
      <c r="D452" s="13">
        <f>VALUE(MID(C452,9,3))</f>
        <v>311</v>
      </c>
      <c r="E452" s="14">
        <f>MONTH(A452)</f>
        <v>8</v>
      </c>
      <c r="G452" s="1" t="s">
        <v>175</v>
      </c>
      <c r="H452" s="1">
        <v>2592.38</v>
      </c>
      <c r="I452" s="1" t="s">
        <v>77</v>
      </c>
      <c r="J452" s="13">
        <f>VALUE(MID(I452,1,3))</f>
        <v>213</v>
      </c>
      <c r="K452" s="13">
        <f>VALUE(MID(G452,5,2))</f>
        <v>7</v>
      </c>
    </row>
    <row r="453" spans="1:11">
      <c r="A453" s="7">
        <v>40066</v>
      </c>
      <c r="B453" s="1">
        <v>230.5</v>
      </c>
      <c r="C453" s="1" t="s">
        <v>42</v>
      </c>
      <c r="D453" s="13">
        <f>VALUE(MID(C453,9,3))</f>
        <v>311</v>
      </c>
      <c r="E453" s="14">
        <f>MONTH(A453)</f>
        <v>9</v>
      </c>
      <c r="G453" s="1" t="s">
        <v>187</v>
      </c>
      <c r="H453" s="1">
        <v>338.22</v>
      </c>
      <c r="I453" s="1" t="s">
        <v>77</v>
      </c>
      <c r="J453" s="13">
        <f>VALUE(MID(I453,1,3))</f>
        <v>213</v>
      </c>
      <c r="K453" s="13">
        <f>VALUE(MID(G453,5,2))</f>
        <v>9</v>
      </c>
    </row>
    <row r="454" spans="1:11">
      <c r="A454" s="7">
        <v>40066</v>
      </c>
      <c r="B454" s="1">
        <v>230.5</v>
      </c>
      <c r="C454" s="1" t="s">
        <v>42</v>
      </c>
      <c r="D454" s="13">
        <f>VALUE(MID(C454,9,3))</f>
        <v>311</v>
      </c>
      <c r="E454" s="14">
        <f>MONTH(A454)</f>
        <v>9</v>
      </c>
      <c r="G454" s="1" t="s">
        <v>187</v>
      </c>
      <c r="H454" s="1">
        <v>275.91000000000003</v>
      </c>
      <c r="I454" s="1" t="s">
        <v>77</v>
      </c>
      <c r="J454" s="13">
        <f>VALUE(MID(I454,1,3))</f>
        <v>213</v>
      </c>
      <c r="K454" s="13">
        <f>VALUE(MID(G454,5,2))</f>
        <v>9</v>
      </c>
    </row>
    <row r="455" spans="1:11">
      <c r="A455" s="7">
        <v>40066</v>
      </c>
      <c r="B455" s="1">
        <v>1246.3499999999999</v>
      </c>
      <c r="C455" s="1" t="s">
        <v>8</v>
      </c>
      <c r="D455" s="13">
        <f>VALUE(MID(C455,9,3))</f>
        <v>311</v>
      </c>
      <c r="E455" s="14">
        <f>MONTH(A455)</f>
        <v>9</v>
      </c>
      <c r="G455" s="1" t="s">
        <v>187</v>
      </c>
      <c r="H455" s="1">
        <v>779.27</v>
      </c>
      <c r="I455" s="1" t="s">
        <v>77</v>
      </c>
      <c r="J455" s="13">
        <f>VALUE(MID(I455,1,3))</f>
        <v>213</v>
      </c>
      <c r="K455" s="13">
        <f>VALUE(MID(G455,5,2))</f>
        <v>9</v>
      </c>
    </row>
    <row r="456" spans="1:11">
      <c r="A456" s="7">
        <v>40066</v>
      </c>
      <c r="B456" s="1">
        <v>663.95</v>
      </c>
      <c r="C456" s="1" t="s">
        <v>12</v>
      </c>
      <c r="D456" s="13">
        <f>VALUE(MID(C456,9,3))</f>
        <v>311</v>
      </c>
      <c r="E456" s="14">
        <f>MONTH(A456)</f>
        <v>9</v>
      </c>
      <c r="G456" s="1" t="s">
        <v>187</v>
      </c>
      <c r="H456" s="1">
        <v>523.42999999999995</v>
      </c>
      <c r="I456" s="1" t="s">
        <v>77</v>
      </c>
      <c r="J456" s="13">
        <f>VALUE(MID(I456,1,3))</f>
        <v>213</v>
      </c>
      <c r="K456" s="13">
        <f>VALUE(MID(G456,5,2))</f>
        <v>9</v>
      </c>
    </row>
    <row r="457" spans="1:11">
      <c r="A457" s="7">
        <v>40066</v>
      </c>
      <c r="B457" s="1">
        <v>460.7</v>
      </c>
      <c r="C457" s="1" t="s">
        <v>12</v>
      </c>
      <c r="D457" s="13">
        <f>VALUE(MID(C457,9,3))</f>
        <v>311</v>
      </c>
      <c r="E457" s="14">
        <f>MONTH(A457)</f>
        <v>9</v>
      </c>
      <c r="G457" s="1" t="s">
        <v>187</v>
      </c>
      <c r="H457" s="1">
        <v>247.61</v>
      </c>
      <c r="I457" s="1" t="s">
        <v>77</v>
      </c>
      <c r="J457" s="13">
        <f>VALUE(MID(I457,1,3))</f>
        <v>213</v>
      </c>
      <c r="K457" s="13">
        <f>VALUE(MID(G457,5,2))</f>
        <v>9</v>
      </c>
    </row>
    <row r="458" spans="1:11">
      <c r="A458" s="7">
        <v>40066</v>
      </c>
      <c r="B458" s="1">
        <v>596.20000000000005</v>
      </c>
      <c r="C458" s="1" t="s">
        <v>12</v>
      </c>
      <c r="D458" s="13">
        <f>VALUE(MID(C458,9,3))</f>
        <v>311</v>
      </c>
      <c r="E458" s="14">
        <f>MONTH(A458)</f>
        <v>9</v>
      </c>
      <c r="G458" s="1" t="s">
        <v>187</v>
      </c>
      <c r="H458" s="1">
        <v>2592.38</v>
      </c>
      <c r="I458" s="1" t="s">
        <v>77</v>
      </c>
      <c r="J458" s="13">
        <f>VALUE(MID(I458,1,3))</f>
        <v>213</v>
      </c>
      <c r="K458" s="13">
        <f>VALUE(MID(G458,5,2))</f>
        <v>9</v>
      </c>
    </row>
    <row r="459" spans="1:11">
      <c r="A459" s="7">
        <v>40066</v>
      </c>
      <c r="B459" s="1">
        <v>544.9</v>
      </c>
      <c r="C459" s="1" t="s">
        <v>12</v>
      </c>
      <c r="D459" s="13">
        <f>VALUE(MID(C459,9,3))</f>
        <v>311</v>
      </c>
      <c r="E459" s="14">
        <f>MONTH(A459)</f>
        <v>9</v>
      </c>
      <c r="G459" s="1" t="s">
        <v>187</v>
      </c>
      <c r="H459" s="1">
        <v>2470.0500000000002</v>
      </c>
      <c r="I459" s="1" t="s">
        <v>77</v>
      </c>
      <c r="J459" s="13">
        <f>VALUE(MID(I459,1,3))</f>
        <v>213</v>
      </c>
      <c r="K459" s="13">
        <f>VALUE(MID(G459,5,2))</f>
        <v>9</v>
      </c>
    </row>
    <row r="460" spans="1:11">
      <c r="A460" s="7">
        <v>40066</v>
      </c>
      <c r="B460" s="1">
        <v>620.58000000000004</v>
      </c>
      <c r="C460" s="1" t="s">
        <v>12</v>
      </c>
      <c r="D460" s="13">
        <f>VALUE(MID(C460,9,3))</f>
        <v>311</v>
      </c>
      <c r="E460" s="14">
        <f>MONTH(A460)</f>
        <v>9</v>
      </c>
      <c r="G460" s="1" t="s">
        <v>192</v>
      </c>
      <c r="H460" s="1">
        <v>338.22</v>
      </c>
      <c r="I460" s="1" t="s">
        <v>77</v>
      </c>
      <c r="J460" s="13">
        <f>VALUE(MID(I460,1,3))</f>
        <v>213</v>
      </c>
      <c r="K460" s="13">
        <f>VALUE(MID(G460,5,2))</f>
        <v>9</v>
      </c>
    </row>
    <row r="461" spans="1:11">
      <c r="A461" s="7">
        <v>40066</v>
      </c>
      <c r="B461" s="1">
        <v>973.14</v>
      </c>
      <c r="C461" s="1" t="s">
        <v>13</v>
      </c>
      <c r="D461" s="13">
        <f>VALUE(MID(C461,9,3))</f>
        <v>311</v>
      </c>
      <c r="E461" s="14">
        <f>MONTH(A461)</f>
        <v>9</v>
      </c>
      <c r="G461" s="1" t="s">
        <v>192</v>
      </c>
      <c r="H461" s="1">
        <v>11.65</v>
      </c>
      <c r="I461" s="1" t="s">
        <v>77</v>
      </c>
      <c r="J461" s="13">
        <f>VALUE(MID(I461,1,3))</f>
        <v>213</v>
      </c>
      <c r="K461" s="13">
        <f>VALUE(MID(G461,5,2))</f>
        <v>9</v>
      </c>
    </row>
    <row r="462" spans="1:11">
      <c r="A462" s="7">
        <v>40066</v>
      </c>
      <c r="B462" s="1">
        <v>395.34</v>
      </c>
      <c r="C462" s="1" t="s">
        <v>13</v>
      </c>
      <c r="D462" s="13">
        <f>VALUE(MID(C462,9,3))</f>
        <v>311</v>
      </c>
      <c r="E462" s="14">
        <f>MONTH(A462)</f>
        <v>9</v>
      </c>
      <c r="G462" s="1" t="s">
        <v>192</v>
      </c>
      <c r="H462" s="1">
        <v>2592.38</v>
      </c>
      <c r="I462" s="1" t="s">
        <v>77</v>
      </c>
      <c r="J462" s="13">
        <f>VALUE(MID(I462,1,3))</f>
        <v>213</v>
      </c>
      <c r="K462" s="13">
        <f>VALUE(MID(G462,5,2))</f>
        <v>9</v>
      </c>
    </row>
    <row r="463" spans="1:11">
      <c r="A463" s="7">
        <v>40066</v>
      </c>
      <c r="B463" s="1">
        <v>565.59</v>
      </c>
      <c r="C463" s="1" t="s">
        <v>13</v>
      </c>
      <c r="D463" s="13">
        <f>VALUE(MID(C463,9,3))</f>
        <v>311</v>
      </c>
      <c r="E463" s="14">
        <f>MONTH(A463)</f>
        <v>9</v>
      </c>
      <c r="G463" s="1" t="s">
        <v>192</v>
      </c>
      <c r="H463" s="1">
        <v>424.47</v>
      </c>
      <c r="I463" s="1" t="s">
        <v>77</v>
      </c>
      <c r="J463" s="13">
        <f>VALUE(MID(I463,1,3))</f>
        <v>213</v>
      </c>
      <c r="K463" s="13">
        <f>VALUE(MID(G463,5,2))</f>
        <v>9</v>
      </c>
    </row>
    <row r="464" spans="1:11">
      <c r="A464" s="7">
        <v>40066</v>
      </c>
      <c r="B464" s="1">
        <v>658.35</v>
      </c>
      <c r="C464" s="1" t="s">
        <v>13</v>
      </c>
      <c r="D464" s="13">
        <f>VALUE(MID(C464,9,3))</f>
        <v>311</v>
      </c>
      <c r="E464" s="14">
        <f>MONTH(A464)</f>
        <v>9</v>
      </c>
      <c r="G464" s="1" t="s">
        <v>192</v>
      </c>
      <c r="H464" s="1">
        <v>160.34</v>
      </c>
      <c r="I464" s="1" t="s">
        <v>77</v>
      </c>
      <c r="J464" s="13">
        <f>VALUE(MID(I464,1,3))</f>
        <v>213</v>
      </c>
      <c r="K464" s="13">
        <f>VALUE(MID(G464,5,2))</f>
        <v>9</v>
      </c>
    </row>
    <row r="465" spans="1:11">
      <c r="A465" s="7">
        <v>40066</v>
      </c>
      <c r="B465" s="1">
        <v>830.78</v>
      </c>
      <c r="C465" s="1" t="s">
        <v>13</v>
      </c>
      <c r="D465" s="13">
        <f>VALUE(MID(C465,9,3))</f>
        <v>311</v>
      </c>
      <c r="E465" s="14">
        <f>MONTH(A465)</f>
        <v>9</v>
      </c>
      <c r="G465" s="1" t="s">
        <v>203</v>
      </c>
      <c r="H465" s="1">
        <v>1457.59</v>
      </c>
      <c r="I465" s="1" t="s">
        <v>77</v>
      </c>
      <c r="J465" s="13">
        <f>VALUE(MID(I465,1,3))</f>
        <v>213</v>
      </c>
      <c r="K465" s="13">
        <f>VALUE(MID(G465,5,2))</f>
        <v>10</v>
      </c>
    </row>
    <row r="466" spans="1:11">
      <c r="A466" s="7">
        <v>40066</v>
      </c>
      <c r="B466" s="1">
        <v>1065.9000000000001</v>
      </c>
      <c r="C466" s="1" t="s">
        <v>3</v>
      </c>
      <c r="D466" s="13">
        <f>VALUE(MID(C466,9,3))</f>
        <v>311</v>
      </c>
      <c r="E466" s="14">
        <f>MONTH(A466)</f>
        <v>9</v>
      </c>
      <c r="G466" s="1" t="s">
        <v>203</v>
      </c>
      <c r="H466" s="1">
        <v>338.22</v>
      </c>
      <c r="I466" s="1" t="s">
        <v>77</v>
      </c>
      <c r="J466" s="13">
        <f>VALUE(MID(I466,1,3))</f>
        <v>213</v>
      </c>
      <c r="K466" s="13">
        <f>VALUE(MID(G466,5,2))</f>
        <v>10</v>
      </c>
    </row>
    <row r="467" spans="1:11">
      <c r="A467" s="7">
        <v>40066</v>
      </c>
      <c r="B467" s="1">
        <v>494.25</v>
      </c>
      <c r="C467" s="1" t="s">
        <v>3</v>
      </c>
      <c r="D467" s="13">
        <f>VALUE(MID(C467,9,3))</f>
        <v>311</v>
      </c>
      <c r="E467" s="14">
        <f>MONTH(A467)</f>
        <v>9</v>
      </c>
      <c r="G467" s="1" t="s">
        <v>203</v>
      </c>
      <c r="H467" s="1">
        <v>2543.36</v>
      </c>
      <c r="I467" s="1" t="s">
        <v>77</v>
      </c>
      <c r="J467" s="13">
        <f>VALUE(MID(I467,1,3))</f>
        <v>213</v>
      </c>
      <c r="K467" s="13">
        <f>VALUE(MID(G467,5,2))</f>
        <v>10</v>
      </c>
    </row>
    <row r="468" spans="1:11">
      <c r="A468" s="7">
        <v>40066</v>
      </c>
      <c r="B468" s="1">
        <v>1065.9000000000001</v>
      </c>
      <c r="C468" s="1" t="s">
        <v>3</v>
      </c>
      <c r="D468" s="13">
        <f>VALUE(MID(C468,9,3))</f>
        <v>311</v>
      </c>
      <c r="E468" s="14">
        <f>MONTH(A468)</f>
        <v>9</v>
      </c>
      <c r="G468" s="1" t="s">
        <v>203</v>
      </c>
      <c r="H468" s="1">
        <v>144.08000000000001</v>
      </c>
      <c r="I468" s="1" t="s">
        <v>77</v>
      </c>
      <c r="J468" s="13">
        <f>VALUE(MID(I468,1,3))</f>
        <v>213</v>
      </c>
      <c r="K468" s="13">
        <f>VALUE(MID(G468,5,2))</f>
        <v>10</v>
      </c>
    </row>
    <row r="469" spans="1:11">
      <c r="A469" s="7">
        <v>40066</v>
      </c>
      <c r="B469" s="1">
        <v>940.5</v>
      </c>
      <c r="C469" s="1" t="s">
        <v>3</v>
      </c>
      <c r="D469" s="13">
        <f>VALUE(MID(C469,9,3))</f>
        <v>311</v>
      </c>
      <c r="E469" s="14">
        <f>MONTH(A469)</f>
        <v>9</v>
      </c>
      <c r="G469" s="1" t="s">
        <v>203</v>
      </c>
      <c r="H469" s="1">
        <v>2592.38</v>
      </c>
      <c r="I469" s="1" t="s">
        <v>77</v>
      </c>
      <c r="J469" s="13">
        <f>VALUE(MID(I469,1,3))</f>
        <v>213</v>
      </c>
      <c r="K469" s="13">
        <f>VALUE(MID(G469,5,2))</f>
        <v>10</v>
      </c>
    </row>
    <row r="470" spans="1:11">
      <c r="A470" s="7">
        <v>40066</v>
      </c>
      <c r="B470" s="1">
        <v>990.59</v>
      </c>
      <c r="C470" s="1" t="s">
        <v>5</v>
      </c>
      <c r="D470" s="13">
        <f>VALUE(MID(C470,9,3))</f>
        <v>311</v>
      </c>
      <c r="E470" s="14">
        <f>MONTH(A470)</f>
        <v>9</v>
      </c>
      <c r="G470" s="1" t="s">
        <v>203</v>
      </c>
      <c r="H470" s="1">
        <v>61.88</v>
      </c>
      <c r="I470" s="1" t="s">
        <v>77</v>
      </c>
      <c r="J470" s="13">
        <f>VALUE(MID(I470,1,3))</f>
        <v>213</v>
      </c>
      <c r="K470" s="13">
        <f>VALUE(MID(G470,5,2))</f>
        <v>10</v>
      </c>
    </row>
    <row r="471" spans="1:11">
      <c r="A471" s="7">
        <v>40066</v>
      </c>
      <c r="B471" s="1">
        <v>437.44</v>
      </c>
      <c r="C471" s="1" t="s">
        <v>5</v>
      </c>
      <c r="D471" s="13">
        <f>VALUE(MID(C471,9,3))</f>
        <v>311</v>
      </c>
      <c r="E471" s="14">
        <f>MONTH(A471)</f>
        <v>9</v>
      </c>
      <c r="G471" s="1" t="s">
        <v>203</v>
      </c>
      <c r="H471" s="1">
        <v>106.06</v>
      </c>
      <c r="I471" s="1" t="s">
        <v>77</v>
      </c>
      <c r="J471" s="13">
        <f>VALUE(MID(I471,1,3))</f>
        <v>213</v>
      </c>
      <c r="K471" s="13">
        <f>VALUE(MID(G471,5,2))</f>
        <v>10</v>
      </c>
    </row>
    <row r="472" spans="1:11">
      <c r="A472" s="7">
        <v>40066</v>
      </c>
      <c r="B472" s="1">
        <v>437.44</v>
      </c>
      <c r="C472" s="1" t="s">
        <v>5</v>
      </c>
      <c r="D472" s="13">
        <f>VALUE(MID(C472,9,3))</f>
        <v>311</v>
      </c>
      <c r="E472" s="14">
        <f>MONTH(A472)</f>
        <v>9</v>
      </c>
      <c r="G472" s="1" t="s">
        <v>210</v>
      </c>
      <c r="H472" s="1">
        <v>14.04</v>
      </c>
      <c r="I472" s="1" t="s">
        <v>77</v>
      </c>
      <c r="J472" s="13">
        <f>VALUE(MID(I472,1,3))</f>
        <v>213</v>
      </c>
      <c r="K472" s="13">
        <f>VALUE(MID(G472,5,2))</f>
        <v>11</v>
      </c>
    </row>
    <row r="473" spans="1:11">
      <c r="A473" s="7">
        <v>40066</v>
      </c>
      <c r="B473" s="1">
        <v>742.37</v>
      </c>
      <c r="C473" s="1" t="s">
        <v>6</v>
      </c>
      <c r="D473" s="13">
        <f>VALUE(MID(C473,9,3))</f>
        <v>311</v>
      </c>
      <c r="E473" s="14">
        <f>MONTH(A473)</f>
        <v>9</v>
      </c>
      <c r="G473" s="1" t="s">
        <v>210</v>
      </c>
      <c r="H473" s="1">
        <v>338.22</v>
      </c>
      <c r="I473" s="1" t="s">
        <v>77</v>
      </c>
      <c r="J473" s="13">
        <f>VALUE(MID(I473,1,3))</f>
        <v>213</v>
      </c>
      <c r="K473" s="13">
        <f>VALUE(MID(G473,5,2))</f>
        <v>11</v>
      </c>
    </row>
    <row r="474" spans="1:11">
      <c r="A474" s="7">
        <v>40066</v>
      </c>
      <c r="B474" s="1">
        <v>888.58</v>
      </c>
      <c r="C474" s="1" t="s">
        <v>6</v>
      </c>
      <c r="D474" s="13">
        <f>VALUE(MID(C474,9,3))</f>
        <v>311</v>
      </c>
      <c r="E474" s="14">
        <f>MONTH(A474)</f>
        <v>9</v>
      </c>
      <c r="G474" s="1" t="s">
        <v>210</v>
      </c>
      <c r="H474" s="1">
        <v>1105.45</v>
      </c>
      <c r="I474" s="1" t="s">
        <v>77</v>
      </c>
      <c r="J474" s="13">
        <f>VALUE(MID(I474,1,3))</f>
        <v>213</v>
      </c>
      <c r="K474" s="13">
        <f>VALUE(MID(G474,5,2))</f>
        <v>11</v>
      </c>
    </row>
    <row r="475" spans="1:11">
      <c r="A475" s="7">
        <v>40066</v>
      </c>
      <c r="B475" s="1">
        <v>80</v>
      </c>
      <c r="C475" s="1" t="s">
        <v>18</v>
      </c>
      <c r="D475" s="13">
        <f>VALUE(MID(C475,9,3))</f>
        <v>311</v>
      </c>
      <c r="E475" s="14">
        <f>MONTH(A475)</f>
        <v>9</v>
      </c>
      <c r="G475" s="1" t="s">
        <v>210</v>
      </c>
      <c r="H475" s="1">
        <v>36.409999999999997</v>
      </c>
      <c r="I475" s="1" t="s">
        <v>77</v>
      </c>
      <c r="J475" s="13">
        <f>VALUE(MID(I475,1,3))</f>
        <v>213</v>
      </c>
      <c r="K475" s="13">
        <f>VALUE(MID(G475,5,2))</f>
        <v>11</v>
      </c>
    </row>
    <row r="476" spans="1:11">
      <c r="A476" s="7">
        <v>40127</v>
      </c>
      <c r="B476" s="1">
        <v>80</v>
      </c>
      <c r="C476" s="1" t="s">
        <v>18</v>
      </c>
      <c r="D476" s="13">
        <f>VALUE(MID(C476,9,3))</f>
        <v>311</v>
      </c>
      <c r="E476" s="14">
        <f>MONTH(A476)</f>
        <v>11</v>
      </c>
      <c r="G476" s="1" t="s">
        <v>210</v>
      </c>
      <c r="H476" s="1">
        <v>44.89</v>
      </c>
      <c r="I476" s="1" t="s">
        <v>77</v>
      </c>
      <c r="J476" s="13">
        <f>VALUE(MID(I476,1,3))</f>
        <v>213</v>
      </c>
      <c r="K476" s="13">
        <f>VALUE(MID(G476,5,2))</f>
        <v>11</v>
      </c>
    </row>
    <row r="477" spans="1:11">
      <c r="A477" s="7">
        <v>40127</v>
      </c>
      <c r="B477" s="1">
        <v>80</v>
      </c>
      <c r="C477" s="1" t="s">
        <v>18</v>
      </c>
      <c r="D477" s="13">
        <f>VALUE(MID(C477,9,3))</f>
        <v>311</v>
      </c>
      <c r="E477" s="14">
        <f>MONTH(A477)</f>
        <v>11</v>
      </c>
      <c r="G477" s="1" t="s">
        <v>210</v>
      </c>
      <c r="H477" s="1">
        <v>2592.38</v>
      </c>
      <c r="I477" s="1" t="s">
        <v>77</v>
      </c>
      <c r="J477" s="13">
        <f>VALUE(MID(I477,1,3))</f>
        <v>213</v>
      </c>
      <c r="K477" s="13">
        <f>VALUE(MID(G477,5,2))</f>
        <v>11</v>
      </c>
    </row>
    <row r="478" spans="1:11">
      <c r="A478" s="7">
        <v>40127</v>
      </c>
      <c r="B478" s="1">
        <v>15</v>
      </c>
      <c r="C478" s="1" t="s">
        <v>18</v>
      </c>
      <c r="D478" s="13">
        <f>VALUE(MID(C478,9,3))</f>
        <v>311</v>
      </c>
      <c r="E478" s="14">
        <f>MONTH(A478)</f>
        <v>11</v>
      </c>
      <c r="G478" s="1" t="s">
        <v>210</v>
      </c>
      <c r="H478" s="1">
        <v>2245.5</v>
      </c>
      <c r="I478" s="1" t="s">
        <v>77</v>
      </c>
      <c r="J478" s="13">
        <f>VALUE(MID(I478,1,3))</f>
        <v>213</v>
      </c>
      <c r="K478" s="13">
        <f>VALUE(MID(G478,5,2))</f>
        <v>11</v>
      </c>
    </row>
    <row r="479" spans="1:11">
      <c r="A479" s="7">
        <v>40127</v>
      </c>
      <c r="B479" s="1">
        <v>80</v>
      </c>
      <c r="C479" s="1" t="s">
        <v>18</v>
      </c>
      <c r="D479" s="13">
        <f>VALUE(MID(C479,9,3))</f>
        <v>311</v>
      </c>
      <c r="E479" s="14">
        <f>MONTH(A479)</f>
        <v>11</v>
      </c>
      <c r="G479" s="1" t="s">
        <v>210</v>
      </c>
      <c r="H479" s="1">
        <v>317.49</v>
      </c>
      <c r="I479" s="1" t="s">
        <v>77</v>
      </c>
      <c r="J479" s="13">
        <f>VALUE(MID(I479,1,3))</f>
        <v>213</v>
      </c>
      <c r="K479" s="13">
        <f>VALUE(MID(G479,5,2))</f>
        <v>11</v>
      </c>
    </row>
    <row r="480" spans="1:11">
      <c r="A480" s="7">
        <v>39855</v>
      </c>
      <c r="B480" s="1">
        <v>1020.16</v>
      </c>
      <c r="C480" s="1" t="s">
        <v>13</v>
      </c>
      <c r="D480" s="13">
        <f>VALUE(MID(C480,9,3))</f>
        <v>311</v>
      </c>
      <c r="E480" s="14">
        <f>MONTH(A480)</f>
        <v>2</v>
      </c>
      <c r="G480" s="1" t="s">
        <v>219</v>
      </c>
      <c r="H480" s="1">
        <v>338.22</v>
      </c>
      <c r="I480" s="1" t="s">
        <v>77</v>
      </c>
      <c r="J480" s="13">
        <f>VALUE(MID(I480,1,3))</f>
        <v>213</v>
      </c>
      <c r="K480" s="13">
        <f>VALUE(MID(G480,5,2))</f>
        <v>12</v>
      </c>
    </row>
    <row r="481" spans="1:11">
      <c r="A481" s="7">
        <v>39855</v>
      </c>
      <c r="B481" s="1">
        <v>454.57</v>
      </c>
      <c r="C481" s="1" t="s">
        <v>3</v>
      </c>
      <c r="D481" s="13">
        <f>VALUE(MID(C481,9,3))</f>
        <v>311</v>
      </c>
      <c r="E481" s="14">
        <f>MONTH(A481)</f>
        <v>2</v>
      </c>
      <c r="G481" s="1" t="s">
        <v>219</v>
      </c>
      <c r="H481" s="1">
        <v>887.13</v>
      </c>
      <c r="I481" s="1" t="s">
        <v>77</v>
      </c>
      <c r="J481" s="13">
        <f>VALUE(MID(I481,1,3))</f>
        <v>213</v>
      </c>
      <c r="K481" s="13">
        <f>VALUE(MID(G481,5,2))</f>
        <v>12</v>
      </c>
    </row>
    <row r="482" spans="1:11">
      <c r="A482" s="7">
        <v>39855</v>
      </c>
      <c r="B482" s="1">
        <v>282.14999999999998</v>
      </c>
      <c r="C482" s="1" t="s">
        <v>3</v>
      </c>
      <c r="D482" s="13">
        <f>VALUE(MID(C482,9,3))</f>
        <v>311</v>
      </c>
      <c r="E482" s="14">
        <f>MONTH(A482)</f>
        <v>2</v>
      </c>
      <c r="G482" s="1" t="s">
        <v>219</v>
      </c>
      <c r="H482" s="1">
        <v>19.59</v>
      </c>
      <c r="I482" s="1" t="s">
        <v>77</v>
      </c>
      <c r="J482" s="13">
        <f>VALUE(MID(I482,1,3))</f>
        <v>213</v>
      </c>
      <c r="K482" s="13">
        <f>VALUE(MID(G482,5,2))</f>
        <v>12</v>
      </c>
    </row>
    <row r="483" spans="1:11">
      <c r="A483" s="7">
        <v>39855</v>
      </c>
      <c r="B483" s="1">
        <v>335.44</v>
      </c>
      <c r="C483" s="1" t="s">
        <v>29</v>
      </c>
      <c r="D483" s="13">
        <f>VALUE(MID(C483,9,3))</f>
        <v>311</v>
      </c>
      <c r="E483" s="14">
        <f>MONTH(A483)</f>
        <v>2</v>
      </c>
      <c r="G483" s="1" t="s">
        <v>219</v>
      </c>
      <c r="H483" s="1">
        <v>2592.38</v>
      </c>
      <c r="I483" s="1" t="s">
        <v>77</v>
      </c>
      <c r="J483" s="13">
        <f>VALUE(MID(I483,1,3))</f>
        <v>213</v>
      </c>
      <c r="K483" s="13">
        <f>VALUE(MID(G483,5,2))</f>
        <v>12</v>
      </c>
    </row>
    <row r="484" spans="1:11">
      <c r="A484" s="7">
        <v>39855</v>
      </c>
      <c r="B484" s="1">
        <v>335.44</v>
      </c>
      <c r="C484" s="1" t="s">
        <v>29</v>
      </c>
      <c r="D484" s="13">
        <f>VALUE(MID(C484,9,3))</f>
        <v>311</v>
      </c>
      <c r="E484" s="14">
        <f>MONTH(A484)</f>
        <v>2</v>
      </c>
      <c r="G484" s="1" t="s">
        <v>219</v>
      </c>
      <c r="H484" s="1">
        <v>232.72</v>
      </c>
      <c r="I484" s="1" t="s">
        <v>77</v>
      </c>
      <c r="J484" s="13">
        <f>VALUE(MID(I484,1,3))</f>
        <v>213</v>
      </c>
      <c r="K484" s="13">
        <f>VALUE(MID(G484,5,2))</f>
        <v>12</v>
      </c>
    </row>
    <row r="485" spans="1:11">
      <c r="A485" s="7">
        <v>39855</v>
      </c>
      <c r="B485" s="1">
        <v>216.91</v>
      </c>
      <c r="C485" s="1" t="s">
        <v>29</v>
      </c>
      <c r="D485" s="13">
        <f>VALUE(MID(C485,9,3))</f>
        <v>311</v>
      </c>
      <c r="E485" s="14">
        <f>MONTH(A485)</f>
        <v>2</v>
      </c>
      <c r="G485" s="1" t="s">
        <v>219</v>
      </c>
      <c r="H485" s="1">
        <v>247</v>
      </c>
      <c r="I485" s="1" t="s">
        <v>77</v>
      </c>
      <c r="J485" s="13">
        <f>VALUE(MID(I485,1,3))</f>
        <v>213</v>
      </c>
      <c r="K485" s="13">
        <f>VALUE(MID(G485,5,2))</f>
        <v>12</v>
      </c>
    </row>
    <row r="486" spans="1:11">
      <c r="A486" s="7">
        <v>39855</v>
      </c>
      <c r="B486" s="1">
        <v>338.33</v>
      </c>
      <c r="C486" s="1" t="s">
        <v>29</v>
      </c>
      <c r="D486" s="13">
        <f>VALUE(MID(C486,9,3))</f>
        <v>311</v>
      </c>
      <c r="E486" s="14">
        <f>MONTH(A486)</f>
        <v>2</v>
      </c>
      <c r="G486" s="1" t="s">
        <v>219</v>
      </c>
      <c r="H486" s="1">
        <v>66.91</v>
      </c>
      <c r="I486" s="1" t="s">
        <v>77</v>
      </c>
      <c r="J486" s="13">
        <f>VALUE(MID(I486,1,3))</f>
        <v>213</v>
      </c>
      <c r="K486" s="13">
        <f>VALUE(MID(G486,5,2))</f>
        <v>12</v>
      </c>
    </row>
    <row r="487" spans="1:11">
      <c r="A487" s="7">
        <v>39855</v>
      </c>
      <c r="B487" s="1">
        <v>256.42</v>
      </c>
      <c r="C487" s="1" t="s">
        <v>29</v>
      </c>
      <c r="D487" s="13">
        <f>VALUE(MID(C487,9,3))</f>
        <v>311</v>
      </c>
      <c r="E487" s="14">
        <f>MONTH(A487)</f>
        <v>2</v>
      </c>
      <c r="G487" s="1" t="s">
        <v>226</v>
      </c>
      <c r="H487" s="1">
        <v>43.04</v>
      </c>
      <c r="I487" s="1" t="s">
        <v>77</v>
      </c>
      <c r="J487" s="13">
        <f>VALUE(MID(I487,1,3))</f>
        <v>213</v>
      </c>
      <c r="K487" s="13">
        <f>VALUE(MID(G487,5,2))</f>
        <v>1</v>
      </c>
    </row>
    <row r="488" spans="1:11">
      <c r="A488" s="7">
        <v>39855</v>
      </c>
      <c r="B488" s="1">
        <v>532.99</v>
      </c>
      <c r="C488" s="1" t="s">
        <v>29</v>
      </c>
      <c r="D488" s="13">
        <f>VALUE(MID(C488,9,3))</f>
        <v>311</v>
      </c>
      <c r="E488" s="14">
        <f>MONTH(A488)</f>
        <v>2</v>
      </c>
      <c r="G488" s="1" t="s">
        <v>226</v>
      </c>
      <c r="H488" s="1">
        <v>1306.76</v>
      </c>
      <c r="I488" s="1" t="s">
        <v>77</v>
      </c>
      <c r="J488" s="13">
        <f>VALUE(MID(I488,1,3))</f>
        <v>213</v>
      </c>
      <c r="K488" s="13">
        <f>VALUE(MID(G488,5,2))</f>
        <v>1</v>
      </c>
    </row>
    <row r="489" spans="1:11">
      <c r="A489" s="7">
        <v>39855</v>
      </c>
      <c r="B489" s="1">
        <v>572.5</v>
      </c>
      <c r="C489" s="1" t="s">
        <v>29</v>
      </c>
      <c r="D489" s="13">
        <f>VALUE(MID(C489,9,3))</f>
        <v>311</v>
      </c>
      <c r="E489" s="14">
        <f>MONTH(A489)</f>
        <v>2</v>
      </c>
      <c r="G489" s="1" t="s">
        <v>226</v>
      </c>
      <c r="H489" s="1">
        <v>338.22</v>
      </c>
      <c r="I489" s="1" t="s">
        <v>77</v>
      </c>
      <c r="J489" s="13">
        <f>VALUE(MID(I489,1,3))</f>
        <v>213</v>
      </c>
      <c r="K489" s="13">
        <f>VALUE(MID(G489,5,2))</f>
        <v>1</v>
      </c>
    </row>
    <row r="490" spans="1:11">
      <c r="A490" s="7">
        <v>39855</v>
      </c>
      <c r="B490" s="1">
        <v>374.95</v>
      </c>
      <c r="C490" s="1" t="s">
        <v>29</v>
      </c>
      <c r="D490" s="13">
        <f>VALUE(MID(C490,9,3))</f>
        <v>311</v>
      </c>
      <c r="E490" s="14">
        <f>MONTH(A490)</f>
        <v>2</v>
      </c>
      <c r="G490" s="1" t="s">
        <v>226</v>
      </c>
      <c r="H490" s="1">
        <v>589.66999999999996</v>
      </c>
      <c r="I490" s="1" t="s">
        <v>77</v>
      </c>
      <c r="J490" s="13">
        <f>VALUE(MID(I490,1,3))</f>
        <v>213</v>
      </c>
      <c r="K490" s="13">
        <f>VALUE(MID(G490,5,2))</f>
        <v>1</v>
      </c>
    </row>
    <row r="491" spans="1:11">
      <c r="A491" s="7">
        <v>39855</v>
      </c>
      <c r="B491" s="1">
        <v>1205.72</v>
      </c>
      <c r="C491" s="1" t="s">
        <v>29</v>
      </c>
      <c r="D491" s="13">
        <f>VALUE(MID(C491,9,3))</f>
        <v>311</v>
      </c>
      <c r="E491" s="14">
        <f>MONTH(A491)</f>
        <v>2</v>
      </c>
      <c r="G491" s="1" t="s">
        <v>226</v>
      </c>
      <c r="H491" s="1">
        <v>2592.38</v>
      </c>
      <c r="I491" s="1" t="s">
        <v>77</v>
      </c>
      <c r="J491" s="13">
        <f>VALUE(MID(I491,1,3))</f>
        <v>213</v>
      </c>
      <c r="K491" s="13">
        <f>VALUE(MID(G491,5,2))</f>
        <v>1</v>
      </c>
    </row>
    <row r="492" spans="1:11">
      <c r="A492" s="7">
        <v>39855</v>
      </c>
      <c r="B492" s="1">
        <v>54</v>
      </c>
      <c r="C492" s="1" t="s">
        <v>29</v>
      </c>
      <c r="D492" s="13">
        <f>VALUE(MID(C492,9,3))</f>
        <v>311</v>
      </c>
      <c r="E492" s="14">
        <f>MONTH(A492)</f>
        <v>2</v>
      </c>
      <c r="G492" s="1" t="s">
        <v>226</v>
      </c>
      <c r="H492" s="1">
        <v>177.8</v>
      </c>
      <c r="I492" s="1" t="s">
        <v>77</v>
      </c>
      <c r="J492" s="13">
        <f>VALUE(MID(I492,1,3))</f>
        <v>213</v>
      </c>
      <c r="K492" s="13">
        <f>VALUE(MID(G492,5,2))</f>
        <v>1</v>
      </c>
    </row>
    <row r="493" spans="1:11">
      <c r="A493" s="7">
        <v>39855</v>
      </c>
      <c r="B493" s="1">
        <v>697.66</v>
      </c>
      <c r="C493" s="1" t="s">
        <v>29</v>
      </c>
      <c r="D493" s="13">
        <f>VALUE(MID(C493,9,3))</f>
        <v>311</v>
      </c>
      <c r="E493" s="14">
        <f>MONTH(A493)</f>
        <v>2</v>
      </c>
      <c r="G493" s="1" t="s">
        <v>226</v>
      </c>
      <c r="H493" s="1">
        <v>745.08</v>
      </c>
      <c r="I493" s="1" t="s">
        <v>77</v>
      </c>
      <c r="J493" s="13">
        <f>VALUE(MID(I493,1,3))</f>
        <v>213</v>
      </c>
      <c r="K493" s="13">
        <f>VALUE(MID(G493,5,2))</f>
        <v>1</v>
      </c>
    </row>
    <row r="494" spans="1:11">
      <c r="A494" s="7">
        <v>39855</v>
      </c>
      <c r="B494" s="1">
        <v>216.91</v>
      </c>
      <c r="C494" s="1" t="s">
        <v>29</v>
      </c>
      <c r="D494" s="13">
        <f>VALUE(MID(C494,9,3))</f>
        <v>311</v>
      </c>
      <c r="E494" s="14">
        <f>MONTH(A494)</f>
        <v>2</v>
      </c>
      <c r="G494" s="1" t="s">
        <v>226</v>
      </c>
      <c r="H494" s="1">
        <v>210.72</v>
      </c>
      <c r="I494" s="1" t="s">
        <v>77</v>
      </c>
      <c r="J494" s="13">
        <f>VALUE(MID(I494,1,3))</f>
        <v>213</v>
      </c>
      <c r="K494" s="13">
        <f>VALUE(MID(G494,5,2))</f>
        <v>1</v>
      </c>
    </row>
    <row r="495" spans="1:11">
      <c r="A495" s="7">
        <v>39855</v>
      </c>
      <c r="B495" s="1">
        <v>513.19000000000005</v>
      </c>
      <c r="C495" s="1" t="s">
        <v>29</v>
      </c>
      <c r="D495" s="13">
        <f>VALUE(MID(C495,9,3))</f>
        <v>311</v>
      </c>
      <c r="E495" s="14">
        <f>MONTH(A495)</f>
        <v>2</v>
      </c>
      <c r="G495" s="1" t="s">
        <v>227</v>
      </c>
      <c r="H495" s="1">
        <v>30</v>
      </c>
      <c r="I495" s="1" t="s">
        <v>77</v>
      </c>
      <c r="J495" s="13">
        <f>VALUE(MID(I495,1,3))</f>
        <v>213</v>
      </c>
      <c r="K495" s="13">
        <f>VALUE(MID(G495,5,2))</f>
        <v>1</v>
      </c>
    </row>
    <row r="496" spans="1:11">
      <c r="A496" s="7">
        <v>39855</v>
      </c>
      <c r="B496" s="1">
        <v>410.95</v>
      </c>
      <c r="C496" s="1" t="s">
        <v>29</v>
      </c>
      <c r="D496" s="13">
        <f>VALUE(MID(C496,9,3))</f>
        <v>311</v>
      </c>
      <c r="E496" s="14">
        <f>MONTH(A496)</f>
        <v>2</v>
      </c>
      <c r="G496" s="1" t="s">
        <v>97</v>
      </c>
      <c r="H496" s="1">
        <v>82.86</v>
      </c>
      <c r="I496" s="1" t="s">
        <v>108</v>
      </c>
      <c r="J496" s="13">
        <f>VALUE(MID(I496,1,3))</f>
        <v>215</v>
      </c>
      <c r="K496" s="13">
        <f>VALUE(MID(G496,5,2))</f>
        <v>2</v>
      </c>
    </row>
    <row r="497" spans="1:11">
      <c r="A497" s="7">
        <v>39855</v>
      </c>
      <c r="B497" s="1">
        <v>735.44</v>
      </c>
      <c r="C497" s="1" t="s">
        <v>29</v>
      </c>
      <c r="D497" s="13">
        <f>VALUE(MID(C497,9,3))</f>
        <v>311</v>
      </c>
      <c r="E497" s="14">
        <f>MONTH(A497)</f>
        <v>2</v>
      </c>
      <c r="G497" s="1" t="s">
        <v>120</v>
      </c>
      <c r="H497" s="1">
        <v>82.86</v>
      </c>
      <c r="I497" s="1" t="s">
        <v>108</v>
      </c>
      <c r="J497" s="13">
        <f>VALUE(MID(I497,1,3))</f>
        <v>215</v>
      </c>
      <c r="K497" s="13">
        <f>VALUE(MID(G497,5,2))</f>
        <v>3</v>
      </c>
    </row>
    <row r="498" spans="1:11">
      <c r="A498" s="7">
        <v>39855</v>
      </c>
      <c r="B498" s="1">
        <v>184.13</v>
      </c>
      <c r="C498" s="1" t="s">
        <v>29</v>
      </c>
      <c r="D498" s="13">
        <f>VALUE(MID(C498,9,3))</f>
        <v>311</v>
      </c>
      <c r="E498" s="14">
        <f>MONTH(A498)</f>
        <v>2</v>
      </c>
      <c r="G498" s="1" t="s">
        <v>139</v>
      </c>
      <c r="H498" s="1">
        <v>82.86</v>
      </c>
      <c r="I498" s="1" t="s">
        <v>108</v>
      </c>
      <c r="J498" s="13">
        <f>VALUE(MID(I498,1,3))</f>
        <v>215</v>
      </c>
      <c r="K498" s="13">
        <f>VALUE(MID(G498,5,2))</f>
        <v>4</v>
      </c>
    </row>
    <row r="499" spans="1:11">
      <c r="A499" s="7">
        <v>39855</v>
      </c>
      <c r="B499" s="1">
        <v>111.9</v>
      </c>
      <c r="C499" s="1" t="s">
        <v>30</v>
      </c>
      <c r="D499" s="13">
        <f>VALUE(MID(C499,9,3))</f>
        <v>311</v>
      </c>
      <c r="E499" s="14">
        <f>MONTH(A499)</f>
        <v>2</v>
      </c>
      <c r="G499" s="1" t="s">
        <v>152</v>
      </c>
      <c r="H499" s="1">
        <v>82.86</v>
      </c>
      <c r="I499" s="1" t="s">
        <v>108</v>
      </c>
      <c r="J499" s="13">
        <f>VALUE(MID(I499,1,3))</f>
        <v>215</v>
      </c>
      <c r="K499" s="13">
        <f>VALUE(MID(G499,5,2))</f>
        <v>5</v>
      </c>
    </row>
    <row r="500" spans="1:11">
      <c r="A500" s="7">
        <v>39855</v>
      </c>
      <c r="B500" s="1">
        <v>150</v>
      </c>
      <c r="C500" s="1" t="s">
        <v>41</v>
      </c>
      <c r="D500" s="13">
        <f>VALUE(MID(C500,9,3))</f>
        <v>311</v>
      </c>
      <c r="E500" s="14">
        <f>MONTH(A500)</f>
        <v>2</v>
      </c>
      <c r="G500" s="1" t="s">
        <v>167</v>
      </c>
      <c r="H500" s="1">
        <v>82.86</v>
      </c>
      <c r="I500" s="1" t="s">
        <v>108</v>
      </c>
      <c r="J500" s="13">
        <f>VALUE(MID(I500,1,3))</f>
        <v>215</v>
      </c>
      <c r="K500" s="13">
        <f>VALUE(MID(G500,5,2))</f>
        <v>6</v>
      </c>
    </row>
    <row r="501" spans="1:11">
      <c r="A501" s="7">
        <v>39883</v>
      </c>
      <c r="B501" s="1">
        <v>815.1</v>
      </c>
      <c r="C501" s="1" t="s">
        <v>3</v>
      </c>
      <c r="D501" s="13">
        <f>VALUE(MID(C501,9,3))</f>
        <v>311</v>
      </c>
      <c r="E501" s="14">
        <f>MONTH(A501)</f>
        <v>3</v>
      </c>
      <c r="G501" s="1" t="s">
        <v>175</v>
      </c>
      <c r="H501" s="1">
        <v>82.86</v>
      </c>
      <c r="I501" s="1" t="s">
        <v>108</v>
      </c>
      <c r="J501" s="13">
        <f>VALUE(MID(I501,1,3))</f>
        <v>215</v>
      </c>
      <c r="K501" s="13">
        <f>VALUE(MID(G501,5,2))</f>
        <v>7</v>
      </c>
    </row>
    <row r="502" spans="1:11">
      <c r="A502" s="7">
        <v>40067</v>
      </c>
      <c r="B502" s="1">
        <v>776.1</v>
      </c>
      <c r="C502" s="1" t="s">
        <v>8</v>
      </c>
      <c r="D502" s="13">
        <f>VALUE(MID(C502,9,3))</f>
        <v>311</v>
      </c>
      <c r="E502" s="14">
        <f>MONTH(A502)</f>
        <v>9</v>
      </c>
      <c r="G502" s="1" t="s">
        <v>187</v>
      </c>
      <c r="H502" s="1">
        <v>82.86</v>
      </c>
      <c r="I502" s="1" t="s">
        <v>108</v>
      </c>
      <c r="J502" s="13">
        <f>VALUE(MID(I502,1,3))</f>
        <v>215</v>
      </c>
      <c r="K502" s="13">
        <f>VALUE(MID(G502,5,2))</f>
        <v>9</v>
      </c>
    </row>
    <row r="503" spans="1:11">
      <c r="A503" s="7">
        <v>40067</v>
      </c>
      <c r="B503" s="1">
        <v>235.31</v>
      </c>
      <c r="C503" s="1" t="s">
        <v>8</v>
      </c>
      <c r="D503" s="13">
        <f>VALUE(MID(C503,9,3))</f>
        <v>311</v>
      </c>
      <c r="E503" s="14">
        <f>MONTH(A503)</f>
        <v>9</v>
      </c>
      <c r="G503" s="1" t="s">
        <v>192</v>
      </c>
      <c r="H503" s="1">
        <v>82.86</v>
      </c>
      <c r="I503" s="1" t="s">
        <v>108</v>
      </c>
      <c r="J503" s="13">
        <f>VALUE(MID(I503,1,3))</f>
        <v>215</v>
      </c>
      <c r="K503" s="13">
        <f>VALUE(MID(G503,5,2))</f>
        <v>9</v>
      </c>
    </row>
    <row r="504" spans="1:11">
      <c r="A504" s="7">
        <v>40067</v>
      </c>
      <c r="B504" s="1">
        <v>158.04</v>
      </c>
      <c r="C504" s="1" t="s">
        <v>12</v>
      </c>
      <c r="D504" s="13">
        <f>VALUE(MID(C504,9,3))</f>
        <v>311</v>
      </c>
      <c r="E504" s="14">
        <f>MONTH(A504)</f>
        <v>9</v>
      </c>
      <c r="G504" s="1" t="s">
        <v>203</v>
      </c>
      <c r="H504" s="1">
        <v>82.86</v>
      </c>
      <c r="I504" s="1" t="s">
        <v>108</v>
      </c>
      <c r="J504" s="13">
        <f>VALUE(MID(I504,1,3))</f>
        <v>215</v>
      </c>
      <c r="K504" s="13">
        <f>VALUE(MID(G504,5,2))</f>
        <v>10</v>
      </c>
    </row>
    <row r="505" spans="1:11">
      <c r="A505" s="7">
        <v>40067</v>
      </c>
      <c r="B505" s="1">
        <v>803.88</v>
      </c>
      <c r="C505" s="1" t="s">
        <v>12</v>
      </c>
      <c r="D505" s="13">
        <f>VALUE(MID(C505,9,3))</f>
        <v>311</v>
      </c>
      <c r="E505" s="14">
        <f>MONTH(A505)</f>
        <v>9</v>
      </c>
      <c r="G505" s="1" t="s">
        <v>210</v>
      </c>
      <c r="H505" s="1">
        <v>82.86</v>
      </c>
      <c r="I505" s="1" t="s">
        <v>108</v>
      </c>
      <c r="J505" s="13">
        <f>VALUE(MID(I505,1,3))</f>
        <v>215</v>
      </c>
      <c r="K505" s="13">
        <f>VALUE(MID(G505,5,2))</f>
        <v>11</v>
      </c>
    </row>
    <row r="506" spans="1:11">
      <c r="A506" s="7">
        <v>40067</v>
      </c>
      <c r="B506" s="1">
        <v>450.16</v>
      </c>
      <c r="C506" s="1" t="s">
        <v>13</v>
      </c>
      <c r="D506" s="13">
        <f>VALUE(MID(C506,9,3))</f>
        <v>311</v>
      </c>
      <c r="E506" s="14">
        <f>MONTH(A506)</f>
        <v>9</v>
      </c>
      <c r="G506" s="1" t="s">
        <v>219</v>
      </c>
      <c r="H506" s="1">
        <v>82.86</v>
      </c>
      <c r="I506" s="1" t="s">
        <v>108</v>
      </c>
      <c r="J506" s="13">
        <f>VALUE(MID(I506,1,3))</f>
        <v>215</v>
      </c>
      <c r="K506" s="13">
        <f>VALUE(MID(G506,5,2))</f>
        <v>12</v>
      </c>
    </row>
    <row r="507" spans="1:11">
      <c r="A507" s="7">
        <v>40067</v>
      </c>
      <c r="B507" s="1">
        <v>969.26</v>
      </c>
      <c r="C507" s="1" t="s">
        <v>13</v>
      </c>
      <c r="D507" s="13">
        <f>VALUE(MID(C507,9,3))</f>
        <v>311</v>
      </c>
      <c r="E507" s="14">
        <f>MONTH(A507)</f>
        <v>9</v>
      </c>
      <c r="G507" s="1" t="s">
        <v>226</v>
      </c>
      <c r="H507" s="1">
        <v>82.86</v>
      </c>
      <c r="I507" s="1" t="s">
        <v>108</v>
      </c>
      <c r="J507" s="13">
        <f>VALUE(MID(I507,1,3))</f>
        <v>215</v>
      </c>
      <c r="K507" s="13">
        <f>VALUE(MID(G507,5,2))</f>
        <v>1</v>
      </c>
    </row>
    <row r="508" spans="1:11">
      <c r="A508" s="7">
        <v>40067</v>
      </c>
      <c r="B508" s="1">
        <v>833.36</v>
      </c>
      <c r="C508" s="1" t="s">
        <v>13</v>
      </c>
      <c r="D508" s="13">
        <f>VALUE(MID(C508,9,3))</f>
        <v>311</v>
      </c>
      <c r="E508" s="14">
        <f>MONTH(A508)</f>
        <v>9</v>
      </c>
      <c r="G508" s="1" t="s">
        <v>152</v>
      </c>
      <c r="H508" s="1">
        <v>45.71</v>
      </c>
      <c r="I508" s="1" t="s">
        <v>156</v>
      </c>
      <c r="J508" s="13">
        <f>VALUE(MID(I508,1,3))</f>
        <v>216</v>
      </c>
      <c r="K508" s="13">
        <f>VALUE(MID(G508,5,2))</f>
        <v>5</v>
      </c>
    </row>
    <row r="509" spans="1:11">
      <c r="A509" s="7">
        <v>40067</v>
      </c>
      <c r="B509" s="1">
        <v>635</v>
      </c>
      <c r="C509" s="1" t="s">
        <v>5</v>
      </c>
      <c r="D509" s="13">
        <f>VALUE(MID(C509,9,3))</f>
        <v>311</v>
      </c>
      <c r="E509" s="14">
        <f>MONTH(A509)</f>
        <v>9</v>
      </c>
      <c r="G509" s="1" t="s">
        <v>73</v>
      </c>
      <c r="H509" s="1">
        <v>145.5</v>
      </c>
      <c r="I509" s="1" t="s">
        <v>75</v>
      </c>
      <c r="J509" s="13">
        <f>VALUE(MID(I509,1,3))</f>
        <v>220</v>
      </c>
      <c r="K509" s="13">
        <f>VALUE(MID(G509,5,2))</f>
        <v>1</v>
      </c>
    </row>
    <row r="510" spans="1:11">
      <c r="A510" s="7">
        <v>40067</v>
      </c>
      <c r="B510" s="1">
        <v>674.51</v>
      </c>
      <c r="C510" s="1" t="s">
        <v>5</v>
      </c>
      <c r="D510" s="13">
        <f>VALUE(MID(C510,9,3))</f>
        <v>311</v>
      </c>
      <c r="E510" s="14">
        <f>MONTH(A510)</f>
        <v>9</v>
      </c>
      <c r="G510" s="1" t="s">
        <v>73</v>
      </c>
      <c r="H510" s="1">
        <v>50</v>
      </c>
      <c r="I510" s="1" t="s">
        <v>75</v>
      </c>
      <c r="J510" s="13">
        <f>VALUE(MID(I510,1,3))</f>
        <v>220</v>
      </c>
      <c r="K510" s="13">
        <f>VALUE(MID(G510,5,2))</f>
        <v>1</v>
      </c>
    </row>
    <row r="511" spans="1:11">
      <c r="A511" s="7">
        <v>40067</v>
      </c>
      <c r="B511" s="1">
        <v>516.47</v>
      </c>
      <c r="C511" s="1" t="s">
        <v>5</v>
      </c>
      <c r="D511" s="13">
        <f>VALUE(MID(C511,9,3))</f>
        <v>311</v>
      </c>
      <c r="E511" s="14">
        <f>MONTH(A511)</f>
        <v>9</v>
      </c>
      <c r="G511" s="1" t="s">
        <v>73</v>
      </c>
      <c r="H511" s="1">
        <v>57.21</v>
      </c>
      <c r="I511" s="1" t="s">
        <v>75</v>
      </c>
      <c r="J511" s="13">
        <f>VALUE(MID(I511,1,3))</f>
        <v>220</v>
      </c>
      <c r="K511" s="13">
        <f>VALUE(MID(G511,5,2))</f>
        <v>1</v>
      </c>
    </row>
    <row r="512" spans="1:11">
      <c r="A512" s="7">
        <v>40067</v>
      </c>
      <c r="B512" s="1">
        <v>476.96</v>
      </c>
      <c r="C512" s="1" t="s">
        <v>5</v>
      </c>
      <c r="D512" s="13">
        <f>VALUE(MID(C512,9,3))</f>
        <v>311</v>
      </c>
      <c r="E512" s="14">
        <f>MONTH(A512)</f>
        <v>9</v>
      </c>
      <c r="G512" s="1" t="s">
        <v>73</v>
      </c>
      <c r="H512" s="1">
        <v>136.13999999999999</v>
      </c>
      <c r="I512" s="1" t="s">
        <v>75</v>
      </c>
      <c r="J512" s="13">
        <f>VALUE(MID(I512,1,3))</f>
        <v>220</v>
      </c>
      <c r="K512" s="13">
        <f>VALUE(MID(G512,5,2))</f>
        <v>1</v>
      </c>
    </row>
    <row r="513" spans="1:11">
      <c r="A513" s="7">
        <v>40067</v>
      </c>
      <c r="B513" s="1">
        <v>612.01</v>
      </c>
      <c r="C513" s="1" t="s">
        <v>6</v>
      </c>
      <c r="D513" s="13">
        <f>VALUE(MID(C513,9,3))</f>
        <v>311</v>
      </c>
      <c r="E513" s="14">
        <f>MONTH(A513)</f>
        <v>9</v>
      </c>
      <c r="G513" s="1" t="s">
        <v>73</v>
      </c>
      <c r="H513" s="1">
        <v>54.27</v>
      </c>
      <c r="I513" s="1" t="s">
        <v>81</v>
      </c>
      <c r="J513" s="13">
        <f>VALUE(MID(I513,1,3))</f>
        <v>220</v>
      </c>
      <c r="K513" s="13">
        <f>VALUE(MID(G513,5,2))</f>
        <v>1</v>
      </c>
    </row>
    <row r="514" spans="1:11">
      <c r="A514" s="7">
        <v>40067</v>
      </c>
      <c r="B514" s="1">
        <v>426.58</v>
      </c>
      <c r="C514" s="1" t="s">
        <v>6</v>
      </c>
      <c r="D514" s="13">
        <f>VALUE(MID(C514,9,3))</f>
        <v>311</v>
      </c>
      <c r="E514" s="14">
        <f>MONTH(A514)</f>
        <v>9</v>
      </c>
      <c r="G514" s="1" t="s">
        <v>73</v>
      </c>
      <c r="H514" s="1">
        <v>22.4</v>
      </c>
      <c r="I514" s="1" t="s">
        <v>82</v>
      </c>
      <c r="J514" s="13">
        <f>VALUE(MID(I514,1,3))</f>
        <v>220</v>
      </c>
      <c r="K514" s="13">
        <f>VALUE(MID(G514,5,2))</f>
        <v>1</v>
      </c>
    </row>
    <row r="515" spans="1:11">
      <c r="A515" s="7">
        <v>40067</v>
      </c>
      <c r="B515" s="1">
        <v>575</v>
      </c>
      <c r="C515" s="1" t="s">
        <v>17</v>
      </c>
      <c r="D515" s="13">
        <f>VALUE(MID(C515,9,3))</f>
        <v>311</v>
      </c>
      <c r="E515" s="14">
        <f>MONTH(A515)</f>
        <v>9</v>
      </c>
      <c r="G515" s="1" t="s">
        <v>73</v>
      </c>
      <c r="H515" s="1">
        <v>477.4</v>
      </c>
      <c r="I515" s="1" t="s">
        <v>83</v>
      </c>
      <c r="J515" s="13">
        <f>VALUE(MID(I515,1,3))</f>
        <v>220</v>
      </c>
      <c r="K515" s="13">
        <f>VALUE(MID(G515,5,2))</f>
        <v>1</v>
      </c>
    </row>
    <row r="516" spans="1:11">
      <c r="A516" s="7">
        <v>39825</v>
      </c>
      <c r="B516" s="1">
        <v>360</v>
      </c>
      <c r="C516" s="1" t="s">
        <v>22</v>
      </c>
      <c r="D516" s="13">
        <f>VALUE(MID(C516,9,3))</f>
        <v>311</v>
      </c>
      <c r="E516" s="14">
        <f>MONTH(A516)</f>
        <v>1</v>
      </c>
      <c r="G516" s="1" t="s">
        <v>73</v>
      </c>
      <c r="H516" s="1">
        <v>461.57</v>
      </c>
      <c r="I516" s="1" t="s">
        <v>84</v>
      </c>
      <c r="J516" s="13">
        <f>VALUE(MID(I516,1,3))</f>
        <v>220</v>
      </c>
      <c r="K516" s="13">
        <f>VALUE(MID(G516,5,2))</f>
        <v>1</v>
      </c>
    </row>
    <row r="517" spans="1:11">
      <c r="A517" s="7">
        <v>39856</v>
      </c>
      <c r="B517" s="1">
        <v>423.23</v>
      </c>
      <c r="C517" s="1" t="s">
        <v>3</v>
      </c>
      <c r="D517" s="13">
        <f>VALUE(MID(C517,9,3))</f>
        <v>311</v>
      </c>
      <c r="E517" s="14">
        <f>MONTH(A517)</f>
        <v>2</v>
      </c>
      <c r="G517" s="1" t="s">
        <v>87</v>
      </c>
      <c r="H517" s="1">
        <v>14.4</v>
      </c>
      <c r="I517" s="1" t="s">
        <v>89</v>
      </c>
      <c r="J517" s="13">
        <f>VALUE(MID(I517,1,3))</f>
        <v>220</v>
      </c>
      <c r="K517" s="13">
        <f>VALUE(MID(G517,5,2))</f>
        <v>1</v>
      </c>
    </row>
    <row r="518" spans="1:11">
      <c r="A518" s="7">
        <v>39856</v>
      </c>
      <c r="B518" s="1">
        <v>710.8</v>
      </c>
      <c r="C518" s="1" t="s">
        <v>29</v>
      </c>
      <c r="D518" s="13">
        <f>VALUE(MID(C518,9,3))</f>
        <v>311</v>
      </c>
      <c r="E518" s="14">
        <f>MONTH(A518)</f>
        <v>2</v>
      </c>
      <c r="G518" s="1" t="s">
        <v>87</v>
      </c>
      <c r="H518" s="1">
        <v>4.2</v>
      </c>
      <c r="I518" s="1" t="s">
        <v>83</v>
      </c>
      <c r="J518" s="13">
        <f>VALUE(MID(I518,1,3))</f>
        <v>220</v>
      </c>
      <c r="K518" s="13">
        <f>VALUE(MID(G518,5,2))</f>
        <v>1</v>
      </c>
    </row>
    <row r="519" spans="1:11">
      <c r="A519" s="7">
        <v>39856</v>
      </c>
      <c r="B519" s="1">
        <v>414.46</v>
      </c>
      <c r="C519" s="1" t="s">
        <v>29</v>
      </c>
      <c r="D519" s="13">
        <f>VALUE(MID(C519,9,3))</f>
        <v>311</v>
      </c>
      <c r="E519" s="14">
        <f>MONTH(A519)</f>
        <v>2</v>
      </c>
      <c r="G519" s="1" t="s">
        <v>97</v>
      </c>
      <c r="H519" s="1">
        <v>274.27</v>
      </c>
      <c r="I519" s="1" t="s">
        <v>82</v>
      </c>
      <c r="J519" s="13">
        <f>VALUE(MID(I519,1,3))</f>
        <v>220</v>
      </c>
      <c r="K519" s="13">
        <f>VALUE(MID(G519,5,2))</f>
        <v>2</v>
      </c>
    </row>
    <row r="520" spans="1:11">
      <c r="A520" s="7">
        <v>39856</v>
      </c>
      <c r="B520" s="1">
        <v>256.42</v>
      </c>
      <c r="C520" s="1" t="s">
        <v>29</v>
      </c>
      <c r="D520" s="13">
        <f>VALUE(MID(C520,9,3))</f>
        <v>311</v>
      </c>
      <c r="E520" s="14">
        <f>MONTH(A520)</f>
        <v>2</v>
      </c>
      <c r="G520" s="1" t="s">
        <v>97</v>
      </c>
      <c r="H520" s="1">
        <v>196.8</v>
      </c>
      <c r="I520" s="1" t="s">
        <v>82</v>
      </c>
      <c r="J520" s="13">
        <f>VALUE(MID(I520,1,3))</f>
        <v>220</v>
      </c>
      <c r="K520" s="13">
        <f>VALUE(MID(G520,5,2))</f>
        <v>2</v>
      </c>
    </row>
    <row r="521" spans="1:11">
      <c r="A521" s="7">
        <v>39856</v>
      </c>
      <c r="B521" s="1">
        <v>286.7</v>
      </c>
      <c r="C521" s="1" t="s">
        <v>29</v>
      </c>
      <c r="D521" s="13">
        <f>VALUE(MID(C521,9,3))</f>
        <v>311</v>
      </c>
      <c r="E521" s="14">
        <f>MONTH(A521)</f>
        <v>2</v>
      </c>
      <c r="G521" s="1" t="s">
        <v>97</v>
      </c>
      <c r="H521" s="1">
        <v>435</v>
      </c>
      <c r="I521" s="1" t="s">
        <v>75</v>
      </c>
      <c r="J521" s="13">
        <f>VALUE(MID(I521,1,3))</f>
        <v>220</v>
      </c>
      <c r="K521" s="13">
        <f>VALUE(MID(G521,5,2))</f>
        <v>2</v>
      </c>
    </row>
    <row r="522" spans="1:11">
      <c r="A522" s="7">
        <v>39856</v>
      </c>
      <c r="B522" s="1">
        <v>551.05999999999995</v>
      </c>
      <c r="C522" s="1" t="s">
        <v>29</v>
      </c>
      <c r="D522" s="13">
        <f>VALUE(MID(C522,9,3))</f>
        <v>311</v>
      </c>
      <c r="E522" s="14">
        <f>MONTH(A522)</f>
        <v>2</v>
      </c>
      <c r="G522" s="1" t="s">
        <v>97</v>
      </c>
      <c r="H522" s="1">
        <v>175.32</v>
      </c>
      <c r="I522" s="1" t="s">
        <v>75</v>
      </c>
      <c r="J522" s="13">
        <f>VALUE(MID(I522,1,3))</f>
        <v>220</v>
      </c>
      <c r="K522" s="13">
        <f>VALUE(MID(G522,5,2))</f>
        <v>2</v>
      </c>
    </row>
    <row r="523" spans="1:11">
      <c r="A523" s="7">
        <v>39856</v>
      </c>
      <c r="B523" s="1">
        <v>216.91</v>
      </c>
      <c r="C523" s="1" t="s">
        <v>29</v>
      </c>
      <c r="D523" s="13">
        <f>VALUE(MID(C523,9,3))</f>
        <v>311</v>
      </c>
      <c r="E523" s="14">
        <f>MONTH(A523)</f>
        <v>2</v>
      </c>
      <c r="G523" s="1" t="s">
        <v>97</v>
      </c>
      <c r="H523" s="1">
        <v>298</v>
      </c>
      <c r="I523" s="1" t="s">
        <v>75</v>
      </c>
      <c r="J523" s="13">
        <f>VALUE(MID(I523,1,3))</f>
        <v>220</v>
      </c>
      <c r="K523" s="13">
        <f>VALUE(MID(G523,5,2))</f>
        <v>2</v>
      </c>
    </row>
    <row r="524" spans="1:11">
      <c r="A524" s="7">
        <v>39856</v>
      </c>
      <c r="B524" s="1">
        <v>414.46</v>
      </c>
      <c r="C524" s="1" t="s">
        <v>29</v>
      </c>
      <c r="D524" s="13">
        <f>VALUE(MID(C524,9,3))</f>
        <v>311</v>
      </c>
      <c r="E524" s="14">
        <f>MONTH(A524)</f>
        <v>2</v>
      </c>
      <c r="G524" s="1" t="s">
        <v>97</v>
      </c>
      <c r="H524" s="1">
        <v>166.96</v>
      </c>
      <c r="I524" s="1" t="s">
        <v>75</v>
      </c>
      <c r="J524" s="13">
        <f>VALUE(MID(I524,1,3))</f>
        <v>220</v>
      </c>
      <c r="K524" s="13">
        <f>VALUE(MID(G524,5,2))</f>
        <v>2</v>
      </c>
    </row>
    <row r="525" spans="1:11">
      <c r="A525" s="7">
        <v>39856</v>
      </c>
      <c r="B525" s="1">
        <v>286.7</v>
      </c>
      <c r="C525" s="1" t="s">
        <v>29</v>
      </c>
      <c r="D525" s="13">
        <f>VALUE(MID(C525,9,3))</f>
        <v>311</v>
      </c>
      <c r="E525" s="14">
        <f>MONTH(A525)</f>
        <v>2</v>
      </c>
      <c r="G525" s="1" t="s">
        <v>97</v>
      </c>
      <c r="H525" s="1">
        <v>318.33999999999997</v>
      </c>
      <c r="I525" s="1" t="s">
        <v>75</v>
      </c>
      <c r="J525" s="13">
        <f>VALUE(MID(I525,1,3))</f>
        <v>220</v>
      </c>
      <c r="K525" s="13">
        <f>VALUE(MID(G525,5,2))</f>
        <v>2</v>
      </c>
    </row>
    <row r="526" spans="1:11">
      <c r="A526" s="7">
        <v>39856</v>
      </c>
      <c r="B526" s="1">
        <v>410.95</v>
      </c>
      <c r="C526" s="1" t="s">
        <v>29</v>
      </c>
      <c r="D526" s="13">
        <f>VALUE(MID(C526,9,3))</f>
        <v>311</v>
      </c>
      <c r="E526" s="14">
        <f>MONTH(A526)</f>
        <v>2</v>
      </c>
      <c r="G526" s="1" t="s">
        <v>97</v>
      </c>
      <c r="H526" s="1">
        <v>2450</v>
      </c>
      <c r="I526" s="1" t="s">
        <v>83</v>
      </c>
      <c r="J526" s="13">
        <f>VALUE(MID(I526,1,3))</f>
        <v>220</v>
      </c>
      <c r="K526" s="13">
        <f>VALUE(MID(G526,5,2))</f>
        <v>2</v>
      </c>
    </row>
    <row r="527" spans="1:11">
      <c r="A527" s="7">
        <v>39856</v>
      </c>
      <c r="B527" s="1">
        <v>475.31</v>
      </c>
      <c r="C527" s="1" t="s">
        <v>29</v>
      </c>
      <c r="D527" s="13">
        <f>VALUE(MID(C527,9,3))</f>
        <v>311</v>
      </c>
      <c r="E527" s="14">
        <f>MONTH(A527)</f>
        <v>2</v>
      </c>
      <c r="G527" s="1" t="s">
        <v>97</v>
      </c>
      <c r="H527" s="1">
        <v>490</v>
      </c>
      <c r="I527" s="1" t="s">
        <v>83</v>
      </c>
      <c r="J527" s="13">
        <f>VALUE(MID(I527,1,3))</f>
        <v>220</v>
      </c>
      <c r="K527" s="13">
        <f>VALUE(MID(G527,5,2))</f>
        <v>2</v>
      </c>
    </row>
    <row r="528" spans="1:11">
      <c r="A528" s="7">
        <v>39856</v>
      </c>
      <c r="B528" s="1">
        <v>414.46</v>
      </c>
      <c r="C528" s="1" t="s">
        <v>29</v>
      </c>
      <c r="D528" s="13">
        <f>VALUE(MID(C528,9,3))</f>
        <v>311</v>
      </c>
      <c r="E528" s="14">
        <f>MONTH(A528)</f>
        <v>2</v>
      </c>
      <c r="G528" s="1" t="s">
        <v>97</v>
      </c>
      <c r="H528" s="1">
        <v>449.44</v>
      </c>
      <c r="I528" s="1" t="s">
        <v>83</v>
      </c>
      <c r="J528" s="13">
        <f>VALUE(MID(I528,1,3))</f>
        <v>220</v>
      </c>
      <c r="K528" s="13">
        <f>VALUE(MID(G528,5,2))</f>
        <v>2</v>
      </c>
    </row>
    <row r="529" spans="1:11">
      <c r="A529" s="7">
        <v>39856</v>
      </c>
      <c r="B529" s="1">
        <v>1046.6199999999999</v>
      </c>
      <c r="C529" s="1" t="s">
        <v>29</v>
      </c>
      <c r="D529" s="13">
        <f>VALUE(MID(C529,9,3))</f>
        <v>311</v>
      </c>
      <c r="E529" s="14">
        <f>MONTH(A529)</f>
        <v>2</v>
      </c>
      <c r="G529" s="1" t="s">
        <v>97</v>
      </c>
      <c r="H529" s="1">
        <v>93.76</v>
      </c>
      <c r="I529" s="1" t="s">
        <v>82</v>
      </c>
      <c r="J529" s="13">
        <f>VALUE(MID(I529,1,3))</f>
        <v>220</v>
      </c>
      <c r="K529" s="13">
        <f>VALUE(MID(G529,5,2))</f>
        <v>2</v>
      </c>
    </row>
    <row r="530" spans="1:11">
      <c r="A530" s="7">
        <v>39856</v>
      </c>
      <c r="B530" s="1">
        <v>809.56</v>
      </c>
      <c r="C530" s="1" t="s">
        <v>29</v>
      </c>
      <c r="D530" s="13">
        <f>VALUE(MID(C530,9,3))</f>
        <v>311</v>
      </c>
      <c r="E530" s="14">
        <f>MONTH(A530)</f>
        <v>2</v>
      </c>
      <c r="G530" s="1" t="s">
        <v>97</v>
      </c>
      <c r="H530" s="1">
        <v>126.46</v>
      </c>
      <c r="I530" s="1" t="s">
        <v>84</v>
      </c>
      <c r="J530" s="13">
        <f>VALUE(MID(I530,1,3))</f>
        <v>220</v>
      </c>
      <c r="K530" s="13">
        <f>VALUE(MID(G530,5,2))</f>
        <v>2</v>
      </c>
    </row>
    <row r="531" spans="1:11">
      <c r="A531" s="7">
        <v>39856</v>
      </c>
      <c r="B531" s="1">
        <v>546.16</v>
      </c>
      <c r="C531" s="1" t="s">
        <v>29</v>
      </c>
      <c r="D531" s="13">
        <f>VALUE(MID(C531,9,3))</f>
        <v>311</v>
      </c>
      <c r="E531" s="14">
        <f>MONTH(A531)</f>
        <v>2</v>
      </c>
      <c r="G531" s="1" t="s">
        <v>97</v>
      </c>
      <c r="H531" s="1">
        <v>244.4</v>
      </c>
      <c r="I531" s="1" t="s">
        <v>82</v>
      </c>
      <c r="J531" s="13">
        <f>VALUE(MID(I531,1,3))</f>
        <v>220</v>
      </c>
      <c r="K531" s="13">
        <f>VALUE(MID(G531,5,2))</f>
        <v>2</v>
      </c>
    </row>
    <row r="532" spans="1:11">
      <c r="A532" s="7">
        <v>39856</v>
      </c>
      <c r="B532" s="1">
        <v>648.07000000000005</v>
      </c>
      <c r="C532" s="1" t="s">
        <v>29</v>
      </c>
      <c r="D532" s="13">
        <f>VALUE(MID(C532,9,3))</f>
        <v>311</v>
      </c>
      <c r="E532" s="14">
        <f>MONTH(A532)</f>
        <v>2</v>
      </c>
      <c r="G532" s="1" t="s">
        <v>97</v>
      </c>
      <c r="H532" s="1">
        <v>115.5</v>
      </c>
      <c r="I532" s="1" t="s">
        <v>82</v>
      </c>
      <c r="J532" s="13">
        <f>VALUE(MID(I532,1,3))</f>
        <v>220</v>
      </c>
      <c r="K532" s="13">
        <f>VALUE(MID(G532,5,2))</f>
        <v>2</v>
      </c>
    </row>
    <row r="533" spans="1:11">
      <c r="A533" s="7">
        <v>39856</v>
      </c>
      <c r="B533" s="1">
        <v>572.5</v>
      </c>
      <c r="C533" s="1" t="s">
        <v>29</v>
      </c>
      <c r="D533" s="13">
        <f>VALUE(MID(C533,9,3))</f>
        <v>311</v>
      </c>
      <c r="E533" s="14">
        <f>MONTH(A533)</f>
        <v>2</v>
      </c>
      <c r="G533" s="1" t="s">
        <v>97</v>
      </c>
      <c r="H533" s="1">
        <v>118</v>
      </c>
      <c r="I533" s="1" t="s">
        <v>82</v>
      </c>
      <c r="J533" s="13">
        <f>VALUE(MID(I533,1,3))</f>
        <v>220</v>
      </c>
      <c r="K533" s="13">
        <f>VALUE(MID(G533,5,2))</f>
        <v>2</v>
      </c>
    </row>
    <row r="534" spans="1:11">
      <c r="A534" s="7">
        <v>39856</v>
      </c>
      <c r="B534" s="1">
        <v>111.9</v>
      </c>
      <c r="C534" s="1" t="s">
        <v>30</v>
      </c>
      <c r="D534" s="13">
        <f>VALUE(MID(C534,9,3))</f>
        <v>311</v>
      </c>
      <c r="E534" s="14">
        <f>MONTH(A534)</f>
        <v>2</v>
      </c>
      <c r="G534" s="1" t="s">
        <v>97</v>
      </c>
      <c r="H534" s="1">
        <v>118.89</v>
      </c>
      <c r="I534" s="1" t="s">
        <v>82</v>
      </c>
      <c r="J534" s="13">
        <f>VALUE(MID(I534,1,3))</f>
        <v>220</v>
      </c>
      <c r="K534" s="13">
        <f>VALUE(MID(G534,5,2))</f>
        <v>2</v>
      </c>
    </row>
    <row r="535" spans="1:11">
      <c r="A535" s="7">
        <v>39884</v>
      </c>
      <c r="B535" s="1">
        <v>454.55</v>
      </c>
      <c r="C535" s="1" t="s">
        <v>3</v>
      </c>
      <c r="D535" s="13">
        <f>VALUE(MID(C535,9,3))</f>
        <v>311</v>
      </c>
      <c r="E535" s="14">
        <f>MONTH(A535)</f>
        <v>3</v>
      </c>
      <c r="G535" s="1" t="s">
        <v>97</v>
      </c>
      <c r="H535" s="1">
        <v>22</v>
      </c>
      <c r="I535" s="1" t="s">
        <v>89</v>
      </c>
      <c r="J535" s="13">
        <f>VALUE(MID(I535,1,3))</f>
        <v>220</v>
      </c>
      <c r="K535" s="13">
        <f>VALUE(MID(G535,5,2))</f>
        <v>2</v>
      </c>
    </row>
    <row r="536" spans="1:11">
      <c r="A536" s="7">
        <v>40098</v>
      </c>
      <c r="B536" s="1">
        <v>287.5</v>
      </c>
      <c r="C536" s="1" t="s">
        <v>17</v>
      </c>
      <c r="D536" s="13">
        <f>VALUE(MID(C536,9,3))</f>
        <v>311</v>
      </c>
      <c r="E536" s="14">
        <f>MONTH(A536)</f>
        <v>10</v>
      </c>
      <c r="G536" s="1" t="s">
        <v>97</v>
      </c>
      <c r="H536" s="1">
        <v>548.77</v>
      </c>
      <c r="I536" s="1" t="s">
        <v>81</v>
      </c>
      <c r="J536" s="13">
        <f>VALUE(MID(I536,1,3))</f>
        <v>220</v>
      </c>
      <c r="K536" s="13">
        <f>VALUE(MID(G536,5,2))</f>
        <v>2</v>
      </c>
    </row>
    <row r="537" spans="1:11">
      <c r="A537" s="7">
        <v>39826</v>
      </c>
      <c r="B537" s="1">
        <v>150</v>
      </c>
      <c r="C537" s="1" t="s">
        <v>41</v>
      </c>
      <c r="D537" s="13">
        <f>VALUE(MID(C537,9,3))</f>
        <v>311</v>
      </c>
      <c r="E537" s="14">
        <f>MONTH(A537)</f>
        <v>1</v>
      </c>
      <c r="G537" s="1" t="s">
        <v>97</v>
      </c>
      <c r="H537" s="1">
        <v>57.49</v>
      </c>
      <c r="I537" s="1" t="s">
        <v>106</v>
      </c>
      <c r="J537" s="13">
        <f>VALUE(MID(I537,1,3))</f>
        <v>220</v>
      </c>
      <c r="K537" s="13">
        <f>VALUE(MID(G537,5,2))</f>
        <v>2</v>
      </c>
    </row>
    <row r="538" spans="1:11">
      <c r="A538" s="7">
        <v>39826</v>
      </c>
      <c r="B538" s="1">
        <v>150</v>
      </c>
      <c r="C538" s="1" t="s">
        <v>41</v>
      </c>
      <c r="D538" s="13">
        <f>VALUE(MID(C538,9,3))</f>
        <v>311</v>
      </c>
      <c r="E538" s="14">
        <f>MONTH(A538)</f>
        <v>1</v>
      </c>
      <c r="G538" s="1" t="s">
        <v>97</v>
      </c>
      <c r="H538" s="1">
        <v>26.46</v>
      </c>
      <c r="I538" s="1" t="s">
        <v>89</v>
      </c>
      <c r="J538" s="13">
        <f>VALUE(MID(I538,1,3))</f>
        <v>220</v>
      </c>
      <c r="K538" s="13">
        <f>VALUE(MID(G538,5,2))</f>
        <v>2</v>
      </c>
    </row>
    <row r="539" spans="1:11">
      <c r="A539" s="7">
        <v>39826</v>
      </c>
      <c r="B539" s="1">
        <v>150</v>
      </c>
      <c r="C539" s="1" t="s">
        <v>41</v>
      </c>
      <c r="D539" s="13">
        <f>VALUE(MID(C539,9,3))</f>
        <v>311</v>
      </c>
      <c r="E539" s="14">
        <f>MONTH(A539)</f>
        <v>1</v>
      </c>
      <c r="G539" s="1" t="s">
        <v>97</v>
      </c>
      <c r="H539" s="1">
        <v>242.64</v>
      </c>
      <c r="I539" s="1" t="s">
        <v>82</v>
      </c>
      <c r="J539" s="13">
        <f>VALUE(MID(I539,1,3))</f>
        <v>220</v>
      </c>
      <c r="K539" s="13">
        <f>VALUE(MID(G539,5,2))</f>
        <v>2</v>
      </c>
    </row>
    <row r="540" spans="1:11">
      <c r="A540" s="7">
        <v>39857</v>
      </c>
      <c r="B540" s="1">
        <v>727.14</v>
      </c>
      <c r="C540" s="1" t="s">
        <v>12</v>
      </c>
      <c r="D540" s="13">
        <f>VALUE(MID(C540,9,3))</f>
        <v>311</v>
      </c>
      <c r="E540" s="14">
        <f>MONTH(A540)</f>
        <v>2</v>
      </c>
      <c r="G540" s="1" t="s">
        <v>97</v>
      </c>
      <c r="H540" s="1">
        <v>68.75</v>
      </c>
      <c r="I540" s="1" t="s">
        <v>82</v>
      </c>
      <c r="J540" s="13">
        <f>VALUE(MID(I540,1,3))</f>
        <v>220</v>
      </c>
      <c r="K540" s="13">
        <f>VALUE(MID(G540,5,2))</f>
        <v>2</v>
      </c>
    </row>
    <row r="541" spans="1:11">
      <c r="A541" s="7">
        <v>39857</v>
      </c>
      <c r="B541" s="1">
        <v>1097.25</v>
      </c>
      <c r="C541" s="1" t="s">
        <v>3</v>
      </c>
      <c r="D541" s="13">
        <f>VALUE(MID(C541,9,3))</f>
        <v>311</v>
      </c>
      <c r="E541" s="14">
        <f>MONTH(A541)</f>
        <v>2</v>
      </c>
      <c r="G541" s="1" t="s">
        <v>97</v>
      </c>
      <c r="H541" s="1">
        <v>78.62</v>
      </c>
      <c r="I541" s="1" t="s">
        <v>84</v>
      </c>
      <c r="J541" s="13">
        <f>VALUE(MID(I541,1,3))</f>
        <v>220</v>
      </c>
      <c r="K541" s="13">
        <f>VALUE(MID(G541,5,2))</f>
        <v>2</v>
      </c>
    </row>
    <row r="542" spans="1:11">
      <c r="A542" s="7">
        <v>39857</v>
      </c>
      <c r="B542" s="1">
        <v>454.58</v>
      </c>
      <c r="C542" s="1" t="s">
        <v>3</v>
      </c>
      <c r="D542" s="13">
        <f>VALUE(MID(C542,9,3))</f>
        <v>311</v>
      </c>
      <c r="E542" s="14">
        <f>MONTH(A542)</f>
        <v>2</v>
      </c>
      <c r="G542" s="1" t="s">
        <v>97</v>
      </c>
      <c r="H542" s="1">
        <v>148.18</v>
      </c>
      <c r="I542" s="1" t="s">
        <v>82</v>
      </c>
      <c r="J542" s="13">
        <f>VALUE(MID(I542,1,3))</f>
        <v>220</v>
      </c>
      <c r="K542" s="13">
        <f>VALUE(MID(G542,5,2))</f>
        <v>2</v>
      </c>
    </row>
    <row r="543" spans="1:11">
      <c r="A543" s="7">
        <v>39857</v>
      </c>
      <c r="B543" s="1">
        <v>909.15</v>
      </c>
      <c r="C543" s="1" t="s">
        <v>3</v>
      </c>
      <c r="D543" s="13">
        <f>VALUE(MID(C543,9,3))</f>
        <v>311</v>
      </c>
      <c r="E543" s="14">
        <f>MONTH(A543)</f>
        <v>2</v>
      </c>
      <c r="G543" s="1" t="s">
        <v>97</v>
      </c>
      <c r="H543" s="1">
        <v>65.5</v>
      </c>
      <c r="I543" s="1" t="s">
        <v>89</v>
      </c>
      <c r="J543" s="13">
        <f>VALUE(MID(I543,1,3))</f>
        <v>220</v>
      </c>
      <c r="K543" s="13">
        <f>VALUE(MID(G543,5,2))</f>
        <v>2</v>
      </c>
    </row>
    <row r="544" spans="1:11">
      <c r="A544" s="7">
        <v>39857</v>
      </c>
      <c r="B544" s="1">
        <v>793.02</v>
      </c>
      <c r="C544" s="1" t="s">
        <v>28</v>
      </c>
      <c r="D544" s="13">
        <f>VALUE(MID(C544,9,3))</f>
        <v>311</v>
      </c>
      <c r="E544" s="14">
        <f>MONTH(A544)</f>
        <v>2</v>
      </c>
      <c r="G544" s="1" t="s">
        <v>112</v>
      </c>
      <c r="H544" s="1">
        <v>500</v>
      </c>
      <c r="I544" s="1" t="s">
        <v>83</v>
      </c>
      <c r="J544" s="13">
        <f>VALUE(MID(I544,1,3))</f>
        <v>220</v>
      </c>
      <c r="K544" s="13">
        <f>VALUE(MID(G544,5,2))</f>
        <v>2</v>
      </c>
    </row>
    <row r="545" spans="1:11">
      <c r="A545" s="7">
        <v>39857</v>
      </c>
      <c r="B545" s="1">
        <v>437.44</v>
      </c>
      <c r="C545" s="1" t="s">
        <v>28</v>
      </c>
      <c r="D545" s="13">
        <f>VALUE(MID(C545,9,3))</f>
        <v>311</v>
      </c>
      <c r="E545" s="14">
        <f>MONTH(A545)</f>
        <v>2</v>
      </c>
      <c r="G545" s="1" t="s">
        <v>119</v>
      </c>
      <c r="H545" s="1">
        <v>-82.25</v>
      </c>
      <c r="I545" s="1" t="s">
        <v>83</v>
      </c>
      <c r="J545" s="13">
        <f>VALUE(MID(I545,1,3))</f>
        <v>220</v>
      </c>
      <c r="K545" s="13">
        <f>VALUE(MID(G545,5,2))</f>
        <v>3</v>
      </c>
    </row>
    <row r="546" spans="1:11">
      <c r="A546" s="7">
        <v>39857</v>
      </c>
      <c r="B546" s="1">
        <v>387.47</v>
      </c>
      <c r="C546" s="1" t="s">
        <v>29</v>
      </c>
      <c r="D546" s="13">
        <f>VALUE(MID(C546,9,3))</f>
        <v>311</v>
      </c>
      <c r="E546" s="14">
        <f>MONTH(A546)</f>
        <v>2</v>
      </c>
      <c r="G546" s="1" t="s">
        <v>120</v>
      </c>
      <c r="H546" s="1">
        <v>17</v>
      </c>
      <c r="I546" s="1" t="s">
        <v>75</v>
      </c>
      <c r="J546" s="13">
        <f>VALUE(MID(I546,1,3))</f>
        <v>220</v>
      </c>
      <c r="K546" s="13">
        <f>VALUE(MID(G546,5,2))</f>
        <v>3</v>
      </c>
    </row>
    <row r="547" spans="1:11">
      <c r="A547" s="7">
        <v>39857</v>
      </c>
      <c r="B547" s="1">
        <v>230.08</v>
      </c>
      <c r="C547" s="1" t="s">
        <v>29</v>
      </c>
      <c r="D547" s="13">
        <f>VALUE(MID(C547,9,3))</f>
        <v>311</v>
      </c>
      <c r="E547" s="14">
        <f>MONTH(A547)</f>
        <v>2</v>
      </c>
      <c r="G547" s="1" t="s">
        <v>120</v>
      </c>
      <c r="H547" s="1">
        <v>61.72</v>
      </c>
      <c r="I547" s="1" t="s">
        <v>82</v>
      </c>
      <c r="J547" s="13">
        <f>VALUE(MID(I547,1,3))</f>
        <v>220</v>
      </c>
      <c r="K547" s="13">
        <f>VALUE(MID(G547,5,2))</f>
        <v>3</v>
      </c>
    </row>
    <row r="548" spans="1:11">
      <c r="A548" s="7">
        <v>39857</v>
      </c>
      <c r="B548" s="1">
        <v>361.78</v>
      </c>
      <c r="C548" s="1" t="s">
        <v>29</v>
      </c>
      <c r="D548" s="13">
        <f>VALUE(MID(C548,9,3))</f>
        <v>311</v>
      </c>
      <c r="E548" s="14">
        <f>MONTH(A548)</f>
        <v>2</v>
      </c>
      <c r="G548" s="1" t="s">
        <v>120</v>
      </c>
      <c r="H548" s="1">
        <v>137.51</v>
      </c>
      <c r="I548" s="1" t="s">
        <v>82</v>
      </c>
      <c r="J548" s="13">
        <f>VALUE(MID(I548,1,3))</f>
        <v>220</v>
      </c>
      <c r="K548" s="13">
        <f>VALUE(MID(G548,5,2))</f>
        <v>3</v>
      </c>
    </row>
    <row r="549" spans="1:11">
      <c r="A549" s="7">
        <v>39857</v>
      </c>
      <c r="B549" s="1">
        <v>533.98</v>
      </c>
      <c r="C549" s="1" t="s">
        <v>29</v>
      </c>
      <c r="D549" s="13">
        <f>VALUE(MID(C549,9,3))</f>
        <v>311</v>
      </c>
      <c r="E549" s="14">
        <f>MONTH(A549)</f>
        <v>2</v>
      </c>
      <c r="G549" s="1" t="s">
        <v>120</v>
      </c>
      <c r="H549" s="1">
        <v>51.25</v>
      </c>
      <c r="I549" s="1" t="s">
        <v>83</v>
      </c>
      <c r="J549" s="13">
        <f>VALUE(MID(I549,1,3))</f>
        <v>220</v>
      </c>
      <c r="K549" s="13">
        <f>VALUE(MID(G549,5,2))</f>
        <v>3</v>
      </c>
    </row>
    <row r="550" spans="1:11">
      <c r="A550" s="7">
        <v>39857</v>
      </c>
      <c r="B550" s="1">
        <v>351.98</v>
      </c>
      <c r="C550" s="1" t="s">
        <v>29</v>
      </c>
      <c r="D550" s="13">
        <f>VALUE(MID(C550,9,3))</f>
        <v>311</v>
      </c>
      <c r="E550" s="14">
        <f>MONTH(A550)</f>
        <v>2</v>
      </c>
      <c r="G550" s="1" t="s">
        <v>120</v>
      </c>
      <c r="H550" s="1">
        <v>38.53</v>
      </c>
      <c r="I550" s="1" t="s">
        <v>82</v>
      </c>
      <c r="J550" s="13">
        <f>VALUE(MID(I550,1,3))</f>
        <v>220</v>
      </c>
      <c r="K550" s="13">
        <f>VALUE(MID(G550,5,2))</f>
        <v>3</v>
      </c>
    </row>
    <row r="551" spans="1:11">
      <c r="A551" s="7">
        <v>39857</v>
      </c>
      <c r="B551" s="1">
        <v>585.66999999999996</v>
      </c>
      <c r="C551" s="1" t="s">
        <v>29</v>
      </c>
      <c r="D551" s="13">
        <f>VALUE(MID(C551,9,3))</f>
        <v>311</v>
      </c>
      <c r="E551" s="14">
        <f>MONTH(A551)</f>
        <v>2</v>
      </c>
      <c r="G551" s="1" t="s">
        <v>120</v>
      </c>
      <c r="H551" s="1">
        <v>94.3</v>
      </c>
      <c r="I551" s="1" t="s">
        <v>89</v>
      </c>
      <c r="J551" s="13">
        <f>VALUE(MID(I551,1,3))</f>
        <v>220</v>
      </c>
      <c r="K551" s="13">
        <f>VALUE(MID(G551,5,2))</f>
        <v>3</v>
      </c>
    </row>
    <row r="552" spans="1:11">
      <c r="A552" s="7">
        <v>39857</v>
      </c>
      <c r="B552" s="1">
        <v>458.87</v>
      </c>
      <c r="C552" s="1" t="s">
        <v>29</v>
      </c>
      <c r="D552" s="13">
        <f>VALUE(MID(C552,9,3))</f>
        <v>311</v>
      </c>
      <c r="E552" s="14">
        <f>MONTH(A552)</f>
        <v>2</v>
      </c>
      <c r="G552" s="1" t="s">
        <v>120</v>
      </c>
      <c r="H552" s="1">
        <v>28.39</v>
      </c>
      <c r="I552" s="1" t="s">
        <v>82</v>
      </c>
      <c r="J552" s="13">
        <f>VALUE(MID(I552,1,3))</f>
        <v>220</v>
      </c>
      <c r="K552" s="13">
        <f>VALUE(MID(G552,5,2))</f>
        <v>3</v>
      </c>
    </row>
    <row r="553" spans="1:11">
      <c r="A553" s="7">
        <v>39857</v>
      </c>
      <c r="B553" s="1">
        <v>572.5</v>
      </c>
      <c r="C553" s="1" t="s">
        <v>29</v>
      </c>
      <c r="D553" s="13">
        <f>VALUE(MID(C553,9,3))</f>
        <v>311</v>
      </c>
      <c r="E553" s="14">
        <f>MONTH(A553)</f>
        <v>2</v>
      </c>
      <c r="G553" s="1" t="s">
        <v>120</v>
      </c>
      <c r="H553" s="1">
        <v>109.6</v>
      </c>
      <c r="I553" s="1" t="s">
        <v>82</v>
      </c>
      <c r="J553" s="13">
        <f>VALUE(MID(I553,1,3))</f>
        <v>220</v>
      </c>
      <c r="K553" s="13">
        <f>VALUE(MID(G553,5,2))</f>
        <v>3</v>
      </c>
    </row>
    <row r="554" spans="1:11">
      <c r="A554" s="7">
        <v>39857</v>
      </c>
      <c r="B554" s="1">
        <v>223.54</v>
      </c>
      <c r="C554" s="1" t="s">
        <v>29</v>
      </c>
      <c r="D554" s="13">
        <f>VALUE(MID(C554,9,3))</f>
        <v>311</v>
      </c>
      <c r="E554" s="14">
        <f>MONTH(A554)</f>
        <v>2</v>
      </c>
      <c r="G554" s="1" t="s">
        <v>120</v>
      </c>
      <c r="H554" s="1">
        <v>96.25</v>
      </c>
      <c r="I554" s="1" t="s">
        <v>83</v>
      </c>
      <c r="J554" s="13">
        <f>VALUE(MID(I554,1,3))</f>
        <v>220</v>
      </c>
      <c r="K554" s="13">
        <f>VALUE(MID(G554,5,2))</f>
        <v>3</v>
      </c>
    </row>
    <row r="555" spans="1:11">
      <c r="A555" s="7">
        <v>39857</v>
      </c>
      <c r="B555" s="1">
        <v>770.05</v>
      </c>
      <c r="C555" s="1" t="s">
        <v>29</v>
      </c>
      <c r="D555" s="13">
        <f>VALUE(MID(C555,9,3))</f>
        <v>311</v>
      </c>
      <c r="E555" s="14">
        <f>MONTH(A555)</f>
        <v>2</v>
      </c>
      <c r="G555" s="1" t="s">
        <v>120</v>
      </c>
      <c r="H555" s="1">
        <v>96.15</v>
      </c>
      <c r="I555" s="1" t="s">
        <v>81</v>
      </c>
      <c r="J555" s="13">
        <f>VALUE(MID(I555,1,3))</f>
        <v>220</v>
      </c>
      <c r="K555" s="13">
        <f>VALUE(MID(G555,5,2))</f>
        <v>3</v>
      </c>
    </row>
    <row r="556" spans="1:11">
      <c r="A556" s="7">
        <v>39857</v>
      </c>
      <c r="B556" s="1">
        <v>598.84</v>
      </c>
      <c r="C556" s="1" t="s">
        <v>29</v>
      </c>
      <c r="D556" s="13">
        <f>VALUE(MID(C556,9,3))</f>
        <v>311</v>
      </c>
      <c r="E556" s="14">
        <f>MONTH(A556)</f>
        <v>2</v>
      </c>
      <c r="G556" s="1" t="s">
        <v>120</v>
      </c>
      <c r="H556" s="1">
        <v>121.3</v>
      </c>
      <c r="I556" s="1" t="s">
        <v>82</v>
      </c>
      <c r="J556" s="13">
        <f>VALUE(MID(I556,1,3))</f>
        <v>220</v>
      </c>
      <c r="K556" s="13">
        <f>VALUE(MID(G556,5,2))</f>
        <v>3</v>
      </c>
    </row>
    <row r="557" spans="1:11">
      <c r="A557" s="7">
        <v>39857</v>
      </c>
      <c r="B557" s="1">
        <v>192.8</v>
      </c>
      <c r="C557" s="1" t="s">
        <v>29</v>
      </c>
      <c r="D557" s="13">
        <f>VALUE(MID(C557,9,3))</f>
        <v>311</v>
      </c>
      <c r="E557" s="14">
        <f>MONTH(A557)</f>
        <v>2</v>
      </c>
      <c r="G557" s="1" t="s">
        <v>120</v>
      </c>
      <c r="H557" s="1">
        <v>108.7</v>
      </c>
      <c r="I557" s="1" t="s">
        <v>83</v>
      </c>
      <c r="J557" s="13">
        <f>VALUE(MID(I557,1,3))</f>
        <v>220</v>
      </c>
      <c r="K557" s="13">
        <f>VALUE(MID(G557,5,2))</f>
        <v>3</v>
      </c>
    </row>
    <row r="558" spans="1:11">
      <c r="A558" s="7">
        <v>39857</v>
      </c>
      <c r="B558" s="1">
        <v>375.28</v>
      </c>
      <c r="C558" s="1" t="s">
        <v>29</v>
      </c>
      <c r="D558" s="13">
        <f>VALUE(MID(C558,9,3))</f>
        <v>311</v>
      </c>
      <c r="E558" s="14">
        <f>MONTH(A558)</f>
        <v>2</v>
      </c>
      <c r="G558" s="1" t="s">
        <v>120</v>
      </c>
      <c r="H558" s="1">
        <v>270</v>
      </c>
      <c r="I558" s="1" t="s">
        <v>83</v>
      </c>
      <c r="J558" s="13">
        <f>VALUE(MID(I558,1,3))</f>
        <v>220</v>
      </c>
      <c r="K558" s="13">
        <f>VALUE(MID(G558,5,2))</f>
        <v>3</v>
      </c>
    </row>
    <row r="559" spans="1:11">
      <c r="A559" s="7">
        <v>39857</v>
      </c>
      <c r="B559" s="1">
        <v>234.73</v>
      </c>
      <c r="C559" s="1" t="s">
        <v>29</v>
      </c>
      <c r="D559" s="13">
        <f>VALUE(MID(C559,9,3))</f>
        <v>311</v>
      </c>
      <c r="E559" s="14">
        <f>MONTH(A559)</f>
        <v>2</v>
      </c>
      <c r="G559" s="1" t="s">
        <v>120</v>
      </c>
      <c r="H559" s="1">
        <v>519.12</v>
      </c>
      <c r="I559" s="1" t="s">
        <v>106</v>
      </c>
      <c r="J559" s="13">
        <f>VALUE(MID(I559,1,3))</f>
        <v>220</v>
      </c>
      <c r="K559" s="13">
        <f>VALUE(MID(G559,5,2))</f>
        <v>3</v>
      </c>
    </row>
    <row r="560" spans="1:11">
      <c r="A560" s="7">
        <v>39857</v>
      </c>
      <c r="B560" s="1">
        <v>414.46</v>
      </c>
      <c r="C560" s="1" t="s">
        <v>29</v>
      </c>
      <c r="D560" s="13">
        <f>VALUE(MID(C560,9,3))</f>
        <v>311</v>
      </c>
      <c r="E560" s="14">
        <f>MONTH(A560)</f>
        <v>2</v>
      </c>
      <c r="G560" s="1" t="s">
        <v>120</v>
      </c>
      <c r="H560" s="1">
        <v>25</v>
      </c>
      <c r="I560" s="1" t="s">
        <v>81</v>
      </c>
      <c r="J560" s="13">
        <f>VALUE(MID(I560,1,3))</f>
        <v>220</v>
      </c>
      <c r="K560" s="13">
        <f>VALUE(MID(G560,5,2))</f>
        <v>3</v>
      </c>
    </row>
    <row r="561" spans="1:11">
      <c r="A561" s="7">
        <v>39857</v>
      </c>
      <c r="B561" s="1">
        <v>368.32</v>
      </c>
      <c r="C561" s="1" t="s">
        <v>29</v>
      </c>
      <c r="D561" s="13">
        <f>VALUE(MID(C561,9,3))</f>
        <v>311</v>
      </c>
      <c r="E561" s="14">
        <f>MONTH(A561)</f>
        <v>2</v>
      </c>
      <c r="G561" s="1" t="s">
        <v>120</v>
      </c>
      <c r="H561" s="1">
        <v>65</v>
      </c>
      <c r="I561" s="1" t="s">
        <v>81</v>
      </c>
      <c r="J561" s="13">
        <f>VALUE(MID(I561,1,3))</f>
        <v>220</v>
      </c>
      <c r="K561" s="13">
        <f>VALUE(MID(G561,5,2))</f>
        <v>3</v>
      </c>
    </row>
    <row r="562" spans="1:11">
      <c r="A562" s="7">
        <v>39857</v>
      </c>
      <c r="B562" s="1">
        <v>388.12</v>
      </c>
      <c r="C562" s="1" t="s">
        <v>29</v>
      </c>
      <c r="D562" s="13">
        <f>VALUE(MID(C562,9,3))</f>
        <v>311</v>
      </c>
      <c r="E562" s="14">
        <f>MONTH(A562)</f>
        <v>2</v>
      </c>
      <c r="G562" s="1" t="s">
        <v>120</v>
      </c>
      <c r="H562" s="1">
        <v>52.21</v>
      </c>
      <c r="I562" s="1" t="s">
        <v>89</v>
      </c>
      <c r="J562" s="13">
        <f>VALUE(MID(I562,1,3))</f>
        <v>220</v>
      </c>
      <c r="K562" s="13">
        <f>VALUE(MID(G562,5,2))</f>
        <v>3</v>
      </c>
    </row>
    <row r="563" spans="1:11">
      <c r="A563" s="7">
        <v>39857</v>
      </c>
      <c r="B563" s="1">
        <v>572.5</v>
      </c>
      <c r="C563" s="1" t="s">
        <v>29</v>
      </c>
      <c r="D563" s="13">
        <f>VALUE(MID(C563,9,3))</f>
        <v>311</v>
      </c>
      <c r="E563" s="14">
        <f>MONTH(A563)</f>
        <v>2</v>
      </c>
      <c r="G563" s="1" t="s">
        <v>120</v>
      </c>
      <c r="H563" s="1">
        <v>65.37</v>
      </c>
      <c r="I563" s="1" t="s">
        <v>82</v>
      </c>
      <c r="J563" s="13">
        <f>VALUE(MID(I563,1,3))</f>
        <v>220</v>
      </c>
      <c r="K563" s="13">
        <f>VALUE(MID(G563,5,2))</f>
        <v>3</v>
      </c>
    </row>
    <row r="564" spans="1:11">
      <c r="A564" s="7">
        <v>39857</v>
      </c>
      <c r="B564" s="1">
        <v>453.97</v>
      </c>
      <c r="C564" s="1" t="s">
        <v>29</v>
      </c>
      <c r="D564" s="13">
        <f>VALUE(MID(C564,9,3))</f>
        <v>311</v>
      </c>
      <c r="E564" s="14">
        <f>MONTH(A564)</f>
        <v>2</v>
      </c>
      <c r="G564" s="1" t="s">
        <v>130</v>
      </c>
      <c r="H564" s="1">
        <v>21.55</v>
      </c>
      <c r="I564" s="1" t="s">
        <v>81</v>
      </c>
      <c r="J564" s="13">
        <f>VALUE(MID(I564,1,3))</f>
        <v>220</v>
      </c>
      <c r="K564" s="13">
        <f>VALUE(MID(G564,5,2))</f>
        <v>3</v>
      </c>
    </row>
    <row r="565" spans="1:11">
      <c r="A565" s="7">
        <v>39857</v>
      </c>
      <c r="B565" s="1">
        <v>75</v>
      </c>
      <c r="C565" s="1" t="s">
        <v>21</v>
      </c>
      <c r="D565" s="13">
        <f>VALUE(MID(C565,9,3))</f>
        <v>311</v>
      </c>
      <c r="E565" s="14">
        <f>MONTH(A565)</f>
        <v>2</v>
      </c>
      <c r="G565" s="1" t="s">
        <v>139</v>
      </c>
      <c r="H565" s="1">
        <v>44.56</v>
      </c>
      <c r="I565" s="1" t="s">
        <v>75</v>
      </c>
      <c r="J565" s="13">
        <f>VALUE(MID(I565,1,3))</f>
        <v>220</v>
      </c>
      <c r="K565" s="13">
        <f>VALUE(MID(G565,5,2))</f>
        <v>4</v>
      </c>
    </row>
    <row r="566" spans="1:11">
      <c r="A566" s="7">
        <v>39885</v>
      </c>
      <c r="B566" s="1">
        <v>450</v>
      </c>
      <c r="C566" s="1" t="s">
        <v>41</v>
      </c>
      <c r="D566" s="13">
        <f>VALUE(MID(C566,9,3))</f>
        <v>311</v>
      </c>
      <c r="E566" s="14">
        <f>MONTH(A566)</f>
        <v>3</v>
      </c>
      <c r="G566" s="1" t="s">
        <v>139</v>
      </c>
      <c r="H566" s="1">
        <v>5.2</v>
      </c>
      <c r="I566" s="1" t="s">
        <v>75</v>
      </c>
      <c r="J566" s="13">
        <f>VALUE(MID(I566,1,3))</f>
        <v>220</v>
      </c>
      <c r="K566" s="13">
        <f>VALUE(MID(G566,5,2))</f>
        <v>4</v>
      </c>
    </row>
    <row r="567" spans="1:11">
      <c r="A567" s="7">
        <v>40007</v>
      </c>
      <c r="B567" s="1">
        <v>887.33</v>
      </c>
      <c r="C567" s="1" t="s">
        <v>7</v>
      </c>
      <c r="D567" s="13">
        <f>VALUE(MID(C567,9,3))</f>
        <v>311</v>
      </c>
      <c r="E567" s="14">
        <f>MONTH(A567)</f>
        <v>7</v>
      </c>
      <c r="G567" s="1" t="s">
        <v>139</v>
      </c>
      <c r="H567" s="1">
        <v>0.74</v>
      </c>
      <c r="I567" s="1" t="s">
        <v>75</v>
      </c>
      <c r="J567" s="13">
        <f>VALUE(MID(I567,1,3))</f>
        <v>220</v>
      </c>
      <c r="K567" s="13">
        <f>VALUE(MID(G567,5,2))</f>
        <v>4</v>
      </c>
    </row>
    <row r="568" spans="1:11">
      <c r="A568" s="7">
        <v>40007</v>
      </c>
      <c r="B568" s="1">
        <v>406.5</v>
      </c>
      <c r="C568" s="1" t="s">
        <v>12</v>
      </c>
      <c r="D568" s="13">
        <f>VALUE(MID(C568,9,3))</f>
        <v>311</v>
      </c>
      <c r="E568" s="14">
        <f>MONTH(A568)</f>
        <v>7</v>
      </c>
      <c r="G568" s="1" t="s">
        <v>139</v>
      </c>
      <c r="H568" s="1">
        <v>3.71</v>
      </c>
      <c r="I568" s="1" t="s">
        <v>75</v>
      </c>
      <c r="J568" s="13">
        <f>VALUE(MID(I568,1,3))</f>
        <v>220</v>
      </c>
      <c r="K568" s="13">
        <f>VALUE(MID(G568,5,2))</f>
        <v>4</v>
      </c>
    </row>
    <row r="569" spans="1:11">
      <c r="A569" s="7">
        <v>40007</v>
      </c>
      <c r="B569" s="1">
        <v>813</v>
      </c>
      <c r="C569" s="1" t="s">
        <v>12</v>
      </c>
      <c r="D569" s="13">
        <f>VALUE(MID(C569,9,3))</f>
        <v>311</v>
      </c>
      <c r="E569" s="14">
        <f>MONTH(A569)</f>
        <v>7</v>
      </c>
      <c r="G569" s="1" t="s">
        <v>139</v>
      </c>
      <c r="H569" s="1">
        <v>7.77</v>
      </c>
      <c r="I569" s="1" t="s">
        <v>75</v>
      </c>
      <c r="J569" s="13">
        <f>VALUE(MID(I569,1,3))</f>
        <v>220</v>
      </c>
      <c r="K569" s="13">
        <f>VALUE(MID(G569,5,2))</f>
        <v>4</v>
      </c>
    </row>
    <row r="570" spans="1:11">
      <c r="A570" s="7">
        <v>40007</v>
      </c>
      <c r="B570" s="1">
        <v>940.5</v>
      </c>
      <c r="C570" s="1" t="s">
        <v>3</v>
      </c>
      <c r="D570" s="13">
        <f>VALUE(MID(C570,9,3))</f>
        <v>311</v>
      </c>
      <c r="E570" s="14">
        <f>MONTH(A570)</f>
        <v>7</v>
      </c>
      <c r="G570" s="1" t="s">
        <v>139</v>
      </c>
      <c r="H570" s="1">
        <v>4.5199999999999996</v>
      </c>
      <c r="I570" s="1" t="s">
        <v>75</v>
      </c>
      <c r="J570" s="13">
        <f>VALUE(MID(I570,1,3))</f>
        <v>220</v>
      </c>
      <c r="K570" s="13">
        <f>VALUE(MID(G570,5,2))</f>
        <v>4</v>
      </c>
    </row>
    <row r="571" spans="1:11">
      <c r="A571" s="7">
        <v>40007</v>
      </c>
      <c r="B571" s="1">
        <v>470.25</v>
      </c>
      <c r="C571" s="1" t="s">
        <v>3</v>
      </c>
      <c r="D571" s="13">
        <f>VALUE(MID(C571,9,3))</f>
        <v>311</v>
      </c>
      <c r="E571" s="14">
        <f>MONTH(A571)</f>
        <v>7</v>
      </c>
      <c r="G571" s="1" t="s">
        <v>139</v>
      </c>
      <c r="H571" s="1">
        <v>5.27</v>
      </c>
      <c r="I571" s="1" t="s">
        <v>75</v>
      </c>
      <c r="J571" s="13">
        <f>VALUE(MID(I571,1,3))</f>
        <v>220</v>
      </c>
      <c r="K571" s="13">
        <f>VALUE(MID(G571,5,2))</f>
        <v>4</v>
      </c>
    </row>
    <row r="572" spans="1:11">
      <c r="A572" s="7">
        <v>40007</v>
      </c>
      <c r="B572" s="1">
        <v>940.5</v>
      </c>
      <c r="C572" s="1" t="s">
        <v>3</v>
      </c>
      <c r="D572" s="13">
        <f>VALUE(MID(C572,9,3))</f>
        <v>311</v>
      </c>
      <c r="E572" s="14">
        <f>MONTH(A572)</f>
        <v>7</v>
      </c>
      <c r="G572" s="1" t="s">
        <v>139</v>
      </c>
      <c r="H572" s="1">
        <v>0.75</v>
      </c>
      <c r="I572" s="1" t="s">
        <v>75</v>
      </c>
      <c r="J572" s="13">
        <f>VALUE(MID(I572,1,3))</f>
        <v>220</v>
      </c>
      <c r="K572" s="13">
        <f>VALUE(MID(G572,5,2))</f>
        <v>4</v>
      </c>
    </row>
    <row r="573" spans="1:11">
      <c r="A573" s="7">
        <v>40007</v>
      </c>
      <c r="B573" s="1">
        <v>888.58</v>
      </c>
      <c r="C573" s="1" t="s">
        <v>5</v>
      </c>
      <c r="D573" s="13">
        <f>VALUE(MID(C573,9,3))</f>
        <v>311</v>
      </c>
      <c r="E573" s="14">
        <f>MONTH(A573)</f>
        <v>7</v>
      </c>
      <c r="G573" s="1" t="s">
        <v>139</v>
      </c>
      <c r="H573" s="1">
        <v>2.2000000000000002</v>
      </c>
      <c r="I573" s="1" t="s">
        <v>75</v>
      </c>
      <c r="J573" s="13">
        <f>VALUE(MID(I573,1,3))</f>
        <v>220</v>
      </c>
      <c r="K573" s="13">
        <f>VALUE(MID(G573,5,2))</f>
        <v>4</v>
      </c>
    </row>
    <row r="574" spans="1:11">
      <c r="A574" s="7">
        <v>40007</v>
      </c>
      <c r="B574" s="1">
        <v>532.9</v>
      </c>
      <c r="C574" s="1" t="s">
        <v>6</v>
      </c>
      <c r="D574" s="13">
        <f>VALUE(MID(C574,9,3))</f>
        <v>311</v>
      </c>
      <c r="E574" s="14">
        <f>MONTH(A574)</f>
        <v>7</v>
      </c>
      <c r="G574" s="1" t="s">
        <v>139</v>
      </c>
      <c r="H574" s="1">
        <v>15.15</v>
      </c>
      <c r="I574" s="1" t="s">
        <v>75</v>
      </c>
      <c r="J574" s="13">
        <f>VALUE(MID(I574,1,3))</f>
        <v>220</v>
      </c>
      <c r="K574" s="13">
        <f>VALUE(MID(G574,5,2))</f>
        <v>4</v>
      </c>
    </row>
    <row r="575" spans="1:11">
      <c r="A575" s="7">
        <v>40007</v>
      </c>
      <c r="B575" s="1">
        <v>230.08</v>
      </c>
      <c r="C575" s="1" t="s">
        <v>6</v>
      </c>
      <c r="D575" s="13">
        <f>VALUE(MID(C575,9,3))</f>
        <v>311</v>
      </c>
      <c r="E575" s="14">
        <f>MONTH(A575)</f>
        <v>7</v>
      </c>
      <c r="G575" s="1" t="s">
        <v>139</v>
      </c>
      <c r="H575" s="1">
        <v>7.56</v>
      </c>
      <c r="I575" s="1" t="s">
        <v>75</v>
      </c>
      <c r="J575" s="13">
        <f>VALUE(MID(I575,1,3))</f>
        <v>220</v>
      </c>
      <c r="K575" s="13">
        <f>VALUE(MID(G575,5,2))</f>
        <v>4</v>
      </c>
    </row>
    <row r="576" spans="1:11">
      <c r="A576" s="7">
        <v>40007</v>
      </c>
      <c r="B576" s="1">
        <v>617.98</v>
      </c>
      <c r="C576" s="1" t="s">
        <v>6</v>
      </c>
      <c r="D576" s="13">
        <f>VALUE(MID(C576,9,3))</f>
        <v>311</v>
      </c>
      <c r="E576" s="14">
        <f>MONTH(A576)</f>
        <v>7</v>
      </c>
      <c r="G576" s="1" t="s">
        <v>139</v>
      </c>
      <c r="H576" s="1">
        <v>6.83</v>
      </c>
      <c r="I576" s="1" t="s">
        <v>75</v>
      </c>
      <c r="J576" s="13">
        <f>VALUE(MID(I576,1,3))</f>
        <v>220</v>
      </c>
      <c r="K576" s="13">
        <f>VALUE(MID(G576,5,2))</f>
        <v>4</v>
      </c>
    </row>
    <row r="577" spans="1:11">
      <c r="A577" s="7">
        <v>40007</v>
      </c>
      <c r="B577" s="1">
        <v>216.91</v>
      </c>
      <c r="C577" s="1" t="s">
        <v>6</v>
      </c>
      <c r="D577" s="13">
        <f>VALUE(MID(C577,9,3))</f>
        <v>311</v>
      </c>
      <c r="E577" s="14">
        <f>MONTH(A577)</f>
        <v>7</v>
      </c>
      <c r="G577" s="1" t="s">
        <v>139</v>
      </c>
      <c r="H577" s="1">
        <v>27.76</v>
      </c>
      <c r="I577" s="1" t="s">
        <v>75</v>
      </c>
      <c r="J577" s="13">
        <f>VALUE(MID(I577,1,3))</f>
        <v>220</v>
      </c>
      <c r="K577" s="13">
        <f>VALUE(MID(G577,5,2))</f>
        <v>4</v>
      </c>
    </row>
    <row r="578" spans="1:11">
      <c r="A578" s="7">
        <v>40007</v>
      </c>
      <c r="B578" s="1">
        <v>216.91</v>
      </c>
      <c r="C578" s="1" t="s">
        <v>6</v>
      </c>
      <c r="D578" s="13">
        <f>VALUE(MID(C578,9,3))</f>
        <v>311</v>
      </c>
      <c r="E578" s="14">
        <f>MONTH(A578)</f>
        <v>7</v>
      </c>
      <c r="G578" s="1" t="s">
        <v>139</v>
      </c>
      <c r="H578" s="1">
        <v>30.86</v>
      </c>
      <c r="I578" s="1" t="s">
        <v>89</v>
      </c>
      <c r="J578" s="13">
        <f>VALUE(MID(I578,1,3))</f>
        <v>220</v>
      </c>
      <c r="K578" s="13">
        <f>VALUE(MID(G578,5,2))</f>
        <v>4</v>
      </c>
    </row>
    <row r="579" spans="1:11">
      <c r="A579" s="7">
        <v>40007</v>
      </c>
      <c r="B579" s="1">
        <v>1138.81</v>
      </c>
      <c r="C579" s="1" t="s">
        <v>6</v>
      </c>
      <c r="D579" s="13">
        <f>VALUE(MID(C579,9,3))</f>
        <v>311</v>
      </c>
      <c r="E579" s="14">
        <f>MONTH(A579)</f>
        <v>7</v>
      </c>
      <c r="G579" s="1" t="s">
        <v>139</v>
      </c>
      <c r="H579" s="1">
        <v>573.14</v>
      </c>
      <c r="I579" s="1" t="s">
        <v>84</v>
      </c>
      <c r="J579" s="13">
        <f>VALUE(MID(I579,1,3))</f>
        <v>220</v>
      </c>
      <c r="K579" s="13">
        <f>VALUE(MID(G579,5,2))</f>
        <v>4</v>
      </c>
    </row>
    <row r="580" spans="1:11">
      <c r="A580" s="7">
        <v>40007</v>
      </c>
      <c r="B580" s="1">
        <v>174.8</v>
      </c>
      <c r="C580" s="1" t="s">
        <v>6</v>
      </c>
      <c r="D580" s="13">
        <f>VALUE(MID(C580,9,3))</f>
        <v>311</v>
      </c>
      <c r="E580" s="14">
        <f>MONTH(A580)</f>
        <v>7</v>
      </c>
      <c r="G580" s="1" t="s">
        <v>139</v>
      </c>
      <c r="H580" s="1">
        <v>305</v>
      </c>
      <c r="I580" s="1" t="s">
        <v>75</v>
      </c>
      <c r="J580" s="13">
        <f>VALUE(MID(I580,1,3))</f>
        <v>220</v>
      </c>
      <c r="K580" s="13">
        <f>VALUE(MID(G580,5,2))</f>
        <v>4</v>
      </c>
    </row>
    <row r="581" spans="1:11">
      <c r="A581" s="7">
        <v>40007</v>
      </c>
      <c r="B581" s="1">
        <v>230.08</v>
      </c>
      <c r="C581" s="1" t="s">
        <v>6</v>
      </c>
      <c r="D581" s="13">
        <f>VALUE(MID(C581,9,3))</f>
        <v>311</v>
      </c>
      <c r="E581" s="14">
        <f>MONTH(A581)</f>
        <v>7</v>
      </c>
      <c r="G581" s="1" t="s">
        <v>139</v>
      </c>
      <c r="H581" s="1">
        <v>1066.8800000000001</v>
      </c>
      <c r="I581" s="1" t="s">
        <v>106</v>
      </c>
      <c r="J581" s="13">
        <f>VALUE(MID(I581,1,3))</f>
        <v>220</v>
      </c>
      <c r="K581" s="13">
        <f>VALUE(MID(G581,5,2))</f>
        <v>4</v>
      </c>
    </row>
    <row r="582" spans="1:11">
      <c r="A582" s="7">
        <v>40007</v>
      </c>
      <c r="B582" s="1">
        <v>532.99</v>
      </c>
      <c r="C582" s="1" t="s">
        <v>6</v>
      </c>
      <c r="D582" s="13">
        <f>VALUE(MID(C582,9,3))</f>
        <v>311</v>
      </c>
      <c r="E582" s="14">
        <f>MONTH(A582)</f>
        <v>7</v>
      </c>
      <c r="G582" s="1" t="s">
        <v>139</v>
      </c>
      <c r="H582" s="1">
        <v>90</v>
      </c>
      <c r="I582" s="1" t="s">
        <v>81</v>
      </c>
      <c r="J582" s="13">
        <f>VALUE(MID(I582,1,3))</f>
        <v>220</v>
      </c>
      <c r="K582" s="13">
        <f>VALUE(MID(G582,5,2))</f>
        <v>4</v>
      </c>
    </row>
    <row r="583" spans="1:11">
      <c r="A583" s="7">
        <v>40007</v>
      </c>
      <c r="B583" s="1">
        <v>546.16</v>
      </c>
      <c r="C583" s="1" t="s">
        <v>6</v>
      </c>
      <c r="D583" s="13">
        <f>VALUE(MID(C583,9,3))</f>
        <v>311</v>
      </c>
      <c r="E583" s="14">
        <f>MONTH(A583)</f>
        <v>7</v>
      </c>
      <c r="G583" s="1" t="s">
        <v>139</v>
      </c>
      <c r="H583" s="1">
        <v>16.5</v>
      </c>
      <c r="I583" s="1" t="s">
        <v>81</v>
      </c>
      <c r="J583" s="13">
        <f>VALUE(MID(I583,1,3))</f>
        <v>220</v>
      </c>
      <c r="K583" s="13">
        <f>VALUE(MID(G583,5,2))</f>
        <v>4</v>
      </c>
    </row>
    <row r="584" spans="1:11">
      <c r="A584" s="7">
        <v>40007</v>
      </c>
      <c r="B584" s="1">
        <v>216.91</v>
      </c>
      <c r="C584" s="1" t="s">
        <v>6</v>
      </c>
      <c r="D584" s="13">
        <f>VALUE(MID(C584,9,3))</f>
        <v>311</v>
      </c>
      <c r="E584" s="14">
        <f>MONTH(A584)</f>
        <v>7</v>
      </c>
      <c r="G584" s="1" t="s">
        <v>139</v>
      </c>
      <c r="H584" s="1">
        <v>57.95</v>
      </c>
      <c r="I584" s="1" t="s">
        <v>81</v>
      </c>
      <c r="J584" s="13">
        <f>VALUE(MID(I584,1,3))</f>
        <v>220</v>
      </c>
      <c r="K584" s="13">
        <f>VALUE(MID(G584,5,2))</f>
        <v>4</v>
      </c>
    </row>
    <row r="585" spans="1:11">
      <c r="A585" s="7">
        <v>40099</v>
      </c>
      <c r="B585" s="1">
        <v>575</v>
      </c>
      <c r="C585" s="1" t="s">
        <v>17</v>
      </c>
      <c r="D585" s="13">
        <f>VALUE(MID(C585,9,3))</f>
        <v>311</v>
      </c>
      <c r="E585" s="14">
        <f>MONTH(A585)</f>
        <v>10</v>
      </c>
      <c r="G585" s="1" t="s">
        <v>139</v>
      </c>
      <c r="H585" s="1">
        <v>45</v>
      </c>
      <c r="I585" s="1" t="s">
        <v>81</v>
      </c>
      <c r="J585" s="13">
        <f>VALUE(MID(I585,1,3))</f>
        <v>220</v>
      </c>
      <c r="K585" s="13">
        <f>VALUE(MID(G585,5,2))</f>
        <v>4</v>
      </c>
    </row>
    <row r="586" spans="1:11">
      <c r="A586" s="7">
        <v>40099</v>
      </c>
      <c r="B586" s="1">
        <v>80</v>
      </c>
      <c r="C586" s="1" t="s">
        <v>18</v>
      </c>
      <c r="D586" s="13">
        <f>VALUE(MID(C586,9,3))</f>
        <v>311</v>
      </c>
      <c r="E586" s="14">
        <f>MONTH(A586)</f>
        <v>10</v>
      </c>
      <c r="G586" s="1" t="s">
        <v>139</v>
      </c>
      <c r="H586" s="1">
        <v>22.5</v>
      </c>
      <c r="I586" s="1" t="s">
        <v>81</v>
      </c>
      <c r="J586" s="13">
        <f>VALUE(MID(I586,1,3))</f>
        <v>220</v>
      </c>
      <c r="K586" s="13">
        <f>VALUE(MID(G586,5,2))</f>
        <v>4</v>
      </c>
    </row>
    <row r="587" spans="1:11">
      <c r="A587" s="7">
        <v>40099</v>
      </c>
      <c r="B587" s="1">
        <v>80</v>
      </c>
      <c r="C587" s="1" t="s">
        <v>18</v>
      </c>
      <c r="D587" s="13">
        <f>VALUE(MID(C587,9,3))</f>
        <v>311</v>
      </c>
      <c r="E587" s="14">
        <f>MONTH(A587)</f>
        <v>10</v>
      </c>
      <c r="G587" s="1" t="s">
        <v>139</v>
      </c>
      <c r="H587" s="1">
        <v>1096.19</v>
      </c>
      <c r="I587" s="1" t="s">
        <v>106</v>
      </c>
      <c r="J587" s="13">
        <f>VALUE(MID(I587,1,3))</f>
        <v>220</v>
      </c>
      <c r="K587" s="13">
        <f>VALUE(MID(G587,5,2))</f>
        <v>4</v>
      </c>
    </row>
    <row r="588" spans="1:11">
      <c r="A588" s="7">
        <v>39827</v>
      </c>
      <c r="B588" s="1">
        <v>360</v>
      </c>
      <c r="C588" s="1" t="s">
        <v>22</v>
      </c>
      <c r="D588" s="13">
        <f>VALUE(MID(C588,9,3))</f>
        <v>311</v>
      </c>
      <c r="E588" s="14">
        <f>MONTH(A588)</f>
        <v>1</v>
      </c>
      <c r="G588" s="1" t="s">
        <v>139</v>
      </c>
      <c r="H588" s="1">
        <v>85</v>
      </c>
      <c r="I588" s="1" t="s">
        <v>81</v>
      </c>
      <c r="J588" s="13">
        <f>VALUE(MID(I588,1,3))</f>
        <v>220</v>
      </c>
      <c r="K588" s="13">
        <f>VALUE(MID(G588,5,2))</f>
        <v>4</v>
      </c>
    </row>
    <row r="589" spans="1:11">
      <c r="A589" s="7">
        <v>39827</v>
      </c>
      <c r="B589" s="1">
        <v>360</v>
      </c>
      <c r="C589" s="1" t="s">
        <v>22</v>
      </c>
      <c r="D589" s="13">
        <f>VALUE(MID(C589,9,3))</f>
        <v>311</v>
      </c>
      <c r="E589" s="14">
        <f>MONTH(A589)</f>
        <v>1</v>
      </c>
      <c r="G589" s="1" t="s">
        <v>139</v>
      </c>
      <c r="H589" s="1">
        <v>165</v>
      </c>
      <c r="I589" s="1" t="s">
        <v>83</v>
      </c>
      <c r="J589" s="13">
        <f>VALUE(MID(I589,1,3))</f>
        <v>220</v>
      </c>
      <c r="K589" s="13">
        <f>VALUE(MID(G589,5,2))</f>
        <v>4</v>
      </c>
    </row>
    <row r="590" spans="1:11">
      <c r="A590" s="7">
        <v>39827</v>
      </c>
      <c r="B590" s="1">
        <v>360</v>
      </c>
      <c r="C590" s="1" t="s">
        <v>22</v>
      </c>
      <c r="D590" s="13">
        <f>VALUE(MID(C590,9,3))</f>
        <v>311</v>
      </c>
      <c r="E590" s="14">
        <f>MONTH(A590)</f>
        <v>1</v>
      </c>
      <c r="G590" s="1" t="s">
        <v>139</v>
      </c>
      <c r="H590" s="1">
        <v>109.2</v>
      </c>
      <c r="I590" s="1" t="s">
        <v>75</v>
      </c>
      <c r="J590" s="13">
        <f>VALUE(MID(I590,1,3))</f>
        <v>220</v>
      </c>
      <c r="K590" s="13">
        <f>VALUE(MID(G590,5,2))</f>
        <v>4</v>
      </c>
    </row>
    <row r="591" spans="1:11">
      <c r="A591" s="7">
        <v>39827</v>
      </c>
      <c r="B591" s="1">
        <v>150</v>
      </c>
      <c r="C591" s="1" t="s">
        <v>41</v>
      </c>
      <c r="D591" s="13">
        <f>VALUE(MID(C591,9,3))</f>
        <v>311</v>
      </c>
      <c r="E591" s="14">
        <f>MONTH(A591)</f>
        <v>1</v>
      </c>
      <c r="G591" s="1" t="s">
        <v>139</v>
      </c>
      <c r="H591" s="1">
        <v>77.75</v>
      </c>
      <c r="I591" s="1" t="s">
        <v>83</v>
      </c>
      <c r="J591" s="13">
        <f>VALUE(MID(I591,1,3))</f>
        <v>220</v>
      </c>
      <c r="K591" s="13">
        <f>VALUE(MID(G591,5,2))</f>
        <v>4</v>
      </c>
    </row>
    <row r="592" spans="1:11">
      <c r="A592" s="7">
        <v>39858</v>
      </c>
      <c r="B592" s="1">
        <v>273.08</v>
      </c>
      <c r="C592" s="1" t="s">
        <v>29</v>
      </c>
      <c r="D592" s="13">
        <f>VALUE(MID(C592,9,3))</f>
        <v>311</v>
      </c>
      <c r="E592" s="14">
        <f>MONTH(A592)</f>
        <v>2</v>
      </c>
      <c r="G592" s="1" t="s">
        <v>139</v>
      </c>
      <c r="H592" s="1">
        <v>66</v>
      </c>
      <c r="I592" s="1" t="s">
        <v>82</v>
      </c>
      <c r="J592" s="13">
        <f>VALUE(MID(I592,1,3))</f>
        <v>220</v>
      </c>
      <c r="K592" s="13">
        <f>VALUE(MID(G592,5,2))</f>
        <v>4</v>
      </c>
    </row>
    <row r="593" spans="1:11">
      <c r="A593" s="7">
        <v>39858</v>
      </c>
      <c r="B593" s="1">
        <v>849.07</v>
      </c>
      <c r="C593" s="1" t="s">
        <v>29</v>
      </c>
      <c r="D593" s="13">
        <f>VALUE(MID(C593,9,3))</f>
        <v>311</v>
      </c>
      <c r="E593" s="14">
        <f>MONTH(A593)</f>
        <v>2</v>
      </c>
      <c r="G593" s="1" t="s">
        <v>145</v>
      </c>
      <c r="H593" s="1">
        <v>7.9</v>
      </c>
      <c r="I593" s="1" t="s">
        <v>83</v>
      </c>
      <c r="J593" s="13">
        <f>VALUE(MID(I593,1,3))</f>
        <v>220</v>
      </c>
      <c r="K593" s="13">
        <f>VALUE(MID(G593,5,2))</f>
        <v>4</v>
      </c>
    </row>
    <row r="594" spans="1:11">
      <c r="A594" s="7">
        <v>39858</v>
      </c>
      <c r="B594" s="1">
        <v>520.97</v>
      </c>
      <c r="C594" s="1" t="s">
        <v>29</v>
      </c>
      <c r="D594" s="13">
        <f>VALUE(MID(C594,9,3))</f>
        <v>311</v>
      </c>
      <c r="E594" s="14">
        <f>MONTH(A594)</f>
        <v>2</v>
      </c>
      <c r="G594" s="1" t="s">
        <v>145</v>
      </c>
      <c r="H594" s="1">
        <v>0.76</v>
      </c>
      <c r="I594" s="1" t="s">
        <v>75</v>
      </c>
      <c r="J594" s="13">
        <f>VALUE(MID(I594,1,3))</f>
        <v>220</v>
      </c>
      <c r="K594" s="13">
        <f>VALUE(MID(G594,5,2))</f>
        <v>4</v>
      </c>
    </row>
    <row r="595" spans="1:11">
      <c r="A595" s="7">
        <v>39858</v>
      </c>
      <c r="B595" s="1">
        <v>230.75</v>
      </c>
      <c r="C595" s="1" t="s">
        <v>29</v>
      </c>
      <c r="D595" s="13">
        <f>VALUE(MID(C595,9,3))</f>
        <v>311</v>
      </c>
      <c r="E595" s="14">
        <f>MONTH(A595)</f>
        <v>2</v>
      </c>
      <c r="G595" s="1" t="s">
        <v>145</v>
      </c>
      <c r="H595" s="1">
        <v>2.29</v>
      </c>
      <c r="I595" s="1" t="s">
        <v>75</v>
      </c>
      <c r="J595" s="13">
        <f>VALUE(MID(I595,1,3))</f>
        <v>220</v>
      </c>
      <c r="K595" s="13">
        <f>VALUE(MID(G595,5,2))</f>
        <v>4</v>
      </c>
    </row>
    <row r="596" spans="1:11">
      <c r="A596" s="7">
        <v>40008</v>
      </c>
      <c r="B596" s="1">
        <v>1881</v>
      </c>
      <c r="C596" s="1" t="s">
        <v>7</v>
      </c>
      <c r="D596" s="13">
        <f>VALUE(MID(C596,9,3))</f>
        <v>311</v>
      </c>
      <c r="E596" s="14">
        <f>MONTH(A596)</f>
        <v>7</v>
      </c>
      <c r="G596" s="1" t="s">
        <v>145</v>
      </c>
      <c r="H596" s="1">
        <v>1.53</v>
      </c>
      <c r="I596" s="1" t="s">
        <v>75</v>
      </c>
      <c r="J596" s="13">
        <f>VALUE(MID(I596,1,3))</f>
        <v>220</v>
      </c>
      <c r="K596" s="13">
        <f>VALUE(MID(G596,5,2))</f>
        <v>4</v>
      </c>
    </row>
    <row r="597" spans="1:11">
      <c r="A597" s="7">
        <v>40008</v>
      </c>
      <c r="B597" s="1">
        <v>940.5</v>
      </c>
      <c r="C597" s="1" t="s">
        <v>13</v>
      </c>
      <c r="D597" s="13">
        <f>VALUE(MID(C597,9,3))</f>
        <v>311</v>
      </c>
      <c r="E597" s="14">
        <f>MONTH(A597)</f>
        <v>7</v>
      </c>
      <c r="G597" s="1" t="s">
        <v>145</v>
      </c>
      <c r="H597" s="1">
        <v>2.97</v>
      </c>
      <c r="I597" s="1" t="s">
        <v>75</v>
      </c>
      <c r="J597" s="13">
        <f>VALUE(MID(I597,1,3))</f>
        <v>220</v>
      </c>
      <c r="K597" s="13">
        <f>VALUE(MID(G597,5,2))</f>
        <v>4</v>
      </c>
    </row>
    <row r="598" spans="1:11">
      <c r="A598" s="7">
        <v>40008</v>
      </c>
      <c r="B598" s="1">
        <v>532.98</v>
      </c>
      <c r="C598" s="1" t="s">
        <v>5</v>
      </c>
      <c r="D598" s="13">
        <f>VALUE(MID(C598,9,3))</f>
        <v>311</v>
      </c>
      <c r="E598" s="14">
        <f>MONTH(A598)</f>
        <v>7</v>
      </c>
      <c r="G598" s="1" t="s">
        <v>145</v>
      </c>
      <c r="H598" s="1">
        <v>288</v>
      </c>
      <c r="I598" s="1" t="s">
        <v>81</v>
      </c>
      <c r="J598" s="13">
        <f>VALUE(MID(I598,1,3))</f>
        <v>220</v>
      </c>
      <c r="K598" s="13">
        <f>VALUE(MID(G598,5,2))</f>
        <v>4</v>
      </c>
    </row>
    <row r="599" spans="1:11">
      <c r="A599" s="7">
        <v>40008</v>
      </c>
      <c r="B599" s="1">
        <v>406.77</v>
      </c>
      <c r="C599" s="1" t="s">
        <v>6</v>
      </c>
      <c r="D599" s="13">
        <f>VALUE(MID(C599,9,3))</f>
        <v>311</v>
      </c>
      <c r="E599" s="14">
        <f>MONTH(A599)</f>
        <v>7</v>
      </c>
      <c r="G599" s="1" t="s">
        <v>152</v>
      </c>
      <c r="H599" s="1">
        <v>943</v>
      </c>
      <c r="I599" s="1" t="s">
        <v>83</v>
      </c>
      <c r="J599" s="13">
        <f>VALUE(MID(I599,1,3))</f>
        <v>220</v>
      </c>
      <c r="K599" s="13">
        <f>VALUE(MID(G599,5,2))</f>
        <v>5</v>
      </c>
    </row>
    <row r="600" spans="1:11">
      <c r="A600" s="7">
        <v>40008</v>
      </c>
      <c r="B600" s="1">
        <v>532.99</v>
      </c>
      <c r="C600" s="1" t="s">
        <v>6</v>
      </c>
      <c r="D600" s="13">
        <f>VALUE(MID(C600,9,3))</f>
        <v>311</v>
      </c>
      <c r="E600" s="14">
        <f>MONTH(A600)</f>
        <v>7</v>
      </c>
      <c r="G600" s="1" t="s">
        <v>152</v>
      </c>
      <c r="H600" s="1">
        <v>87.8</v>
      </c>
      <c r="I600" s="1" t="s">
        <v>83</v>
      </c>
      <c r="J600" s="13">
        <f>VALUE(MID(I600,1,3))</f>
        <v>220</v>
      </c>
      <c r="K600" s="13">
        <f>VALUE(MID(G600,5,2))</f>
        <v>5</v>
      </c>
    </row>
    <row r="601" spans="1:11">
      <c r="A601" s="7">
        <v>40008</v>
      </c>
      <c r="B601" s="1">
        <v>546.16</v>
      </c>
      <c r="C601" s="1" t="s">
        <v>6</v>
      </c>
      <c r="D601" s="13">
        <f>VALUE(MID(C601,9,3))</f>
        <v>311</v>
      </c>
      <c r="E601" s="14">
        <f>MONTH(A601)</f>
        <v>7</v>
      </c>
      <c r="G601" s="1" t="s">
        <v>152</v>
      </c>
      <c r="H601" s="1">
        <v>29.38</v>
      </c>
      <c r="I601" s="1" t="s">
        <v>82</v>
      </c>
      <c r="J601" s="13">
        <f>VALUE(MID(I601,1,3))</f>
        <v>220</v>
      </c>
      <c r="K601" s="13">
        <f>VALUE(MID(G601,5,2))</f>
        <v>5</v>
      </c>
    </row>
    <row r="602" spans="1:11">
      <c r="A602" s="7">
        <v>40008</v>
      </c>
      <c r="B602" s="1">
        <v>259.91000000000003</v>
      </c>
      <c r="C602" s="1" t="s">
        <v>6</v>
      </c>
      <c r="D602" s="13">
        <f>VALUE(MID(C602,9,3))</f>
        <v>311</v>
      </c>
      <c r="E602" s="14">
        <f>MONTH(A602)</f>
        <v>7</v>
      </c>
      <c r="G602" s="1" t="s">
        <v>152</v>
      </c>
      <c r="H602" s="1">
        <v>452.89</v>
      </c>
      <c r="I602" s="1" t="s">
        <v>83</v>
      </c>
      <c r="J602" s="13">
        <f>VALUE(MID(I602,1,3))</f>
        <v>220</v>
      </c>
      <c r="K602" s="13">
        <f>VALUE(MID(G602,5,2))</f>
        <v>5</v>
      </c>
    </row>
    <row r="603" spans="1:11">
      <c r="A603" s="7">
        <v>40008</v>
      </c>
      <c r="B603" s="1">
        <v>532.99</v>
      </c>
      <c r="C603" s="1" t="s">
        <v>6</v>
      </c>
      <c r="D603" s="13">
        <f>VALUE(MID(C603,9,3))</f>
        <v>311</v>
      </c>
      <c r="E603" s="14">
        <f>MONTH(A603)</f>
        <v>7</v>
      </c>
      <c r="G603" s="1" t="s">
        <v>152</v>
      </c>
      <c r="H603" s="1">
        <v>305</v>
      </c>
      <c r="I603" s="1" t="s">
        <v>75</v>
      </c>
      <c r="J603" s="13">
        <f>VALUE(MID(I603,1,3))</f>
        <v>220</v>
      </c>
      <c r="K603" s="13">
        <f>VALUE(MID(G603,5,2))</f>
        <v>5</v>
      </c>
    </row>
    <row r="604" spans="1:11">
      <c r="A604" s="7">
        <v>40008</v>
      </c>
      <c r="B604" s="1">
        <v>532.99</v>
      </c>
      <c r="C604" s="1" t="s">
        <v>6</v>
      </c>
      <c r="D604" s="13">
        <f>VALUE(MID(C604,9,3))</f>
        <v>311</v>
      </c>
      <c r="E604" s="14">
        <f>MONTH(A604)</f>
        <v>7</v>
      </c>
      <c r="G604" s="1" t="s">
        <v>152</v>
      </c>
      <c r="H604" s="1">
        <v>86.39</v>
      </c>
      <c r="I604" s="1" t="s">
        <v>81</v>
      </c>
      <c r="J604" s="13">
        <f>VALUE(MID(I604,1,3))</f>
        <v>220</v>
      </c>
      <c r="K604" s="13">
        <f>VALUE(MID(G604,5,2))</f>
        <v>5</v>
      </c>
    </row>
    <row r="605" spans="1:11">
      <c r="A605" s="7">
        <v>40008</v>
      </c>
      <c r="B605" s="1">
        <v>330.54</v>
      </c>
      <c r="C605" s="1" t="s">
        <v>6</v>
      </c>
      <c r="D605" s="13">
        <f>VALUE(MID(C605,9,3))</f>
        <v>311</v>
      </c>
      <c r="E605" s="14">
        <f>MONTH(A605)</f>
        <v>7</v>
      </c>
      <c r="G605" s="1" t="s">
        <v>152</v>
      </c>
      <c r="H605" s="1">
        <v>105</v>
      </c>
      <c r="I605" s="1" t="s">
        <v>81</v>
      </c>
      <c r="J605" s="13">
        <f>VALUE(MID(I605,1,3))</f>
        <v>220</v>
      </c>
      <c r="K605" s="13">
        <f>VALUE(MID(G605,5,2))</f>
        <v>5</v>
      </c>
    </row>
    <row r="606" spans="1:11">
      <c r="A606" s="7">
        <v>40008</v>
      </c>
      <c r="B606" s="1">
        <v>631.17999999999995</v>
      </c>
      <c r="C606" s="1" t="s">
        <v>6</v>
      </c>
      <c r="D606" s="13">
        <f>VALUE(MID(C606,9,3))</f>
        <v>311</v>
      </c>
      <c r="E606" s="14">
        <f>MONTH(A606)</f>
        <v>7</v>
      </c>
      <c r="G606" s="1" t="s">
        <v>152</v>
      </c>
      <c r="H606" s="1">
        <v>468.08</v>
      </c>
      <c r="I606" s="1" t="s">
        <v>106</v>
      </c>
      <c r="J606" s="13">
        <f>VALUE(MID(I606,1,3))</f>
        <v>220</v>
      </c>
      <c r="K606" s="13">
        <f>VALUE(MID(G606,5,2))</f>
        <v>5</v>
      </c>
    </row>
    <row r="607" spans="1:11">
      <c r="A607" s="7">
        <v>40008</v>
      </c>
      <c r="B607" s="1">
        <v>202.78</v>
      </c>
      <c r="C607" s="1" t="s">
        <v>6</v>
      </c>
      <c r="D607" s="13">
        <f>VALUE(MID(C607,9,3))</f>
        <v>311</v>
      </c>
      <c r="E607" s="14">
        <f>MONTH(A607)</f>
        <v>7</v>
      </c>
      <c r="G607" s="1" t="s">
        <v>152</v>
      </c>
      <c r="H607" s="1">
        <v>35.1</v>
      </c>
      <c r="I607" s="1" t="s">
        <v>89</v>
      </c>
      <c r="J607" s="13">
        <f>VALUE(MID(I607,1,3))</f>
        <v>220</v>
      </c>
      <c r="K607" s="13">
        <f>VALUE(MID(G607,5,2))</f>
        <v>5</v>
      </c>
    </row>
    <row r="608" spans="1:11">
      <c r="A608" s="7">
        <v>40008</v>
      </c>
      <c r="B608" s="1">
        <v>90.88</v>
      </c>
      <c r="C608" s="1" t="s">
        <v>6</v>
      </c>
      <c r="D608" s="13">
        <f>VALUE(MID(C608,9,3))</f>
        <v>311</v>
      </c>
      <c r="E608" s="14">
        <f>MONTH(A608)</f>
        <v>7</v>
      </c>
      <c r="G608" s="1" t="s">
        <v>152</v>
      </c>
      <c r="H608" s="1">
        <v>255.43</v>
      </c>
      <c r="I608" s="1" t="s">
        <v>82</v>
      </c>
      <c r="J608" s="13">
        <f>VALUE(MID(I608,1,3))</f>
        <v>220</v>
      </c>
      <c r="K608" s="13">
        <f>VALUE(MID(G608,5,2))</f>
        <v>5</v>
      </c>
    </row>
    <row r="609" spans="1:11">
      <c r="A609" s="7">
        <v>40008</v>
      </c>
      <c r="B609" s="1">
        <v>499.48</v>
      </c>
      <c r="C609" s="1" t="s">
        <v>6</v>
      </c>
      <c r="D609" s="13">
        <f>VALUE(MID(C609,9,3))</f>
        <v>311</v>
      </c>
      <c r="E609" s="14">
        <f>MONTH(A609)</f>
        <v>7</v>
      </c>
      <c r="G609" s="1" t="s">
        <v>167</v>
      </c>
      <c r="H609" s="1">
        <v>33.799999999999997</v>
      </c>
      <c r="I609" s="1" t="s">
        <v>82</v>
      </c>
      <c r="J609" s="13">
        <f>VALUE(MID(I609,1,3))</f>
        <v>220</v>
      </c>
      <c r="K609" s="13">
        <f>VALUE(MID(G609,5,2))</f>
        <v>6</v>
      </c>
    </row>
    <row r="610" spans="1:11">
      <c r="A610" s="7">
        <v>40008</v>
      </c>
      <c r="B610" s="1">
        <v>770.05</v>
      </c>
      <c r="C610" s="1" t="s">
        <v>6</v>
      </c>
      <c r="D610" s="13">
        <f>VALUE(MID(C610,9,3))</f>
        <v>311</v>
      </c>
      <c r="E610" s="14">
        <f>MONTH(A610)</f>
        <v>7</v>
      </c>
      <c r="G610" s="1" t="s">
        <v>167</v>
      </c>
      <c r="H610" s="1">
        <v>239.2</v>
      </c>
      <c r="I610" s="1" t="s">
        <v>82</v>
      </c>
      <c r="J610" s="13">
        <f>VALUE(MID(I610,1,3))</f>
        <v>220</v>
      </c>
      <c r="K610" s="13">
        <f>VALUE(MID(G610,5,2))</f>
        <v>6</v>
      </c>
    </row>
    <row r="611" spans="1:11">
      <c r="A611" s="7">
        <v>40070</v>
      </c>
      <c r="B611" s="1">
        <v>337.5</v>
      </c>
      <c r="C611" s="1" t="s">
        <v>42</v>
      </c>
      <c r="D611" s="13">
        <f>VALUE(MID(C611,9,3))</f>
        <v>311</v>
      </c>
      <c r="E611" s="14">
        <f>MONTH(A611)</f>
        <v>9</v>
      </c>
      <c r="G611" s="1" t="s">
        <v>167</v>
      </c>
      <c r="H611" s="1">
        <v>133.03</v>
      </c>
      <c r="I611" s="1" t="s">
        <v>82</v>
      </c>
      <c r="J611" s="13">
        <f>VALUE(MID(I611,1,3))</f>
        <v>220</v>
      </c>
      <c r="K611" s="13">
        <f>VALUE(MID(G611,5,2))</f>
        <v>6</v>
      </c>
    </row>
    <row r="612" spans="1:11">
      <c r="A612" s="7">
        <v>40070</v>
      </c>
      <c r="B612" s="1">
        <v>230.5</v>
      </c>
      <c r="C612" s="1" t="s">
        <v>42</v>
      </c>
      <c r="D612" s="13">
        <f>VALUE(MID(C612,9,3))</f>
        <v>311</v>
      </c>
      <c r="E612" s="14">
        <f>MONTH(A612)</f>
        <v>9</v>
      </c>
      <c r="G612" s="1" t="s">
        <v>167</v>
      </c>
      <c r="H612" s="1">
        <v>173.08</v>
      </c>
      <c r="I612" s="1" t="s">
        <v>75</v>
      </c>
      <c r="J612" s="13">
        <f>VALUE(MID(I612,1,3))</f>
        <v>220</v>
      </c>
      <c r="K612" s="13">
        <f>VALUE(MID(G612,5,2))</f>
        <v>6</v>
      </c>
    </row>
    <row r="613" spans="1:11">
      <c r="A613" s="7">
        <v>40070</v>
      </c>
      <c r="B613" s="1">
        <v>230.5</v>
      </c>
      <c r="C613" s="1" t="s">
        <v>42</v>
      </c>
      <c r="D613" s="13">
        <f>VALUE(MID(C613,9,3))</f>
        <v>311</v>
      </c>
      <c r="E613" s="14">
        <f>MONTH(A613)</f>
        <v>9</v>
      </c>
      <c r="G613" s="1" t="s">
        <v>167</v>
      </c>
      <c r="H613" s="1">
        <v>271.83</v>
      </c>
      <c r="I613" s="1" t="s">
        <v>82</v>
      </c>
      <c r="J613" s="13">
        <f>VALUE(MID(I613,1,3))</f>
        <v>220</v>
      </c>
      <c r="K613" s="13">
        <f>VALUE(MID(G613,5,2))</f>
        <v>6</v>
      </c>
    </row>
    <row r="614" spans="1:11">
      <c r="A614" s="7">
        <v>40070</v>
      </c>
      <c r="B614" s="1">
        <v>901.5</v>
      </c>
      <c r="C614" s="1" t="s">
        <v>7</v>
      </c>
      <c r="D614" s="13">
        <f>VALUE(MID(C614,9,3))</f>
        <v>311</v>
      </c>
      <c r="E614" s="14">
        <f>MONTH(A614)</f>
        <v>9</v>
      </c>
      <c r="G614" s="1" t="s">
        <v>167</v>
      </c>
      <c r="H614" s="1">
        <v>611.55999999999995</v>
      </c>
      <c r="I614" s="1" t="s">
        <v>83</v>
      </c>
      <c r="J614" s="13">
        <f>VALUE(MID(I614,1,3))</f>
        <v>220</v>
      </c>
      <c r="K614" s="13">
        <f>VALUE(MID(G614,5,2))</f>
        <v>6</v>
      </c>
    </row>
    <row r="615" spans="1:11">
      <c r="A615" s="7">
        <v>40070</v>
      </c>
      <c r="B615" s="1">
        <v>901.5</v>
      </c>
      <c r="C615" s="1" t="s">
        <v>7</v>
      </c>
      <c r="D615" s="13">
        <f>VALUE(MID(C615,9,3))</f>
        <v>311</v>
      </c>
      <c r="E615" s="14">
        <f>MONTH(A615)</f>
        <v>9</v>
      </c>
      <c r="G615" s="1" t="s">
        <v>167</v>
      </c>
      <c r="H615" s="1">
        <v>327</v>
      </c>
      <c r="I615" s="1" t="s">
        <v>89</v>
      </c>
      <c r="J615" s="13">
        <f>VALUE(MID(I615,1,3))</f>
        <v>220</v>
      </c>
      <c r="K615" s="13">
        <f>VALUE(MID(G615,5,2))</f>
        <v>6</v>
      </c>
    </row>
    <row r="616" spans="1:11">
      <c r="A616" s="7">
        <v>40070</v>
      </c>
      <c r="B616" s="1">
        <v>893.48</v>
      </c>
      <c r="C616" s="1" t="s">
        <v>8</v>
      </c>
      <c r="D616" s="13">
        <f>VALUE(MID(C616,9,3))</f>
        <v>311</v>
      </c>
      <c r="E616" s="14">
        <f>MONTH(A616)</f>
        <v>9</v>
      </c>
      <c r="G616" s="1" t="s">
        <v>167</v>
      </c>
      <c r="H616" s="1">
        <v>27</v>
      </c>
      <c r="I616" s="1" t="s">
        <v>82</v>
      </c>
      <c r="J616" s="13">
        <f>VALUE(MID(I616,1,3))</f>
        <v>220</v>
      </c>
      <c r="K616" s="13">
        <f>VALUE(MID(G616,5,2))</f>
        <v>6</v>
      </c>
    </row>
    <row r="617" spans="1:11">
      <c r="A617" s="7">
        <v>40070</v>
      </c>
      <c r="B617" s="1">
        <v>54.2</v>
      </c>
      <c r="C617" s="1" t="s">
        <v>12</v>
      </c>
      <c r="D617" s="13">
        <f>VALUE(MID(C617,9,3))</f>
        <v>311</v>
      </c>
      <c r="E617" s="14">
        <f>MONTH(A617)</f>
        <v>9</v>
      </c>
      <c r="G617" s="1" t="s">
        <v>167</v>
      </c>
      <c r="H617" s="1">
        <v>96.84</v>
      </c>
      <c r="I617" s="1" t="s">
        <v>84</v>
      </c>
      <c r="J617" s="13">
        <f>VALUE(MID(I617,1,3))</f>
        <v>220</v>
      </c>
      <c r="K617" s="13">
        <f>VALUE(MID(G617,5,2))</f>
        <v>6</v>
      </c>
    </row>
    <row r="618" spans="1:11">
      <c r="A618" s="7">
        <v>40070</v>
      </c>
      <c r="B618" s="1">
        <v>433.47</v>
      </c>
      <c r="C618" s="1" t="s">
        <v>12</v>
      </c>
      <c r="D618" s="13">
        <f>VALUE(MID(C618,9,3))</f>
        <v>311</v>
      </c>
      <c r="E618" s="14">
        <f>MONTH(A618)</f>
        <v>9</v>
      </c>
      <c r="G618" s="1" t="s">
        <v>167</v>
      </c>
      <c r="H618" s="1">
        <v>102.68</v>
      </c>
      <c r="I618" s="1" t="s">
        <v>82</v>
      </c>
      <c r="J618" s="13">
        <f>VALUE(MID(I618,1,3))</f>
        <v>220</v>
      </c>
      <c r="K618" s="13">
        <f>VALUE(MID(G618,5,2))</f>
        <v>6</v>
      </c>
    </row>
    <row r="619" spans="1:11">
      <c r="A619" s="7">
        <v>40070</v>
      </c>
      <c r="B619" s="1">
        <v>853.65</v>
      </c>
      <c r="C619" s="1" t="s">
        <v>12</v>
      </c>
      <c r="D619" s="13">
        <f>VALUE(MID(C619,9,3))</f>
        <v>311</v>
      </c>
      <c r="E619" s="14">
        <f>MONTH(A619)</f>
        <v>9</v>
      </c>
      <c r="G619" s="1" t="s">
        <v>167</v>
      </c>
      <c r="H619" s="1">
        <v>368.4</v>
      </c>
      <c r="I619" s="1" t="s">
        <v>75</v>
      </c>
      <c r="J619" s="13">
        <f>VALUE(MID(I619,1,3))</f>
        <v>220</v>
      </c>
      <c r="K619" s="13">
        <f>VALUE(MID(G619,5,2))</f>
        <v>6</v>
      </c>
    </row>
    <row r="620" spans="1:11">
      <c r="A620" s="7">
        <v>40070</v>
      </c>
      <c r="B620" s="1">
        <v>803.88</v>
      </c>
      <c r="C620" s="1" t="s">
        <v>12</v>
      </c>
      <c r="D620" s="13">
        <f>VALUE(MID(C620,9,3))</f>
        <v>311</v>
      </c>
      <c r="E620" s="14">
        <f>MONTH(A620)</f>
        <v>9</v>
      </c>
      <c r="G620" s="1" t="s">
        <v>167</v>
      </c>
      <c r="H620" s="1">
        <v>194.35</v>
      </c>
      <c r="I620" s="1" t="s">
        <v>106</v>
      </c>
      <c r="J620" s="13">
        <f>VALUE(MID(I620,1,3))</f>
        <v>220</v>
      </c>
      <c r="K620" s="13">
        <f>VALUE(MID(G620,5,2))</f>
        <v>6</v>
      </c>
    </row>
    <row r="621" spans="1:11">
      <c r="A621" s="7">
        <v>40070</v>
      </c>
      <c r="B621" s="1">
        <v>736.13</v>
      </c>
      <c r="C621" s="1" t="s">
        <v>12</v>
      </c>
      <c r="D621" s="13">
        <f>VALUE(MID(C621,9,3))</f>
        <v>311</v>
      </c>
      <c r="E621" s="14">
        <f>MONTH(A621)</f>
        <v>9</v>
      </c>
      <c r="G621" s="1" t="s">
        <v>167</v>
      </c>
      <c r="H621" s="1">
        <v>35.1</v>
      </c>
      <c r="I621" s="1" t="s">
        <v>89</v>
      </c>
      <c r="J621" s="13">
        <f>VALUE(MID(I621,1,3))</f>
        <v>220</v>
      </c>
      <c r="K621" s="13">
        <f>VALUE(MID(G621,5,2))</f>
        <v>6</v>
      </c>
    </row>
    <row r="622" spans="1:11">
      <c r="A622" s="7">
        <v>40070</v>
      </c>
      <c r="B622" s="1">
        <v>523.79999999999995</v>
      </c>
      <c r="C622" s="1" t="s">
        <v>12</v>
      </c>
      <c r="D622" s="13">
        <f>VALUE(MID(C622,9,3))</f>
        <v>311</v>
      </c>
      <c r="E622" s="14">
        <f>MONTH(A622)</f>
        <v>9</v>
      </c>
      <c r="G622" s="1" t="s">
        <v>175</v>
      </c>
      <c r="H622" s="1">
        <v>135.94</v>
      </c>
      <c r="I622" s="1" t="s">
        <v>82</v>
      </c>
      <c r="J622" s="13">
        <f>VALUE(MID(I622,1,3))</f>
        <v>220</v>
      </c>
      <c r="K622" s="13">
        <f>VALUE(MID(G622,5,2))</f>
        <v>7</v>
      </c>
    </row>
    <row r="623" spans="1:11">
      <c r="A623" s="7">
        <v>40070</v>
      </c>
      <c r="B623" s="1">
        <v>785.9</v>
      </c>
      <c r="C623" s="1" t="s">
        <v>12</v>
      </c>
      <c r="D623" s="13">
        <f>VALUE(MID(C623,9,3))</f>
        <v>311</v>
      </c>
      <c r="E623" s="14">
        <f>MONTH(A623)</f>
        <v>9</v>
      </c>
      <c r="G623" s="1" t="s">
        <v>175</v>
      </c>
      <c r="H623" s="1">
        <v>314.39999999999998</v>
      </c>
      <c r="I623" s="1" t="s">
        <v>75</v>
      </c>
      <c r="J623" s="13">
        <f>VALUE(MID(I623,1,3))</f>
        <v>220</v>
      </c>
      <c r="K623" s="13">
        <f>VALUE(MID(G623,5,2))</f>
        <v>7</v>
      </c>
    </row>
    <row r="624" spans="1:11">
      <c r="A624" s="7">
        <v>40070</v>
      </c>
      <c r="B624" s="1">
        <v>941.79</v>
      </c>
      <c r="C624" s="1" t="s">
        <v>13</v>
      </c>
      <c r="D624" s="13">
        <f>VALUE(MID(C624,9,3))</f>
        <v>311</v>
      </c>
      <c r="E624" s="14">
        <f>MONTH(A624)</f>
        <v>9</v>
      </c>
      <c r="G624" s="1" t="s">
        <v>175</v>
      </c>
      <c r="H624" s="1">
        <v>24.04</v>
      </c>
      <c r="I624" s="1" t="s">
        <v>75</v>
      </c>
      <c r="J624" s="13">
        <f>VALUE(MID(I624,1,3))</f>
        <v>220</v>
      </c>
      <c r="K624" s="13">
        <f>VALUE(MID(G624,5,2))</f>
        <v>7</v>
      </c>
    </row>
    <row r="625" spans="1:11">
      <c r="A625" s="7">
        <v>40070</v>
      </c>
      <c r="B625" s="1">
        <v>1007.55</v>
      </c>
      <c r="C625" s="1" t="s">
        <v>13</v>
      </c>
      <c r="D625" s="13">
        <f>VALUE(MID(C625,9,3))</f>
        <v>311</v>
      </c>
      <c r="E625" s="14">
        <f>MONTH(A625)</f>
        <v>9</v>
      </c>
      <c r="G625" s="1" t="s">
        <v>175</v>
      </c>
      <c r="H625" s="1">
        <v>9.89</v>
      </c>
      <c r="I625" s="1" t="s">
        <v>82</v>
      </c>
      <c r="J625" s="13">
        <f>VALUE(MID(I625,1,3))</f>
        <v>220</v>
      </c>
      <c r="K625" s="13">
        <f>VALUE(MID(G625,5,2))</f>
        <v>7</v>
      </c>
    </row>
    <row r="626" spans="1:11">
      <c r="A626" s="7">
        <v>40070</v>
      </c>
      <c r="B626" s="1">
        <v>973.14</v>
      </c>
      <c r="C626" s="1" t="s">
        <v>13</v>
      </c>
      <c r="D626" s="13">
        <f>VALUE(MID(C626,9,3))</f>
        <v>311</v>
      </c>
      <c r="E626" s="14">
        <f>MONTH(A626)</f>
        <v>9</v>
      </c>
      <c r="G626" s="1" t="s">
        <v>175</v>
      </c>
      <c r="H626" s="1">
        <v>8.31</v>
      </c>
      <c r="I626" s="1" t="s">
        <v>82</v>
      </c>
      <c r="J626" s="13">
        <f>VALUE(MID(I626,1,3))</f>
        <v>220</v>
      </c>
      <c r="K626" s="13">
        <f>VALUE(MID(G626,5,2))</f>
        <v>7</v>
      </c>
    </row>
    <row r="627" spans="1:11">
      <c r="A627" s="7">
        <v>40070</v>
      </c>
      <c r="B627" s="1">
        <v>718.88</v>
      </c>
      <c r="C627" s="1" t="s">
        <v>13</v>
      </c>
      <c r="D627" s="13">
        <f>VALUE(MID(C627,9,3))</f>
        <v>311</v>
      </c>
      <c r="E627" s="14">
        <f>MONTH(A627)</f>
        <v>9</v>
      </c>
      <c r="G627" s="1" t="s">
        <v>175</v>
      </c>
      <c r="H627" s="1">
        <v>141.69999999999999</v>
      </c>
      <c r="I627" s="1" t="s">
        <v>82</v>
      </c>
      <c r="J627" s="13">
        <f>VALUE(MID(I627,1,3))</f>
        <v>220</v>
      </c>
      <c r="K627" s="13">
        <f>VALUE(MID(G627,5,2))</f>
        <v>7</v>
      </c>
    </row>
    <row r="628" spans="1:11">
      <c r="A628" s="7">
        <v>40070</v>
      </c>
      <c r="B628" s="1">
        <v>622.62</v>
      </c>
      <c r="C628" s="1" t="s">
        <v>13</v>
      </c>
      <c r="D628" s="13">
        <f>VALUE(MID(C628,9,3))</f>
        <v>311</v>
      </c>
      <c r="E628" s="14">
        <f>MONTH(A628)</f>
        <v>9</v>
      </c>
      <c r="G628" s="1" t="s">
        <v>175</v>
      </c>
      <c r="H628" s="1">
        <v>44.63</v>
      </c>
      <c r="I628" s="1" t="s">
        <v>82</v>
      </c>
      <c r="J628" s="13">
        <f>VALUE(MID(I628,1,3))</f>
        <v>220</v>
      </c>
      <c r="K628" s="13">
        <f>VALUE(MID(G628,5,2))</f>
        <v>7</v>
      </c>
    </row>
    <row r="629" spans="1:11">
      <c r="A629" s="7">
        <v>40070</v>
      </c>
      <c r="B629" s="1">
        <v>611.32000000000005</v>
      </c>
      <c r="C629" s="1" t="s">
        <v>13</v>
      </c>
      <c r="D629" s="13">
        <f>VALUE(MID(C629,9,3))</f>
        <v>311</v>
      </c>
      <c r="E629" s="14">
        <f>MONTH(A629)</f>
        <v>9</v>
      </c>
      <c r="G629" s="1" t="s">
        <v>175</v>
      </c>
      <c r="H629" s="1">
        <v>637.69000000000005</v>
      </c>
      <c r="I629" s="1" t="s">
        <v>82</v>
      </c>
      <c r="J629" s="13">
        <f>VALUE(MID(I629,1,3))</f>
        <v>220</v>
      </c>
      <c r="K629" s="13">
        <f>VALUE(MID(G629,5,2))</f>
        <v>7</v>
      </c>
    </row>
    <row r="630" spans="1:11">
      <c r="A630" s="7">
        <v>40070</v>
      </c>
      <c r="B630" s="1">
        <v>158.04</v>
      </c>
      <c r="C630" s="1" t="s">
        <v>13</v>
      </c>
      <c r="D630" s="13">
        <f>VALUE(MID(C630,9,3))</f>
        <v>311</v>
      </c>
      <c r="E630" s="14">
        <f>MONTH(A630)</f>
        <v>9</v>
      </c>
      <c r="G630" s="1" t="s">
        <v>175</v>
      </c>
      <c r="H630" s="1">
        <v>563.83000000000004</v>
      </c>
      <c r="I630" s="1" t="s">
        <v>106</v>
      </c>
      <c r="J630" s="13">
        <f>VALUE(MID(I630,1,3))</f>
        <v>220</v>
      </c>
      <c r="K630" s="13">
        <f>VALUE(MID(G630,5,2))</f>
        <v>7</v>
      </c>
    </row>
    <row r="631" spans="1:11">
      <c r="A631" s="7">
        <v>40070</v>
      </c>
      <c r="B631" s="1">
        <v>642.15</v>
      </c>
      <c r="C631" s="1" t="s">
        <v>13</v>
      </c>
      <c r="D631" s="13">
        <f>VALUE(MID(C631,9,3))</f>
        <v>311</v>
      </c>
      <c r="E631" s="14">
        <f>MONTH(A631)</f>
        <v>9</v>
      </c>
      <c r="G631" s="1" t="s">
        <v>175</v>
      </c>
      <c r="H631" s="1">
        <v>348</v>
      </c>
      <c r="I631" s="1" t="s">
        <v>106</v>
      </c>
      <c r="J631" s="13">
        <f>VALUE(MID(I631,1,3))</f>
        <v>220</v>
      </c>
      <c r="K631" s="13">
        <f>VALUE(MID(G631,5,2))</f>
        <v>7</v>
      </c>
    </row>
    <row r="632" spans="1:11">
      <c r="A632" s="7">
        <v>40070</v>
      </c>
      <c r="B632" s="1">
        <v>236.08</v>
      </c>
      <c r="C632" s="1" t="s">
        <v>13</v>
      </c>
      <c r="D632" s="13">
        <f>VALUE(MID(C632,9,3))</f>
        <v>311</v>
      </c>
      <c r="E632" s="14">
        <f>MONTH(A632)</f>
        <v>9</v>
      </c>
      <c r="G632" s="1" t="s">
        <v>175</v>
      </c>
      <c r="H632" s="1">
        <v>56</v>
      </c>
      <c r="I632" s="1" t="s">
        <v>89</v>
      </c>
      <c r="J632" s="13">
        <f>VALUE(MID(I632,1,3))</f>
        <v>220</v>
      </c>
      <c r="K632" s="13">
        <f>VALUE(MID(G632,5,2))</f>
        <v>7</v>
      </c>
    </row>
    <row r="633" spans="1:11">
      <c r="A633" s="7">
        <v>40070</v>
      </c>
      <c r="B633" s="1">
        <v>846.45</v>
      </c>
      <c r="C633" s="1" t="s">
        <v>3</v>
      </c>
      <c r="D633" s="13">
        <f>VALUE(MID(C633,9,3))</f>
        <v>311</v>
      </c>
      <c r="E633" s="14">
        <f>MONTH(A633)</f>
        <v>9</v>
      </c>
      <c r="G633" s="1" t="s">
        <v>178</v>
      </c>
      <c r="H633" s="1">
        <v>95.41</v>
      </c>
      <c r="I633" s="1" t="s">
        <v>83</v>
      </c>
      <c r="J633" s="13">
        <f>VALUE(MID(I633,1,3))</f>
        <v>220</v>
      </c>
      <c r="K633" s="13">
        <f>VALUE(MID(G633,5,2))</f>
        <v>7</v>
      </c>
    </row>
    <row r="634" spans="1:11">
      <c r="A634" s="7">
        <v>40070</v>
      </c>
      <c r="B634" s="1">
        <v>1065.9000000000001</v>
      </c>
      <c r="C634" s="1" t="s">
        <v>3</v>
      </c>
      <c r="D634" s="13">
        <f>VALUE(MID(C634,9,3))</f>
        <v>311</v>
      </c>
      <c r="E634" s="14">
        <f>MONTH(A634)</f>
        <v>9</v>
      </c>
      <c r="G634" s="1" t="s">
        <v>178</v>
      </c>
      <c r="H634" s="1">
        <v>31.1</v>
      </c>
      <c r="I634" s="1" t="s">
        <v>83</v>
      </c>
      <c r="J634" s="13">
        <f>VALUE(MID(I634,1,3))</f>
        <v>220</v>
      </c>
      <c r="K634" s="13">
        <f>VALUE(MID(G634,5,2))</f>
        <v>7</v>
      </c>
    </row>
    <row r="635" spans="1:11">
      <c r="A635" s="7">
        <v>40070</v>
      </c>
      <c r="B635" s="1">
        <v>590</v>
      </c>
      <c r="C635" s="1" t="s">
        <v>3</v>
      </c>
      <c r="D635" s="13">
        <f>VALUE(MID(C635,9,3))</f>
        <v>311</v>
      </c>
      <c r="E635" s="14">
        <f>MONTH(A635)</f>
        <v>9</v>
      </c>
      <c r="G635" s="1" t="s">
        <v>187</v>
      </c>
      <c r="H635" s="1">
        <v>12.47</v>
      </c>
      <c r="I635" s="1" t="s">
        <v>83</v>
      </c>
      <c r="J635" s="13">
        <f>VALUE(MID(I635,1,3))</f>
        <v>220</v>
      </c>
      <c r="K635" s="13">
        <f>VALUE(MID(G635,5,2))</f>
        <v>9</v>
      </c>
    </row>
    <row r="636" spans="1:11">
      <c r="A636" s="7">
        <v>40070</v>
      </c>
      <c r="B636" s="1">
        <v>815.1</v>
      </c>
      <c r="C636" s="1" t="s">
        <v>3</v>
      </c>
      <c r="D636" s="13">
        <f>VALUE(MID(C636,9,3))</f>
        <v>311</v>
      </c>
      <c r="E636" s="14">
        <f>MONTH(A636)</f>
        <v>9</v>
      </c>
      <c r="G636" s="1" t="s">
        <v>187</v>
      </c>
      <c r="H636" s="1">
        <v>62.96</v>
      </c>
      <c r="I636" s="1" t="s">
        <v>82</v>
      </c>
      <c r="J636" s="13">
        <f>VALUE(MID(I636,1,3))</f>
        <v>220</v>
      </c>
      <c r="K636" s="13">
        <f>VALUE(MID(G636,5,2))</f>
        <v>9</v>
      </c>
    </row>
    <row r="637" spans="1:11">
      <c r="A637" s="7">
        <v>40070</v>
      </c>
      <c r="B637" s="1">
        <v>31.35</v>
      </c>
      <c r="C637" s="1" t="s">
        <v>3</v>
      </c>
      <c r="D637" s="13">
        <f>VALUE(MID(C637,9,3))</f>
        <v>311</v>
      </c>
      <c r="E637" s="14">
        <f>MONTH(A637)</f>
        <v>9</v>
      </c>
      <c r="G637" s="1" t="s">
        <v>187</v>
      </c>
      <c r="H637" s="1">
        <v>368.4</v>
      </c>
      <c r="I637" s="1" t="s">
        <v>75</v>
      </c>
      <c r="J637" s="13">
        <f>VALUE(MID(I637,1,3))</f>
        <v>220</v>
      </c>
      <c r="K637" s="13">
        <f>VALUE(MID(G637,5,2))</f>
        <v>9</v>
      </c>
    </row>
    <row r="638" spans="1:11">
      <c r="A638" s="7">
        <v>40070</v>
      </c>
      <c r="B638" s="1">
        <v>846.45</v>
      </c>
      <c r="C638" s="1" t="s">
        <v>3</v>
      </c>
      <c r="D638" s="13">
        <f>VALUE(MID(C638,9,3))</f>
        <v>311</v>
      </c>
      <c r="E638" s="14">
        <f>MONTH(A638)</f>
        <v>9</v>
      </c>
      <c r="G638" s="1" t="s">
        <v>187</v>
      </c>
      <c r="H638" s="1">
        <v>90</v>
      </c>
      <c r="I638" s="1" t="s">
        <v>106</v>
      </c>
      <c r="J638" s="13">
        <f>VALUE(MID(I638,1,3))</f>
        <v>220</v>
      </c>
      <c r="K638" s="13">
        <f>VALUE(MID(G638,5,2))</f>
        <v>9</v>
      </c>
    </row>
    <row r="639" spans="1:11">
      <c r="A639" s="7">
        <v>40070</v>
      </c>
      <c r="B639" s="1">
        <v>118.53</v>
      </c>
      <c r="C639" s="1" t="s">
        <v>6</v>
      </c>
      <c r="D639" s="13">
        <f>VALUE(MID(C639,9,3))</f>
        <v>311</v>
      </c>
      <c r="E639" s="14">
        <f>MONTH(A639)</f>
        <v>9</v>
      </c>
      <c r="G639" s="1" t="s">
        <v>187</v>
      </c>
      <c r="H639" s="1">
        <v>447.02</v>
      </c>
      <c r="I639" s="1" t="s">
        <v>106</v>
      </c>
      <c r="J639" s="13">
        <f>VALUE(MID(I639,1,3))</f>
        <v>220</v>
      </c>
      <c r="K639" s="13">
        <f>VALUE(MID(G639,5,2))</f>
        <v>9</v>
      </c>
    </row>
    <row r="640" spans="1:11">
      <c r="A640" s="7">
        <v>40070</v>
      </c>
      <c r="B640" s="1">
        <v>374.95</v>
      </c>
      <c r="C640" s="1" t="s">
        <v>6</v>
      </c>
      <c r="D640" s="13">
        <f>VALUE(MID(C640,9,3))</f>
        <v>311</v>
      </c>
      <c r="E640" s="14">
        <f>MONTH(A640)</f>
        <v>9</v>
      </c>
      <c r="G640" s="1" t="s">
        <v>187</v>
      </c>
      <c r="H640" s="1">
        <v>32.83</v>
      </c>
      <c r="I640" s="1" t="s">
        <v>89</v>
      </c>
      <c r="J640" s="13">
        <f>VALUE(MID(I640,1,3))</f>
        <v>220</v>
      </c>
      <c r="K640" s="13">
        <f>VALUE(MID(G640,5,2))</f>
        <v>9</v>
      </c>
    </row>
    <row r="641" spans="1:11">
      <c r="A641" s="7">
        <v>40100</v>
      </c>
      <c r="B641" s="1">
        <v>31.35</v>
      </c>
      <c r="C641" s="1" t="s">
        <v>3</v>
      </c>
      <c r="D641" s="13">
        <f>VALUE(MID(C641,9,3))</f>
        <v>311</v>
      </c>
      <c r="E641" s="14">
        <f>MONTH(A641)</f>
        <v>10</v>
      </c>
      <c r="G641" s="1" t="s">
        <v>187</v>
      </c>
      <c r="H641" s="1">
        <v>33.81</v>
      </c>
      <c r="I641" s="1" t="s">
        <v>106</v>
      </c>
      <c r="J641" s="13">
        <f>VALUE(MID(I641,1,3))</f>
        <v>220</v>
      </c>
      <c r="K641" s="13">
        <f>VALUE(MID(G641,5,2))</f>
        <v>9</v>
      </c>
    </row>
    <row r="642" spans="1:11">
      <c r="A642" s="7">
        <v>39828</v>
      </c>
      <c r="B642" s="1">
        <v>360</v>
      </c>
      <c r="C642" s="1" t="s">
        <v>22</v>
      </c>
      <c r="D642" s="13">
        <f>VALUE(MID(C642,9,3))</f>
        <v>311</v>
      </c>
      <c r="E642" s="14">
        <f>MONTH(A642)</f>
        <v>1</v>
      </c>
      <c r="G642" s="1" t="s">
        <v>192</v>
      </c>
      <c r="H642" s="1">
        <v>175.38</v>
      </c>
      <c r="I642" s="1" t="s">
        <v>75</v>
      </c>
      <c r="J642" s="13">
        <f>VALUE(MID(I642,1,3))</f>
        <v>220</v>
      </c>
      <c r="K642" s="13">
        <f>VALUE(MID(G642,5,2))</f>
        <v>9</v>
      </c>
    </row>
    <row r="643" spans="1:11">
      <c r="A643" s="7">
        <v>39859</v>
      </c>
      <c r="B643" s="1">
        <v>335.44</v>
      </c>
      <c r="C643" s="1" t="s">
        <v>29</v>
      </c>
      <c r="D643" s="13">
        <f>VALUE(MID(C643,9,3))</f>
        <v>311</v>
      </c>
      <c r="E643" s="14">
        <f>MONTH(A643)</f>
        <v>2</v>
      </c>
      <c r="G643" s="1" t="s">
        <v>192</v>
      </c>
      <c r="H643" s="1">
        <v>27.1</v>
      </c>
      <c r="I643" s="1" t="s">
        <v>82</v>
      </c>
      <c r="J643" s="13">
        <f>VALUE(MID(I643,1,3))</f>
        <v>220</v>
      </c>
      <c r="K643" s="13">
        <f>VALUE(MID(G643,5,2))</f>
        <v>9</v>
      </c>
    </row>
    <row r="644" spans="1:11">
      <c r="A644" s="7">
        <v>40009</v>
      </c>
      <c r="B644" s="1">
        <v>901.5</v>
      </c>
      <c r="C644" s="1" t="s">
        <v>7</v>
      </c>
      <c r="D644" s="13">
        <f>VALUE(MID(C644,9,3))</f>
        <v>311</v>
      </c>
      <c r="E644" s="14">
        <f>MONTH(A644)</f>
        <v>7</v>
      </c>
      <c r="G644" s="1" t="s">
        <v>192</v>
      </c>
      <c r="H644" s="1">
        <v>17.21</v>
      </c>
      <c r="I644" s="1" t="s">
        <v>75</v>
      </c>
      <c r="J644" s="13">
        <f>VALUE(MID(I644,1,3))</f>
        <v>220</v>
      </c>
      <c r="K644" s="13">
        <f>VALUE(MID(G644,5,2))</f>
        <v>9</v>
      </c>
    </row>
    <row r="645" spans="1:11">
      <c r="A645" s="7">
        <v>40009</v>
      </c>
      <c r="B645" s="1">
        <v>901.5</v>
      </c>
      <c r="C645" s="1" t="s">
        <v>8</v>
      </c>
      <c r="D645" s="13">
        <f>VALUE(MID(C645,9,3))</f>
        <v>311</v>
      </c>
      <c r="E645" s="14">
        <f>MONTH(A645)</f>
        <v>7</v>
      </c>
      <c r="G645" s="1" t="s">
        <v>192</v>
      </c>
      <c r="H645" s="1">
        <v>3.6</v>
      </c>
      <c r="I645" s="1" t="s">
        <v>75</v>
      </c>
      <c r="J645" s="13">
        <f>VALUE(MID(I645,1,3))</f>
        <v>220</v>
      </c>
      <c r="K645" s="13">
        <f>VALUE(MID(G645,5,2))</f>
        <v>9</v>
      </c>
    </row>
    <row r="646" spans="1:11">
      <c r="A646" s="7">
        <v>40009</v>
      </c>
      <c r="B646" s="1">
        <v>470.25</v>
      </c>
      <c r="C646" s="1" t="s">
        <v>13</v>
      </c>
      <c r="D646" s="13">
        <f>VALUE(MID(C646,9,3))</f>
        <v>311</v>
      </c>
      <c r="E646" s="14">
        <f>MONTH(A646)</f>
        <v>7</v>
      </c>
      <c r="G646" s="1" t="s">
        <v>192</v>
      </c>
      <c r="H646" s="1">
        <v>5.63</v>
      </c>
      <c r="I646" s="1" t="s">
        <v>75</v>
      </c>
      <c r="J646" s="13">
        <f>VALUE(MID(I646,1,3))</f>
        <v>220</v>
      </c>
      <c r="K646" s="13">
        <f>VALUE(MID(G646,5,2))</f>
        <v>9</v>
      </c>
    </row>
    <row r="647" spans="1:11">
      <c r="A647" s="7">
        <v>40009</v>
      </c>
      <c r="B647" s="1">
        <v>651.52</v>
      </c>
      <c r="C647" s="1" t="s">
        <v>6</v>
      </c>
      <c r="D647" s="13">
        <f>VALUE(MID(C647,9,3))</f>
        <v>311</v>
      </c>
      <c r="E647" s="14">
        <f>MONTH(A647)</f>
        <v>7</v>
      </c>
      <c r="G647" s="1" t="s">
        <v>192</v>
      </c>
      <c r="H647" s="1">
        <v>20.27</v>
      </c>
      <c r="I647" s="1" t="s">
        <v>75</v>
      </c>
      <c r="J647" s="13">
        <f>VALUE(MID(I647,1,3))</f>
        <v>220</v>
      </c>
      <c r="K647" s="13">
        <f>VALUE(MID(G647,5,2))</f>
        <v>9</v>
      </c>
    </row>
    <row r="648" spans="1:11">
      <c r="A648" s="7">
        <v>40009</v>
      </c>
      <c r="B648" s="1">
        <v>414.46</v>
      </c>
      <c r="C648" s="1" t="s">
        <v>6</v>
      </c>
      <c r="D648" s="13">
        <f>VALUE(MID(C648,9,3))</f>
        <v>311</v>
      </c>
      <c r="E648" s="14">
        <f>MONTH(A648)</f>
        <v>7</v>
      </c>
      <c r="G648" s="1" t="s">
        <v>192</v>
      </c>
      <c r="H648" s="1">
        <v>42.97</v>
      </c>
      <c r="I648" s="1" t="s">
        <v>75</v>
      </c>
      <c r="J648" s="13">
        <f>VALUE(MID(I648,1,3))</f>
        <v>220</v>
      </c>
      <c r="K648" s="13">
        <f>VALUE(MID(G648,5,2))</f>
        <v>9</v>
      </c>
    </row>
    <row r="649" spans="1:11">
      <c r="A649" s="7">
        <v>40009</v>
      </c>
      <c r="B649" s="1">
        <v>332.84</v>
      </c>
      <c r="C649" s="1" t="s">
        <v>6</v>
      </c>
      <c r="D649" s="13">
        <f>VALUE(MID(C649,9,3))</f>
        <v>311</v>
      </c>
      <c r="E649" s="14">
        <f>MONTH(A649)</f>
        <v>7</v>
      </c>
      <c r="G649" s="1" t="s">
        <v>192</v>
      </c>
      <c r="H649" s="1">
        <v>172.54</v>
      </c>
      <c r="I649" s="1" t="s">
        <v>106</v>
      </c>
      <c r="J649" s="13">
        <f>VALUE(MID(I649,1,3))</f>
        <v>220</v>
      </c>
      <c r="K649" s="13">
        <f>VALUE(MID(G649,5,2))</f>
        <v>9</v>
      </c>
    </row>
    <row r="650" spans="1:11">
      <c r="A650" s="7">
        <v>40009</v>
      </c>
      <c r="B650" s="1">
        <v>532.99</v>
      </c>
      <c r="C650" s="1" t="s">
        <v>6</v>
      </c>
      <c r="D650" s="13">
        <f>VALUE(MID(C650,9,3))</f>
        <v>311</v>
      </c>
      <c r="E650" s="14">
        <f>MONTH(A650)</f>
        <v>7</v>
      </c>
      <c r="G650" s="1" t="s">
        <v>193</v>
      </c>
      <c r="H650" s="1">
        <v>24.15</v>
      </c>
      <c r="I650" s="1" t="s">
        <v>81</v>
      </c>
      <c r="J650" s="13">
        <f>VALUE(MID(I650,1,3))</f>
        <v>220</v>
      </c>
      <c r="K650" s="13">
        <f>VALUE(MID(G650,5,2))</f>
        <v>9</v>
      </c>
    </row>
    <row r="651" spans="1:11">
      <c r="A651" s="7">
        <v>40009</v>
      </c>
      <c r="B651" s="1">
        <v>651.52</v>
      </c>
      <c r="C651" s="1" t="s">
        <v>6</v>
      </c>
      <c r="D651" s="13">
        <f>VALUE(MID(C651,9,3))</f>
        <v>311</v>
      </c>
      <c r="E651" s="14">
        <f>MONTH(A651)</f>
        <v>7</v>
      </c>
      <c r="G651" s="1" t="s">
        <v>203</v>
      </c>
      <c r="H651" s="1">
        <v>266.39999999999998</v>
      </c>
      <c r="I651" s="1" t="s">
        <v>75</v>
      </c>
      <c r="J651" s="13">
        <f>VALUE(MID(I651,1,3))</f>
        <v>220</v>
      </c>
      <c r="K651" s="13">
        <f>VALUE(MID(G651,5,2))</f>
        <v>10</v>
      </c>
    </row>
    <row r="652" spans="1:11">
      <c r="A652" s="7">
        <v>40009</v>
      </c>
      <c r="B652" s="1">
        <v>691.03</v>
      </c>
      <c r="C652" s="1" t="s">
        <v>6</v>
      </c>
      <c r="D652" s="13">
        <f>VALUE(MID(C652,9,3))</f>
        <v>311</v>
      </c>
      <c r="E652" s="14">
        <f>MONTH(A652)</f>
        <v>7</v>
      </c>
      <c r="G652" s="1" t="s">
        <v>203</v>
      </c>
      <c r="H652" s="1">
        <v>24.04</v>
      </c>
      <c r="I652" s="1" t="s">
        <v>75</v>
      </c>
      <c r="J652" s="13">
        <f>VALUE(MID(I652,1,3))</f>
        <v>220</v>
      </c>
      <c r="K652" s="13">
        <f>VALUE(MID(G652,5,2))</f>
        <v>10</v>
      </c>
    </row>
    <row r="653" spans="1:11">
      <c r="A653" s="7">
        <v>40009</v>
      </c>
      <c r="B653" s="1">
        <v>414.46</v>
      </c>
      <c r="C653" s="1" t="s">
        <v>6</v>
      </c>
      <c r="D653" s="13">
        <f>VALUE(MID(C653,9,3))</f>
        <v>311</v>
      </c>
      <c r="E653" s="14">
        <f>MONTH(A653)</f>
        <v>7</v>
      </c>
      <c r="G653" s="1" t="s">
        <v>203</v>
      </c>
      <c r="H653" s="1">
        <v>73.63</v>
      </c>
      <c r="I653" s="1" t="s">
        <v>81</v>
      </c>
      <c r="J653" s="13">
        <f>VALUE(MID(I653,1,3))</f>
        <v>220</v>
      </c>
      <c r="K653" s="13">
        <f>VALUE(MID(G653,5,2))</f>
        <v>10</v>
      </c>
    </row>
    <row r="654" spans="1:11">
      <c r="A654" s="7">
        <v>40009</v>
      </c>
      <c r="B654" s="1">
        <v>770.05</v>
      </c>
      <c r="C654" s="1" t="s">
        <v>6</v>
      </c>
      <c r="D654" s="13">
        <f>VALUE(MID(C654,9,3))</f>
        <v>311</v>
      </c>
      <c r="E654" s="14">
        <f>MONTH(A654)</f>
        <v>7</v>
      </c>
      <c r="G654" s="1" t="s">
        <v>203</v>
      </c>
      <c r="H654" s="1">
        <v>19.760000000000002</v>
      </c>
      <c r="I654" s="1" t="s">
        <v>89</v>
      </c>
      <c r="J654" s="13">
        <f>VALUE(MID(I654,1,3))</f>
        <v>220</v>
      </c>
      <c r="K654" s="13">
        <f>VALUE(MID(G654,5,2))</f>
        <v>10</v>
      </c>
    </row>
    <row r="655" spans="1:11">
      <c r="A655" s="7">
        <v>40009</v>
      </c>
      <c r="B655" s="1">
        <v>209.41</v>
      </c>
      <c r="C655" s="1" t="s">
        <v>6</v>
      </c>
      <c r="D655" s="13">
        <f>VALUE(MID(C655,9,3))</f>
        <v>311</v>
      </c>
      <c r="E655" s="14">
        <f>MONTH(A655)</f>
        <v>7</v>
      </c>
      <c r="G655" s="1" t="s">
        <v>203</v>
      </c>
      <c r="H655" s="1">
        <v>11.73</v>
      </c>
      <c r="I655" s="1" t="s">
        <v>82</v>
      </c>
      <c r="J655" s="13">
        <f>VALUE(MID(I655,1,3))</f>
        <v>220</v>
      </c>
      <c r="K655" s="13">
        <f>VALUE(MID(G655,5,2))</f>
        <v>10</v>
      </c>
    </row>
    <row r="656" spans="1:11">
      <c r="A656" s="7">
        <v>40009</v>
      </c>
      <c r="B656" s="1">
        <v>335.44</v>
      </c>
      <c r="C656" s="1" t="s">
        <v>6</v>
      </c>
      <c r="D656" s="13">
        <f>VALUE(MID(C656,9,3))</f>
        <v>311</v>
      </c>
      <c r="E656" s="14">
        <f>MONTH(A656)</f>
        <v>7</v>
      </c>
      <c r="G656" s="1" t="s">
        <v>203</v>
      </c>
      <c r="H656" s="1">
        <v>236.84</v>
      </c>
      <c r="I656" s="1" t="s">
        <v>84</v>
      </c>
      <c r="J656" s="13">
        <f>VALUE(MID(I656,1,3))</f>
        <v>220</v>
      </c>
      <c r="K656" s="13">
        <f>VALUE(MID(G656,5,2))</f>
        <v>10</v>
      </c>
    </row>
    <row r="657" spans="1:11">
      <c r="A657" s="7">
        <v>40009</v>
      </c>
      <c r="B657" s="1">
        <v>735.44</v>
      </c>
      <c r="C657" s="1" t="s">
        <v>6</v>
      </c>
      <c r="D657" s="13">
        <f>VALUE(MID(C657,9,3))</f>
        <v>311</v>
      </c>
      <c r="E657" s="14">
        <f>MONTH(A657)</f>
        <v>7</v>
      </c>
      <c r="G657" s="1" t="s">
        <v>203</v>
      </c>
      <c r="H657" s="1">
        <v>28.31</v>
      </c>
      <c r="I657" s="1" t="s">
        <v>83</v>
      </c>
      <c r="J657" s="13">
        <f>VALUE(MID(I657,1,3))</f>
        <v>220</v>
      </c>
      <c r="K657" s="13">
        <f>VALUE(MID(G657,5,2))</f>
        <v>10</v>
      </c>
    </row>
    <row r="658" spans="1:11">
      <c r="A658" s="7">
        <v>40071</v>
      </c>
      <c r="B658" s="1">
        <v>297.82</v>
      </c>
      <c r="C658" s="1" t="s">
        <v>8</v>
      </c>
      <c r="D658" s="13">
        <f>VALUE(MID(C658,9,3))</f>
        <v>311</v>
      </c>
      <c r="E658" s="14">
        <f>MONTH(A658)</f>
        <v>9</v>
      </c>
      <c r="G658" s="1" t="s">
        <v>203</v>
      </c>
      <c r="H658" s="1">
        <v>13.95</v>
      </c>
      <c r="I658" s="1" t="s">
        <v>83</v>
      </c>
      <c r="J658" s="13">
        <f>VALUE(MID(I658,1,3))</f>
        <v>220</v>
      </c>
      <c r="K658" s="13">
        <f>VALUE(MID(G658,5,2))</f>
        <v>10</v>
      </c>
    </row>
    <row r="659" spans="1:11">
      <c r="A659" s="7">
        <v>40071</v>
      </c>
      <c r="B659" s="1">
        <v>47.03</v>
      </c>
      <c r="C659" s="1" t="s">
        <v>9</v>
      </c>
      <c r="D659" s="13">
        <f>VALUE(MID(C659,9,3))</f>
        <v>311</v>
      </c>
      <c r="E659" s="14">
        <f>MONTH(A659)</f>
        <v>9</v>
      </c>
      <c r="G659" s="1" t="s">
        <v>203</v>
      </c>
      <c r="H659" s="1">
        <v>403.31</v>
      </c>
      <c r="I659" s="1" t="s">
        <v>82</v>
      </c>
      <c r="J659" s="13">
        <f>VALUE(MID(I659,1,3))</f>
        <v>220</v>
      </c>
      <c r="K659" s="13">
        <f>VALUE(MID(G659,5,2))</f>
        <v>10</v>
      </c>
    </row>
    <row r="660" spans="1:11">
      <c r="A660" s="7">
        <v>40071</v>
      </c>
      <c r="B660" s="1">
        <v>1004.49</v>
      </c>
      <c r="C660" s="1" t="s">
        <v>13</v>
      </c>
      <c r="D660" s="13">
        <f>VALUE(MID(C660,9,3))</f>
        <v>311</v>
      </c>
      <c r="E660" s="14">
        <f>MONTH(A660)</f>
        <v>9</v>
      </c>
      <c r="G660" s="1" t="s">
        <v>203</v>
      </c>
      <c r="H660" s="1">
        <v>430.8</v>
      </c>
      <c r="I660" s="1" t="s">
        <v>81</v>
      </c>
      <c r="J660" s="13">
        <f>VALUE(MID(I660,1,3))</f>
        <v>220</v>
      </c>
      <c r="K660" s="13">
        <f>VALUE(MID(G660,5,2))</f>
        <v>10</v>
      </c>
    </row>
    <row r="661" spans="1:11">
      <c r="A661" s="7">
        <v>40071</v>
      </c>
      <c r="B661" s="1">
        <v>31.35</v>
      </c>
      <c r="C661" s="1" t="s">
        <v>13</v>
      </c>
      <c r="D661" s="13">
        <f>VALUE(MID(C661,9,3))</f>
        <v>311</v>
      </c>
      <c r="E661" s="14">
        <f>MONTH(A661)</f>
        <v>9</v>
      </c>
      <c r="G661" s="1" t="s">
        <v>203</v>
      </c>
      <c r="H661" s="1">
        <v>1772.55</v>
      </c>
      <c r="I661" s="1" t="s">
        <v>106</v>
      </c>
      <c r="J661" s="13">
        <f>VALUE(MID(I661,1,3))</f>
        <v>220</v>
      </c>
      <c r="K661" s="13">
        <f>VALUE(MID(G661,5,2))</f>
        <v>10</v>
      </c>
    </row>
    <row r="662" spans="1:11">
      <c r="A662" s="7">
        <v>40071</v>
      </c>
      <c r="B662" s="1">
        <v>243.28</v>
      </c>
      <c r="C662" s="1" t="s">
        <v>13</v>
      </c>
      <c r="D662" s="13">
        <f>VALUE(MID(C662,9,3))</f>
        <v>311</v>
      </c>
      <c r="E662" s="14">
        <f>MONTH(A662)</f>
        <v>9</v>
      </c>
      <c r="G662" s="1" t="s">
        <v>203</v>
      </c>
      <c r="H662" s="1">
        <v>60</v>
      </c>
      <c r="I662" s="1" t="s">
        <v>81</v>
      </c>
      <c r="J662" s="13">
        <f>VALUE(MID(I662,1,3))</f>
        <v>220</v>
      </c>
      <c r="K662" s="13">
        <f>VALUE(MID(G662,5,2))</f>
        <v>10</v>
      </c>
    </row>
    <row r="663" spans="1:11">
      <c r="A663" s="7">
        <v>40071</v>
      </c>
      <c r="B663" s="1">
        <v>-188.1</v>
      </c>
      <c r="C663" s="1" t="s">
        <v>3</v>
      </c>
      <c r="D663" s="13">
        <f>VALUE(MID(C663,9,3))</f>
        <v>311</v>
      </c>
      <c r="E663" s="14">
        <f>MONTH(A663)</f>
        <v>9</v>
      </c>
      <c r="G663" s="1" t="s">
        <v>203</v>
      </c>
      <c r="H663" s="1">
        <v>300</v>
      </c>
      <c r="I663" s="1" t="s">
        <v>89</v>
      </c>
      <c r="J663" s="13">
        <f>VALUE(MID(I663,1,3))</f>
        <v>220</v>
      </c>
      <c r="K663" s="13">
        <f>VALUE(MID(G663,5,2))</f>
        <v>10</v>
      </c>
    </row>
    <row r="664" spans="1:11">
      <c r="A664" s="7">
        <v>40071</v>
      </c>
      <c r="B664" s="1">
        <v>721.05</v>
      </c>
      <c r="C664" s="1" t="s">
        <v>3</v>
      </c>
      <c r="D664" s="13">
        <f>VALUE(MID(C664,9,3))</f>
        <v>311</v>
      </c>
      <c r="E664" s="14">
        <f>MONTH(A664)</f>
        <v>9</v>
      </c>
      <c r="G664" s="1" t="s">
        <v>203</v>
      </c>
      <c r="H664" s="1">
        <v>42.66</v>
      </c>
      <c r="I664" s="1" t="s">
        <v>89</v>
      </c>
      <c r="J664" s="13">
        <f>VALUE(MID(I664,1,3))</f>
        <v>220</v>
      </c>
      <c r="K664" s="13">
        <f>VALUE(MID(G664,5,2))</f>
        <v>10</v>
      </c>
    </row>
    <row r="665" spans="1:11">
      <c r="A665" s="7">
        <v>40071</v>
      </c>
      <c r="B665" s="1">
        <v>689.7</v>
      </c>
      <c r="C665" s="1" t="s">
        <v>3</v>
      </c>
      <c r="D665" s="13">
        <f>VALUE(MID(C665,9,3))</f>
        <v>311</v>
      </c>
      <c r="E665" s="14">
        <f>MONTH(A665)</f>
        <v>9</v>
      </c>
      <c r="G665" s="1" t="s">
        <v>203</v>
      </c>
      <c r="H665" s="1">
        <v>335.4</v>
      </c>
      <c r="I665" s="1" t="s">
        <v>82</v>
      </c>
      <c r="J665" s="13">
        <f>VALUE(MID(I665,1,3))</f>
        <v>220</v>
      </c>
      <c r="K665" s="13">
        <f>VALUE(MID(G665,5,2))</f>
        <v>10</v>
      </c>
    </row>
    <row r="666" spans="1:11">
      <c r="A666" s="7">
        <v>40071</v>
      </c>
      <c r="B666" s="1">
        <v>721.05</v>
      </c>
      <c r="C666" s="1" t="s">
        <v>3</v>
      </c>
      <c r="D666" s="13">
        <f>VALUE(MID(C666,9,3))</f>
        <v>311</v>
      </c>
      <c r="E666" s="14">
        <f>MONTH(A666)</f>
        <v>9</v>
      </c>
      <c r="G666" s="1" t="s">
        <v>203</v>
      </c>
      <c r="H666" s="1">
        <v>128.4</v>
      </c>
      <c r="I666" s="1" t="s">
        <v>89</v>
      </c>
      <c r="J666" s="13">
        <f>VALUE(MID(I666,1,3))</f>
        <v>220</v>
      </c>
      <c r="K666" s="13">
        <f>VALUE(MID(G666,5,2))</f>
        <v>10</v>
      </c>
    </row>
    <row r="667" spans="1:11">
      <c r="A667" s="7">
        <v>40071</v>
      </c>
      <c r="B667" s="1">
        <v>846.45</v>
      </c>
      <c r="C667" s="1" t="s">
        <v>3</v>
      </c>
      <c r="D667" s="13">
        <f>VALUE(MID(C667,9,3))</f>
        <v>311</v>
      </c>
      <c r="E667" s="14">
        <f>MONTH(A667)</f>
        <v>9</v>
      </c>
      <c r="G667" s="1" t="s">
        <v>209</v>
      </c>
      <c r="H667" s="1">
        <v>395.53</v>
      </c>
      <c r="I667" s="1" t="s">
        <v>83</v>
      </c>
      <c r="J667" s="13">
        <f>VALUE(MID(I667,1,3))</f>
        <v>220</v>
      </c>
      <c r="K667" s="13">
        <f>VALUE(MID(G667,5,2))</f>
        <v>11</v>
      </c>
    </row>
    <row r="668" spans="1:11">
      <c r="A668" s="7">
        <v>40071</v>
      </c>
      <c r="B668" s="1">
        <v>358.43</v>
      </c>
      <c r="C668" s="1" t="s">
        <v>5</v>
      </c>
      <c r="D668" s="13">
        <f>VALUE(MID(C668,9,3))</f>
        <v>311</v>
      </c>
      <c r="E668" s="14">
        <f>MONTH(A668)</f>
        <v>9</v>
      </c>
      <c r="G668" s="1" t="s">
        <v>210</v>
      </c>
      <c r="H668" s="1">
        <v>3060</v>
      </c>
      <c r="I668" s="1" t="s">
        <v>83</v>
      </c>
      <c r="J668" s="13">
        <f>VALUE(MID(I668,1,3))</f>
        <v>220</v>
      </c>
      <c r="K668" s="13">
        <f>VALUE(MID(G668,5,2))</f>
        <v>11</v>
      </c>
    </row>
    <row r="669" spans="1:11">
      <c r="A669" s="7">
        <v>40071</v>
      </c>
      <c r="B669" s="1">
        <v>575</v>
      </c>
      <c r="C669" s="1" t="s">
        <v>17</v>
      </c>
      <c r="D669" s="13">
        <f>VALUE(MID(C669,9,3))</f>
        <v>311</v>
      </c>
      <c r="E669" s="14">
        <f>MONTH(A669)</f>
        <v>9</v>
      </c>
      <c r="G669" s="1" t="s">
        <v>210</v>
      </c>
      <c r="H669" s="1">
        <v>218</v>
      </c>
      <c r="I669" s="1" t="s">
        <v>81</v>
      </c>
      <c r="J669" s="13">
        <f>VALUE(MID(I669,1,3))</f>
        <v>220</v>
      </c>
      <c r="K669" s="13">
        <f>VALUE(MID(G669,5,2))</f>
        <v>11</v>
      </c>
    </row>
    <row r="670" spans="1:11">
      <c r="A670" s="7">
        <v>40071</v>
      </c>
      <c r="B670" s="1">
        <v>80</v>
      </c>
      <c r="C670" s="1" t="s">
        <v>18</v>
      </c>
      <c r="D670" s="13">
        <f>VALUE(MID(C670,9,3))</f>
        <v>311</v>
      </c>
      <c r="E670" s="14">
        <f>MONTH(A670)</f>
        <v>9</v>
      </c>
      <c r="G670" s="1" t="s">
        <v>210</v>
      </c>
      <c r="H670" s="1">
        <v>20.9</v>
      </c>
      <c r="I670" s="1" t="s">
        <v>82</v>
      </c>
      <c r="J670" s="13">
        <f>VALUE(MID(I670,1,3))</f>
        <v>220</v>
      </c>
      <c r="K670" s="13">
        <f>VALUE(MID(G670,5,2))</f>
        <v>11</v>
      </c>
    </row>
    <row r="671" spans="1:11">
      <c r="A671" s="7">
        <v>40071</v>
      </c>
      <c r="B671" s="1">
        <v>80</v>
      </c>
      <c r="C671" s="1" t="s">
        <v>18</v>
      </c>
      <c r="D671" s="13">
        <f>VALUE(MID(C671,9,3))</f>
        <v>311</v>
      </c>
      <c r="E671" s="14">
        <f>MONTH(A671)</f>
        <v>9</v>
      </c>
      <c r="G671" s="1" t="s">
        <v>210</v>
      </c>
      <c r="H671" s="1">
        <v>90.73</v>
      </c>
      <c r="I671" s="1" t="s">
        <v>81</v>
      </c>
      <c r="J671" s="13">
        <f>VALUE(MID(I671,1,3))</f>
        <v>220</v>
      </c>
      <c r="K671" s="13">
        <f>VALUE(MID(G671,5,2))</f>
        <v>11</v>
      </c>
    </row>
    <row r="672" spans="1:11">
      <c r="A672" s="7">
        <v>40101</v>
      </c>
      <c r="B672" s="1">
        <v>482.66</v>
      </c>
      <c r="C672" s="1" t="s">
        <v>7</v>
      </c>
      <c r="D672" s="13">
        <f>VALUE(MID(C672,9,3))</f>
        <v>311</v>
      </c>
      <c r="E672" s="14">
        <f>MONTH(A672)</f>
        <v>10</v>
      </c>
      <c r="G672" s="1" t="s">
        <v>210</v>
      </c>
      <c r="H672" s="1">
        <v>747.05</v>
      </c>
      <c r="I672" s="1" t="s">
        <v>82</v>
      </c>
      <c r="J672" s="13">
        <f>VALUE(MID(I672,1,3))</f>
        <v>220</v>
      </c>
      <c r="K672" s="13">
        <f>VALUE(MID(G672,5,2))</f>
        <v>11</v>
      </c>
    </row>
    <row r="673" spans="1:11">
      <c r="A673" s="7">
        <v>40101</v>
      </c>
      <c r="B673" s="1">
        <v>80</v>
      </c>
      <c r="C673" s="1" t="s">
        <v>18</v>
      </c>
      <c r="D673" s="13">
        <f>VALUE(MID(C673,9,3))</f>
        <v>311</v>
      </c>
      <c r="E673" s="14">
        <f>MONTH(A673)</f>
        <v>10</v>
      </c>
      <c r="G673" s="1" t="s">
        <v>210</v>
      </c>
      <c r="H673" s="1">
        <v>237.74</v>
      </c>
      <c r="I673" s="1" t="s">
        <v>82</v>
      </c>
      <c r="J673" s="13">
        <f>VALUE(MID(I673,1,3))</f>
        <v>220</v>
      </c>
      <c r="K673" s="13">
        <f>VALUE(MID(G673,5,2))</f>
        <v>11</v>
      </c>
    </row>
    <row r="674" spans="1:11">
      <c r="A674" s="7">
        <v>40101</v>
      </c>
      <c r="B674" s="1">
        <v>80</v>
      </c>
      <c r="C674" s="1" t="s">
        <v>18</v>
      </c>
      <c r="D674" s="13">
        <f>VALUE(MID(C674,9,3))</f>
        <v>311</v>
      </c>
      <c r="E674" s="14">
        <f>MONTH(A674)</f>
        <v>10</v>
      </c>
      <c r="G674" s="1" t="s">
        <v>210</v>
      </c>
      <c r="H674" s="1">
        <v>154.72</v>
      </c>
      <c r="I674" s="1" t="s">
        <v>81</v>
      </c>
      <c r="J674" s="13">
        <f>VALUE(MID(I674,1,3))</f>
        <v>220</v>
      </c>
      <c r="K674" s="13">
        <f>VALUE(MID(G674,5,2))</f>
        <v>11</v>
      </c>
    </row>
    <row r="675" spans="1:11">
      <c r="A675" s="7">
        <v>40101</v>
      </c>
      <c r="B675" s="1">
        <v>235.57</v>
      </c>
      <c r="C675" s="1" t="s">
        <v>51</v>
      </c>
      <c r="D675" s="13">
        <f>VALUE(MID(C675,9,3))</f>
        <v>311</v>
      </c>
      <c r="E675" s="14">
        <f>MONTH(A675)</f>
        <v>10</v>
      </c>
      <c r="G675" s="1" t="s">
        <v>210</v>
      </c>
      <c r="H675" s="1">
        <v>36</v>
      </c>
      <c r="I675" s="1" t="s">
        <v>81</v>
      </c>
      <c r="J675" s="13">
        <f>VALUE(MID(I675,1,3))</f>
        <v>220</v>
      </c>
      <c r="K675" s="13">
        <f>VALUE(MID(G675,5,2))</f>
        <v>11</v>
      </c>
    </row>
    <row r="676" spans="1:11">
      <c r="A676" s="7">
        <v>40162</v>
      </c>
      <c r="B676" s="1">
        <v>-0.13</v>
      </c>
      <c r="C676" s="1" t="s">
        <v>9</v>
      </c>
      <c r="D676" s="13">
        <f>VALUE(MID(C676,9,3))</f>
        <v>311</v>
      </c>
      <c r="E676" s="14">
        <f>MONTH(A676)</f>
        <v>12</v>
      </c>
      <c r="G676" s="1" t="s">
        <v>210</v>
      </c>
      <c r="H676" s="1">
        <v>130.32</v>
      </c>
      <c r="I676" s="1" t="s">
        <v>106</v>
      </c>
      <c r="J676" s="13">
        <f>VALUE(MID(I676,1,3))</f>
        <v>220</v>
      </c>
      <c r="K676" s="13">
        <f>VALUE(MID(G676,5,2))</f>
        <v>11</v>
      </c>
    </row>
    <row r="677" spans="1:11">
      <c r="A677" s="7">
        <v>40162</v>
      </c>
      <c r="B677" s="1">
        <v>331.72</v>
      </c>
      <c r="C677" s="1" t="s">
        <v>9</v>
      </c>
      <c r="D677" s="13">
        <f>VALUE(MID(C677,9,3))</f>
        <v>311</v>
      </c>
      <c r="E677" s="14">
        <f>MONTH(A677)</f>
        <v>12</v>
      </c>
      <c r="G677" s="1" t="s">
        <v>210</v>
      </c>
      <c r="H677" s="1">
        <v>49.35</v>
      </c>
      <c r="I677" s="1" t="s">
        <v>89</v>
      </c>
      <c r="J677" s="13">
        <f>VALUE(MID(I677,1,3))</f>
        <v>220</v>
      </c>
      <c r="K677" s="13">
        <f>VALUE(MID(G677,5,2))</f>
        <v>11</v>
      </c>
    </row>
    <row r="678" spans="1:11">
      <c r="A678" s="7">
        <v>40162</v>
      </c>
      <c r="B678" s="1">
        <v>730.54</v>
      </c>
      <c r="C678" s="1" t="s">
        <v>28</v>
      </c>
      <c r="D678" s="13">
        <f>VALUE(MID(C678,9,3))</f>
        <v>311</v>
      </c>
      <c r="E678" s="14">
        <f>MONTH(A678)</f>
        <v>12</v>
      </c>
      <c r="G678" s="1" t="s">
        <v>210</v>
      </c>
      <c r="H678" s="1">
        <v>25</v>
      </c>
      <c r="I678" s="1" t="s">
        <v>82</v>
      </c>
      <c r="J678" s="13">
        <f>VALUE(MID(I678,1,3))</f>
        <v>220</v>
      </c>
      <c r="K678" s="13">
        <f>VALUE(MID(G678,5,2))</f>
        <v>11</v>
      </c>
    </row>
    <row r="679" spans="1:11">
      <c r="A679" s="7">
        <v>40162</v>
      </c>
      <c r="B679" s="1">
        <v>2600</v>
      </c>
      <c r="C679" s="1" t="s">
        <v>53</v>
      </c>
      <c r="D679" s="13">
        <f>VALUE(MID(C679,9,3))</f>
        <v>311</v>
      </c>
      <c r="E679" s="14">
        <f>MONTH(A679)</f>
        <v>12</v>
      </c>
      <c r="G679" s="1" t="s">
        <v>210</v>
      </c>
      <c r="H679" s="1">
        <v>69</v>
      </c>
      <c r="I679" s="1" t="s">
        <v>89</v>
      </c>
      <c r="J679" s="13">
        <f>VALUE(MID(I679,1,3))</f>
        <v>220</v>
      </c>
      <c r="K679" s="13">
        <f>VALUE(MID(G679,5,2))</f>
        <v>11</v>
      </c>
    </row>
    <row r="680" spans="1:11">
      <c r="A680" s="7">
        <v>39829</v>
      </c>
      <c r="B680" s="1">
        <v>360</v>
      </c>
      <c r="C680" s="1" t="s">
        <v>22</v>
      </c>
      <c r="D680" s="13">
        <f>VALUE(MID(C680,9,3))</f>
        <v>311</v>
      </c>
      <c r="E680" s="14">
        <f>MONTH(A680)</f>
        <v>1</v>
      </c>
      <c r="G680" s="1" t="s">
        <v>210</v>
      </c>
      <c r="H680" s="1">
        <v>220.31</v>
      </c>
      <c r="I680" s="1" t="s">
        <v>89</v>
      </c>
      <c r="J680" s="13">
        <f>VALUE(MID(I680,1,3))</f>
        <v>220</v>
      </c>
      <c r="K680" s="13">
        <f>VALUE(MID(G680,5,2))</f>
        <v>11</v>
      </c>
    </row>
    <row r="681" spans="1:11">
      <c r="A681" s="7">
        <v>39829</v>
      </c>
      <c r="B681" s="1">
        <v>360</v>
      </c>
      <c r="C681" s="1" t="s">
        <v>22</v>
      </c>
      <c r="D681" s="13">
        <f>VALUE(MID(C681,9,3))</f>
        <v>311</v>
      </c>
      <c r="E681" s="14">
        <f>MONTH(A681)</f>
        <v>1</v>
      </c>
      <c r="G681" s="1" t="s">
        <v>211</v>
      </c>
      <c r="H681" s="1">
        <v>13.42</v>
      </c>
      <c r="I681" s="1" t="s">
        <v>75</v>
      </c>
      <c r="J681" s="13">
        <f>VALUE(MID(I681,1,3))</f>
        <v>220</v>
      </c>
      <c r="K681" s="13">
        <f>VALUE(MID(G681,5,2))</f>
        <v>11</v>
      </c>
    </row>
    <row r="682" spans="1:11">
      <c r="A682" s="7">
        <v>39829</v>
      </c>
      <c r="B682" s="1">
        <v>360</v>
      </c>
      <c r="C682" s="1" t="s">
        <v>22</v>
      </c>
      <c r="D682" s="13">
        <f>VALUE(MID(C682,9,3))</f>
        <v>311</v>
      </c>
      <c r="E682" s="14">
        <f>MONTH(A682)</f>
        <v>1</v>
      </c>
      <c r="G682" s="1" t="s">
        <v>218</v>
      </c>
      <c r="H682" s="1">
        <v>488.91</v>
      </c>
      <c r="I682" s="1" t="s">
        <v>83</v>
      </c>
      <c r="J682" s="13">
        <f>VALUE(MID(I682,1,3))</f>
        <v>220</v>
      </c>
      <c r="K682" s="13">
        <f>VALUE(MID(G682,5,2))</f>
        <v>12</v>
      </c>
    </row>
    <row r="683" spans="1:11">
      <c r="A683" s="7">
        <v>39829</v>
      </c>
      <c r="B683" s="1">
        <v>150</v>
      </c>
      <c r="C683" s="1" t="s">
        <v>41</v>
      </c>
      <c r="D683" s="13">
        <f>VALUE(MID(C683,9,3))</f>
        <v>311</v>
      </c>
      <c r="E683" s="14">
        <f>MONTH(A683)</f>
        <v>1</v>
      </c>
      <c r="G683" s="1" t="s">
        <v>219</v>
      </c>
      <c r="H683" s="1">
        <v>199.8</v>
      </c>
      <c r="I683" s="1" t="s">
        <v>75</v>
      </c>
      <c r="J683" s="13">
        <f>VALUE(MID(I683,1,3))</f>
        <v>220</v>
      </c>
      <c r="K683" s="13">
        <f>VALUE(MID(G683,5,2))</f>
        <v>12</v>
      </c>
    </row>
    <row r="684" spans="1:11">
      <c r="A684" s="7">
        <v>39829</v>
      </c>
      <c r="B684" s="1">
        <v>150</v>
      </c>
      <c r="C684" s="1" t="s">
        <v>41</v>
      </c>
      <c r="D684" s="13">
        <f>VALUE(MID(C684,9,3))</f>
        <v>311</v>
      </c>
      <c r="E684" s="14">
        <f>MONTH(A684)</f>
        <v>1</v>
      </c>
      <c r="G684" s="1" t="s">
        <v>219</v>
      </c>
      <c r="H684" s="1">
        <v>101.54</v>
      </c>
      <c r="I684" s="1" t="s">
        <v>82</v>
      </c>
      <c r="J684" s="13">
        <f>VALUE(MID(I684,1,3))</f>
        <v>220</v>
      </c>
      <c r="K684" s="13">
        <f>VALUE(MID(G684,5,2))</f>
        <v>12</v>
      </c>
    </row>
    <row r="685" spans="1:11">
      <c r="A685" s="7">
        <v>39829</v>
      </c>
      <c r="B685" s="1">
        <v>150</v>
      </c>
      <c r="C685" s="1" t="s">
        <v>41</v>
      </c>
      <c r="D685" s="13">
        <f>VALUE(MID(C685,9,3))</f>
        <v>311</v>
      </c>
      <c r="E685" s="14">
        <f>MONTH(A685)</f>
        <v>1</v>
      </c>
      <c r="G685" s="1" t="s">
        <v>219</v>
      </c>
      <c r="H685" s="1">
        <v>48</v>
      </c>
      <c r="I685" s="1" t="s">
        <v>75</v>
      </c>
      <c r="J685" s="13">
        <f>VALUE(MID(I685,1,3))</f>
        <v>220</v>
      </c>
      <c r="K685" s="13">
        <f>VALUE(MID(G685,5,2))</f>
        <v>12</v>
      </c>
    </row>
    <row r="686" spans="1:11">
      <c r="A686" s="7">
        <v>39860</v>
      </c>
      <c r="B686" s="1">
        <v>254.02</v>
      </c>
      <c r="C686" s="1" t="s">
        <v>12</v>
      </c>
      <c r="D686" s="13">
        <f>VALUE(MID(C686,9,3))</f>
        <v>311</v>
      </c>
      <c r="E686" s="14">
        <f>MONTH(A686)</f>
        <v>2</v>
      </c>
      <c r="G686" s="1" t="s">
        <v>219</v>
      </c>
      <c r="H686" s="1">
        <v>24.7</v>
      </c>
      <c r="I686" s="1" t="s">
        <v>75</v>
      </c>
      <c r="J686" s="13">
        <f>VALUE(MID(I686,1,3))</f>
        <v>220</v>
      </c>
      <c r="K686" s="13">
        <f>VALUE(MID(G686,5,2))</f>
        <v>12</v>
      </c>
    </row>
    <row r="687" spans="1:11">
      <c r="A687" s="7">
        <v>39860</v>
      </c>
      <c r="B687" s="1">
        <v>1159.95</v>
      </c>
      <c r="C687" s="1" t="s">
        <v>3</v>
      </c>
      <c r="D687" s="13">
        <f>VALUE(MID(C687,9,3))</f>
        <v>311</v>
      </c>
      <c r="E687" s="14">
        <f>MONTH(A687)</f>
        <v>2</v>
      </c>
      <c r="G687" s="1" t="s">
        <v>219</v>
      </c>
      <c r="H687" s="1">
        <v>153</v>
      </c>
      <c r="I687" s="1" t="s">
        <v>82</v>
      </c>
      <c r="J687" s="13">
        <f>VALUE(MID(I687,1,3))</f>
        <v>220</v>
      </c>
      <c r="K687" s="13">
        <f>VALUE(MID(G687,5,2))</f>
        <v>12</v>
      </c>
    </row>
    <row r="688" spans="1:11">
      <c r="A688" s="7">
        <v>39860</v>
      </c>
      <c r="B688" s="1">
        <v>909.15</v>
      </c>
      <c r="C688" s="1" t="s">
        <v>3</v>
      </c>
      <c r="D688" s="13">
        <f>VALUE(MID(C688,9,3))</f>
        <v>311</v>
      </c>
      <c r="E688" s="14">
        <f>MONTH(A688)</f>
        <v>2</v>
      </c>
      <c r="G688" s="1" t="s">
        <v>219</v>
      </c>
      <c r="H688" s="1">
        <v>124.49</v>
      </c>
      <c r="I688" s="1" t="s">
        <v>84</v>
      </c>
      <c r="J688" s="13">
        <f>VALUE(MID(I688,1,3))</f>
        <v>220</v>
      </c>
      <c r="K688" s="13">
        <f>VALUE(MID(G688,5,2))</f>
        <v>12</v>
      </c>
    </row>
    <row r="689" spans="1:11">
      <c r="A689" s="7">
        <v>39860</v>
      </c>
      <c r="B689" s="1">
        <v>454.6</v>
      </c>
      <c r="C689" s="1" t="s">
        <v>3</v>
      </c>
      <c r="D689" s="13">
        <f>VALUE(MID(C689,9,3))</f>
        <v>311</v>
      </c>
      <c r="E689" s="14">
        <f>MONTH(A689)</f>
        <v>2</v>
      </c>
      <c r="G689" s="1" t="s">
        <v>219</v>
      </c>
      <c r="H689" s="1">
        <v>23.96</v>
      </c>
      <c r="I689" s="1" t="s">
        <v>82</v>
      </c>
      <c r="J689" s="13">
        <f>VALUE(MID(I689,1,3))</f>
        <v>220</v>
      </c>
      <c r="K689" s="13">
        <f>VALUE(MID(G689,5,2))</f>
        <v>12</v>
      </c>
    </row>
    <row r="690" spans="1:11">
      <c r="A690" s="7">
        <v>39860</v>
      </c>
      <c r="B690" s="1">
        <v>909.15</v>
      </c>
      <c r="C690" s="1" t="s">
        <v>3</v>
      </c>
      <c r="D690" s="13">
        <f>VALUE(MID(C690,9,3))</f>
        <v>311</v>
      </c>
      <c r="E690" s="14">
        <f>MONTH(A690)</f>
        <v>2</v>
      </c>
      <c r="G690" s="1" t="s">
        <v>219</v>
      </c>
      <c r="H690" s="1">
        <v>141.84</v>
      </c>
      <c r="I690" s="1" t="s">
        <v>81</v>
      </c>
      <c r="J690" s="13">
        <f>VALUE(MID(I690,1,3))</f>
        <v>220</v>
      </c>
      <c r="K690" s="13">
        <f>VALUE(MID(G690,5,2))</f>
        <v>12</v>
      </c>
    </row>
    <row r="691" spans="1:11">
      <c r="A691" s="7">
        <v>39860</v>
      </c>
      <c r="B691" s="1">
        <v>909.15</v>
      </c>
      <c r="C691" s="1" t="s">
        <v>3</v>
      </c>
      <c r="D691" s="13">
        <f>VALUE(MID(C691,9,3))</f>
        <v>311</v>
      </c>
      <c r="E691" s="14">
        <f>MONTH(A691)</f>
        <v>2</v>
      </c>
      <c r="G691" s="1" t="s">
        <v>219</v>
      </c>
      <c r="H691" s="1">
        <v>620</v>
      </c>
      <c r="I691" s="1" t="s">
        <v>84</v>
      </c>
      <c r="J691" s="13">
        <f>VALUE(MID(I691,1,3))</f>
        <v>220</v>
      </c>
      <c r="K691" s="13">
        <f>VALUE(MID(G691,5,2))</f>
        <v>12</v>
      </c>
    </row>
    <row r="692" spans="1:11">
      <c r="A692" s="7">
        <v>39860</v>
      </c>
      <c r="B692" s="1">
        <v>783.75</v>
      </c>
      <c r="C692" s="1" t="s">
        <v>3</v>
      </c>
      <c r="D692" s="13">
        <f>VALUE(MID(C692,9,3))</f>
        <v>311</v>
      </c>
      <c r="E692" s="14">
        <f>MONTH(A692)</f>
        <v>2</v>
      </c>
      <c r="G692" s="1" t="s">
        <v>219</v>
      </c>
      <c r="H692" s="1">
        <v>1340.94</v>
      </c>
      <c r="I692" s="1" t="s">
        <v>106</v>
      </c>
      <c r="J692" s="13">
        <f>VALUE(MID(I692,1,3))</f>
        <v>220</v>
      </c>
      <c r="K692" s="13">
        <f>VALUE(MID(G692,5,2))</f>
        <v>12</v>
      </c>
    </row>
    <row r="693" spans="1:11">
      <c r="A693" s="7">
        <v>39860</v>
      </c>
      <c r="B693" s="1">
        <v>588.59</v>
      </c>
      <c r="C693" s="1" t="s">
        <v>29</v>
      </c>
      <c r="D693" s="13">
        <f>VALUE(MID(C693,9,3))</f>
        <v>311</v>
      </c>
      <c r="E693" s="14">
        <f>MONTH(A693)</f>
        <v>2</v>
      </c>
      <c r="G693" s="1" t="s">
        <v>219</v>
      </c>
      <c r="H693" s="1">
        <v>286</v>
      </c>
      <c r="I693" s="1" t="s">
        <v>82</v>
      </c>
      <c r="J693" s="13">
        <f>VALUE(MID(I693,1,3))</f>
        <v>220</v>
      </c>
      <c r="K693" s="13">
        <f>VALUE(MID(G693,5,2))</f>
        <v>12</v>
      </c>
    </row>
    <row r="694" spans="1:11">
      <c r="A694" s="7">
        <v>39860</v>
      </c>
      <c r="B694" s="1">
        <v>572.5</v>
      </c>
      <c r="C694" s="1" t="s">
        <v>29</v>
      </c>
      <c r="D694" s="13">
        <f>VALUE(MID(C694,9,3))</f>
        <v>311</v>
      </c>
      <c r="E694" s="14">
        <f>MONTH(A694)</f>
        <v>2</v>
      </c>
      <c r="G694" s="1" t="s">
        <v>219</v>
      </c>
      <c r="H694" s="1">
        <v>19.95</v>
      </c>
      <c r="I694" s="1" t="s">
        <v>82</v>
      </c>
      <c r="J694" s="13">
        <f>VALUE(MID(I694,1,3))</f>
        <v>220</v>
      </c>
      <c r="K694" s="13">
        <f>VALUE(MID(G694,5,2))</f>
        <v>12</v>
      </c>
    </row>
    <row r="695" spans="1:11">
      <c r="A695" s="7">
        <v>39860</v>
      </c>
      <c r="B695" s="1">
        <v>256.42</v>
      </c>
      <c r="C695" s="1" t="s">
        <v>29</v>
      </c>
      <c r="D695" s="13">
        <f>VALUE(MID(C695,9,3))</f>
        <v>311</v>
      </c>
      <c r="E695" s="14">
        <f>MONTH(A695)</f>
        <v>2</v>
      </c>
      <c r="G695" s="1" t="s">
        <v>219</v>
      </c>
      <c r="H695" s="1">
        <v>15.83</v>
      </c>
      <c r="I695" s="1" t="s">
        <v>82</v>
      </c>
      <c r="J695" s="13">
        <f>VALUE(MID(I695,1,3))</f>
        <v>220</v>
      </c>
      <c r="K695" s="13">
        <f>VALUE(MID(G695,5,2))</f>
        <v>12</v>
      </c>
    </row>
    <row r="696" spans="1:11">
      <c r="A696" s="7">
        <v>39860</v>
      </c>
      <c r="B696" s="1">
        <v>199.6</v>
      </c>
      <c r="C696" s="1" t="s">
        <v>29</v>
      </c>
      <c r="D696" s="13">
        <f>VALUE(MID(C696,9,3))</f>
        <v>311</v>
      </c>
      <c r="E696" s="14">
        <f>MONTH(A696)</f>
        <v>2</v>
      </c>
      <c r="G696" s="1" t="s">
        <v>226</v>
      </c>
      <c r="H696" s="1">
        <v>235</v>
      </c>
      <c r="I696" s="1" t="s">
        <v>75</v>
      </c>
      <c r="J696" s="13">
        <f>VALUE(MID(I696,1,3))</f>
        <v>220</v>
      </c>
      <c r="K696" s="13">
        <f>VALUE(MID(G696,5,2))</f>
        <v>1</v>
      </c>
    </row>
    <row r="697" spans="1:11">
      <c r="A697" s="7">
        <v>39860</v>
      </c>
      <c r="B697" s="1">
        <v>567.59</v>
      </c>
      <c r="C697" s="1" t="s">
        <v>29</v>
      </c>
      <c r="D697" s="13">
        <f>VALUE(MID(C697,9,3))</f>
        <v>311</v>
      </c>
      <c r="E697" s="14">
        <f>MONTH(A697)</f>
        <v>2</v>
      </c>
      <c r="G697" s="1" t="s">
        <v>226</v>
      </c>
      <c r="H697" s="1">
        <v>21.24</v>
      </c>
      <c r="I697" s="1" t="s">
        <v>75</v>
      </c>
      <c r="J697" s="13">
        <f>VALUE(MID(I697,1,3))</f>
        <v>220</v>
      </c>
      <c r="K697" s="13">
        <f>VALUE(MID(G697,5,2))</f>
        <v>1</v>
      </c>
    </row>
    <row r="698" spans="1:11">
      <c r="A698" s="7">
        <v>39860</v>
      </c>
      <c r="B698" s="1">
        <v>570.77</v>
      </c>
      <c r="C698" s="1" t="s">
        <v>29</v>
      </c>
      <c r="D698" s="13">
        <f>VALUE(MID(C698,9,3))</f>
        <v>311</v>
      </c>
      <c r="E698" s="14">
        <f>MONTH(A698)</f>
        <v>2</v>
      </c>
      <c r="G698" s="1" t="s">
        <v>226</v>
      </c>
      <c r="H698" s="1">
        <v>90</v>
      </c>
      <c r="I698" s="1" t="s">
        <v>82</v>
      </c>
      <c r="J698" s="13">
        <f>VALUE(MID(I698,1,3))</f>
        <v>220</v>
      </c>
      <c r="K698" s="13">
        <f>VALUE(MID(G698,5,2))</f>
        <v>1</v>
      </c>
    </row>
    <row r="699" spans="1:11">
      <c r="A699" s="7">
        <v>39860</v>
      </c>
      <c r="B699" s="1">
        <v>526.36</v>
      </c>
      <c r="C699" s="1" t="s">
        <v>29</v>
      </c>
      <c r="D699" s="13">
        <f>VALUE(MID(C699,9,3))</f>
        <v>311</v>
      </c>
      <c r="E699" s="14">
        <f>MONTH(A699)</f>
        <v>2</v>
      </c>
      <c r="G699" s="1" t="s">
        <v>226</v>
      </c>
      <c r="H699" s="1">
        <v>116.07</v>
      </c>
      <c r="I699" s="1" t="s">
        <v>82</v>
      </c>
      <c r="J699" s="13">
        <f>VALUE(MID(I699,1,3))</f>
        <v>220</v>
      </c>
      <c r="K699" s="13">
        <f>VALUE(MID(G699,5,2))</f>
        <v>1</v>
      </c>
    </row>
    <row r="700" spans="1:11">
      <c r="A700" s="7">
        <v>39860</v>
      </c>
      <c r="B700" s="1">
        <v>756.88</v>
      </c>
      <c r="C700" s="1" t="s">
        <v>29</v>
      </c>
      <c r="D700" s="13">
        <f>VALUE(MID(C700,9,3))</f>
        <v>311</v>
      </c>
      <c r="E700" s="14">
        <f>MONTH(A700)</f>
        <v>2</v>
      </c>
      <c r="G700" s="1" t="s">
        <v>226</v>
      </c>
      <c r="H700" s="1">
        <v>69.08</v>
      </c>
      <c r="I700" s="1" t="s">
        <v>82</v>
      </c>
      <c r="J700" s="13">
        <f>VALUE(MID(I700,1,3))</f>
        <v>220</v>
      </c>
      <c r="K700" s="13">
        <f>VALUE(MID(G700,5,2))</f>
        <v>1</v>
      </c>
    </row>
    <row r="701" spans="1:11">
      <c r="A701" s="7">
        <v>39860</v>
      </c>
      <c r="B701" s="1">
        <v>374.95</v>
      </c>
      <c r="C701" s="1" t="s">
        <v>29</v>
      </c>
      <c r="D701" s="13">
        <f>VALUE(MID(C701,9,3))</f>
        <v>311</v>
      </c>
      <c r="E701" s="14">
        <f>MONTH(A701)</f>
        <v>2</v>
      </c>
      <c r="G701" s="1" t="s">
        <v>226</v>
      </c>
      <c r="H701" s="1">
        <v>195.02</v>
      </c>
      <c r="I701" s="1" t="s">
        <v>82</v>
      </c>
      <c r="J701" s="13">
        <f>VALUE(MID(I701,1,3))</f>
        <v>220</v>
      </c>
      <c r="K701" s="13">
        <f>VALUE(MID(G701,5,2))</f>
        <v>1</v>
      </c>
    </row>
    <row r="702" spans="1:11">
      <c r="A702" s="7">
        <v>39860</v>
      </c>
      <c r="B702" s="1">
        <v>453.1</v>
      </c>
      <c r="C702" s="1" t="s">
        <v>29</v>
      </c>
      <c r="D702" s="13">
        <f>VALUE(MID(C702,9,3))</f>
        <v>311</v>
      </c>
      <c r="E702" s="14">
        <f>MONTH(A702)</f>
        <v>2</v>
      </c>
      <c r="G702" s="1" t="s">
        <v>226</v>
      </c>
      <c r="H702" s="1">
        <v>1141.73</v>
      </c>
      <c r="I702" s="1" t="s">
        <v>106</v>
      </c>
      <c r="J702" s="13">
        <f>VALUE(MID(I702,1,3))</f>
        <v>220</v>
      </c>
      <c r="K702" s="13">
        <f>VALUE(MID(G702,5,2))</f>
        <v>1</v>
      </c>
    </row>
    <row r="703" spans="1:11">
      <c r="A703" s="7">
        <v>39860</v>
      </c>
      <c r="B703" s="1">
        <v>572.5</v>
      </c>
      <c r="C703" s="1" t="s">
        <v>29</v>
      </c>
      <c r="D703" s="13">
        <f>VALUE(MID(C703,9,3))</f>
        <v>311</v>
      </c>
      <c r="E703" s="14">
        <f>MONTH(A703)</f>
        <v>2</v>
      </c>
      <c r="G703" s="1" t="s">
        <v>226</v>
      </c>
      <c r="H703" s="1">
        <v>111</v>
      </c>
      <c r="I703" s="1" t="s">
        <v>81</v>
      </c>
      <c r="J703" s="13">
        <f>VALUE(MID(I703,1,3))</f>
        <v>220</v>
      </c>
      <c r="K703" s="13">
        <f>VALUE(MID(G703,5,2))</f>
        <v>1</v>
      </c>
    </row>
    <row r="704" spans="1:11">
      <c r="A704" s="7">
        <v>39860</v>
      </c>
      <c r="B704" s="1">
        <v>742.89</v>
      </c>
      <c r="C704" s="1" t="s">
        <v>29</v>
      </c>
      <c r="D704" s="13">
        <f>VALUE(MID(C704,9,3))</f>
        <v>311</v>
      </c>
      <c r="E704" s="14">
        <f>MONTH(A704)</f>
        <v>2</v>
      </c>
      <c r="G704" s="1" t="s">
        <v>93</v>
      </c>
      <c r="H704" s="1">
        <v>3458.52</v>
      </c>
      <c r="I704" s="1" t="s">
        <v>92</v>
      </c>
      <c r="J704" s="13">
        <f>VALUE(MID(I704,1,3))</f>
        <v>221</v>
      </c>
      <c r="K704" s="13">
        <f>VALUE(MID(G704,5,2))</f>
        <v>2</v>
      </c>
    </row>
    <row r="705" spans="1:11">
      <c r="A705" s="7">
        <v>39860</v>
      </c>
      <c r="B705" s="1">
        <v>677.86</v>
      </c>
      <c r="C705" s="1" t="s">
        <v>29</v>
      </c>
      <c r="D705" s="13">
        <f>VALUE(MID(C705,9,3))</f>
        <v>311</v>
      </c>
      <c r="E705" s="14">
        <f>MONTH(A705)</f>
        <v>2</v>
      </c>
      <c r="G705" s="1" t="s">
        <v>97</v>
      </c>
      <c r="H705" s="1">
        <v>79.53</v>
      </c>
      <c r="I705" s="1" t="s">
        <v>107</v>
      </c>
      <c r="J705" s="13">
        <f>VALUE(MID(I705,1,3))</f>
        <v>221</v>
      </c>
      <c r="K705" s="13">
        <f>VALUE(MID(G705,5,2))</f>
        <v>2</v>
      </c>
    </row>
    <row r="706" spans="1:11">
      <c r="A706" s="7">
        <v>39860</v>
      </c>
      <c r="B706" s="1">
        <v>256.42</v>
      </c>
      <c r="C706" s="1" t="s">
        <v>29</v>
      </c>
      <c r="D706" s="13">
        <f>VALUE(MID(C706,9,3))</f>
        <v>311</v>
      </c>
      <c r="E706" s="14">
        <f>MONTH(A706)</f>
        <v>2</v>
      </c>
      <c r="G706" s="1" t="s">
        <v>97</v>
      </c>
      <c r="H706" s="1">
        <v>7.2</v>
      </c>
      <c r="I706" s="1" t="s">
        <v>109</v>
      </c>
      <c r="J706" s="13">
        <f>VALUE(MID(I706,1,3))</f>
        <v>221</v>
      </c>
      <c r="K706" s="13">
        <f>VALUE(MID(G706,5,2))</f>
        <v>2</v>
      </c>
    </row>
    <row r="707" spans="1:11">
      <c r="A707" s="7">
        <v>39860</v>
      </c>
      <c r="B707" s="1">
        <v>368.32</v>
      </c>
      <c r="C707" s="1" t="s">
        <v>29</v>
      </c>
      <c r="D707" s="13">
        <f>VALUE(MID(C707,9,3))</f>
        <v>311</v>
      </c>
      <c r="E707" s="14">
        <f>MONTH(A707)</f>
        <v>2</v>
      </c>
      <c r="G707" s="1" t="s">
        <v>97</v>
      </c>
      <c r="H707" s="1">
        <v>68.48</v>
      </c>
      <c r="I707" s="1" t="s">
        <v>109</v>
      </c>
      <c r="J707" s="13">
        <f>VALUE(MID(I707,1,3))</f>
        <v>221</v>
      </c>
      <c r="K707" s="13">
        <f>VALUE(MID(G707,5,2))</f>
        <v>2</v>
      </c>
    </row>
    <row r="708" spans="1:11">
      <c r="A708" s="7">
        <v>39860</v>
      </c>
      <c r="B708" s="1">
        <v>717.37</v>
      </c>
      <c r="C708" s="1" t="s">
        <v>29</v>
      </c>
      <c r="D708" s="13">
        <f>VALUE(MID(C708,9,3))</f>
        <v>311</v>
      </c>
      <c r="E708" s="14">
        <f>MONTH(A708)</f>
        <v>2</v>
      </c>
      <c r="G708" s="1" t="s">
        <v>113</v>
      </c>
      <c r="H708" s="1">
        <v>22.1</v>
      </c>
      <c r="I708" s="1" t="s">
        <v>109</v>
      </c>
      <c r="J708" s="13">
        <f>VALUE(MID(I708,1,3))</f>
        <v>221</v>
      </c>
      <c r="K708" s="13">
        <f>VALUE(MID(G708,5,2))</f>
        <v>2</v>
      </c>
    </row>
    <row r="709" spans="1:11">
      <c r="A709" s="7">
        <v>39860</v>
      </c>
      <c r="B709" s="1">
        <v>1072.96</v>
      </c>
      <c r="C709" s="1" t="s">
        <v>29</v>
      </c>
      <c r="D709" s="13">
        <f>VALUE(MID(C709,9,3))</f>
        <v>311</v>
      </c>
      <c r="E709" s="14">
        <f>MONTH(A709)</f>
        <v>2</v>
      </c>
      <c r="G709" s="1" t="s">
        <v>117</v>
      </c>
      <c r="H709" s="1">
        <v>78.900000000000006</v>
      </c>
      <c r="I709" s="1" t="s">
        <v>116</v>
      </c>
      <c r="J709" s="13">
        <f>VALUE(MID(I709,1,3))</f>
        <v>221</v>
      </c>
      <c r="K709" s="13">
        <f>VALUE(MID(G709,5,2))</f>
        <v>3</v>
      </c>
    </row>
    <row r="710" spans="1:11">
      <c r="A710" s="7">
        <v>39860</v>
      </c>
      <c r="B710" s="1">
        <v>368.32</v>
      </c>
      <c r="C710" s="1" t="s">
        <v>29</v>
      </c>
      <c r="D710" s="13">
        <f>VALUE(MID(C710,9,3))</f>
        <v>311</v>
      </c>
      <c r="E710" s="14">
        <f>MONTH(A710)</f>
        <v>2</v>
      </c>
      <c r="G710" s="1" t="s">
        <v>118</v>
      </c>
      <c r="H710" s="1">
        <v>3486</v>
      </c>
      <c r="I710" s="1" t="s">
        <v>92</v>
      </c>
      <c r="J710" s="13">
        <f>VALUE(MID(I710,1,3))</f>
        <v>221</v>
      </c>
      <c r="K710" s="13">
        <f>VALUE(MID(G710,5,2))</f>
        <v>3</v>
      </c>
    </row>
    <row r="711" spans="1:11">
      <c r="A711" s="7">
        <v>39860</v>
      </c>
      <c r="B711" s="1">
        <v>111.9</v>
      </c>
      <c r="C711" s="1" t="s">
        <v>30</v>
      </c>
      <c r="D711" s="13">
        <f>VALUE(MID(C711,9,3))</f>
        <v>311</v>
      </c>
      <c r="E711" s="14">
        <f>MONTH(A711)</f>
        <v>2</v>
      </c>
      <c r="G711" s="1" t="s">
        <v>120</v>
      </c>
      <c r="H711" s="1">
        <v>4354</v>
      </c>
      <c r="I711" s="1" t="s">
        <v>125</v>
      </c>
      <c r="J711" s="13">
        <f>VALUE(MID(I711,1,3))</f>
        <v>221</v>
      </c>
      <c r="K711" s="13">
        <f>VALUE(MID(G711,5,2))</f>
        <v>3</v>
      </c>
    </row>
    <row r="712" spans="1:11">
      <c r="A712" s="7">
        <v>39860</v>
      </c>
      <c r="B712" s="1">
        <v>111.9</v>
      </c>
      <c r="C712" s="1" t="s">
        <v>30</v>
      </c>
      <c r="D712" s="13">
        <f>VALUE(MID(C712,9,3))</f>
        <v>311</v>
      </c>
      <c r="E712" s="14">
        <f>MONTH(A712)</f>
        <v>2</v>
      </c>
      <c r="G712" s="1" t="s">
        <v>120</v>
      </c>
      <c r="H712" s="1">
        <v>10.5</v>
      </c>
      <c r="I712" s="1" t="s">
        <v>109</v>
      </c>
      <c r="J712" s="13">
        <f>VALUE(MID(I712,1,3))</f>
        <v>221</v>
      </c>
      <c r="K712" s="13">
        <f>VALUE(MID(G712,5,2))</f>
        <v>3</v>
      </c>
    </row>
    <row r="713" spans="1:11">
      <c r="A713" s="7">
        <v>39860</v>
      </c>
      <c r="B713" s="1">
        <v>75</v>
      </c>
      <c r="C713" s="1" t="s">
        <v>21</v>
      </c>
      <c r="D713" s="13">
        <f>VALUE(MID(C713,9,3))</f>
        <v>311</v>
      </c>
      <c r="E713" s="14">
        <f>MONTH(A713)</f>
        <v>2</v>
      </c>
      <c r="G713" s="1" t="s">
        <v>120</v>
      </c>
      <c r="H713" s="1">
        <v>68.48</v>
      </c>
      <c r="I713" s="1" t="s">
        <v>109</v>
      </c>
      <c r="J713" s="13">
        <f>VALUE(MID(I713,1,3))</f>
        <v>221</v>
      </c>
      <c r="K713" s="13">
        <f>VALUE(MID(G713,5,2))</f>
        <v>3</v>
      </c>
    </row>
    <row r="714" spans="1:11">
      <c r="A714" s="7">
        <v>39860</v>
      </c>
      <c r="B714" s="1">
        <v>-150</v>
      </c>
      <c r="C714" s="1" t="s">
        <v>41</v>
      </c>
      <c r="D714" s="13">
        <f>VALUE(MID(C714,9,3))</f>
        <v>311</v>
      </c>
      <c r="E714" s="14">
        <f>MONTH(A714)</f>
        <v>2</v>
      </c>
      <c r="G714" s="1" t="s">
        <v>120</v>
      </c>
      <c r="H714" s="1">
        <v>86.4</v>
      </c>
      <c r="I714" s="1" t="s">
        <v>109</v>
      </c>
      <c r="J714" s="13">
        <f>VALUE(MID(I714,1,3))</f>
        <v>221</v>
      </c>
      <c r="K714" s="13">
        <f>VALUE(MID(G714,5,2))</f>
        <v>3</v>
      </c>
    </row>
    <row r="715" spans="1:11">
      <c r="A715" s="7">
        <v>39860</v>
      </c>
      <c r="B715" s="1">
        <v>-150</v>
      </c>
      <c r="C715" s="1" t="s">
        <v>41</v>
      </c>
      <c r="D715" s="13">
        <f>VALUE(MID(C715,9,3))</f>
        <v>311</v>
      </c>
      <c r="E715" s="14">
        <f>MONTH(A715)</f>
        <v>2</v>
      </c>
      <c r="G715" s="1" t="s">
        <v>130</v>
      </c>
      <c r="H715" s="1">
        <v>7</v>
      </c>
      <c r="I715" s="1" t="s">
        <v>109</v>
      </c>
      <c r="J715" s="13">
        <f>VALUE(MID(I715,1,3))</f>
        <v>221</v>
      </c>
      <c r="K715" s="13">
        <f>VALUE(MID(G715,5,2))</f>
        <v>3</v>
      </c>
    </row>
    <row r="716" spans="1:11">
      <c r="A716" s="7">
        <v>39919</v>
      </c>
      <c r="B716" s="1">
        <v>144.52000000000001</v>
      </c>
      <c r="C716" s="1" t="s">
        <v>29</v>
      </c>
      <c r="D716" s="13">
        <f>VALUE(MID(C716,9,3))</f>
        <v>311</v>
      </c>
      <c r="E716" s="14">
        <f>MONTH(A716)</f>
        <v>4</v>
      </c>
      <c r="G716" s="1" t="s">
        <v>133</v>
      </c>
      <c r="H716" s="1">
        <v>82.65</v>
      </c>
      <c r="I716" s="1" t="s">
        <v>132</v>
      </c>
      <c r="J716" s="13">
        <f>VALUE(MID(I716,1,3))</f>
        <v>221</v>
      </c>
      <c r="K716" s="13">
        <f>VALUE(MID(G716,5,2))</f>
        <v>3</v>
      </c>
    </row>
    <row r="717" spans="1:11">
      <c r="A717" s="7">
        <v>40010</v>
      </c>
      <c r="B717" s="1">
        <v>374.95</v>
      </c>
      <c r="C717" s="1" t="s">
        <v>6</v>
      </c>
      <c r="D717" s="13">
        <f>VALUE(MID(C717,9,3))</f>
        <v>311</v>
      </c>
      <c r="E717" s="14">
        <f>MONTH(A717)</f>
        <v>7</v>
      </c>
      <c r="G717" s="1" t="s">
        <v>134</v>
      </c>
      <c r="H717" s="1">
        <v>-82.65</v>
      </c>
      <c r="I717" s="1" t="s">
        <v>132</v>
      </c>
      <c r="J717" s="13">
        <f>VALUE(MID(I717,1,3))</f>
        <v>221</v>
      </c>
      <c r="K717" s="13">
        <f>VALUE(MID(G717,5,2))</f>
        <v>4</v>
      </c>
    </row>
    <row r="718" spans="1:11">
      <c r="A718" s="7">
        <v>40010</v>
      </c>
      <c r="B718" s="1">
        <v>546.16</v>
      </c>
      <c r="C718" s="1" t="s">
        <v>6</v>
      </c>
      <c r="D718" s="13">
        <f>VALUE(MID(C718,9,3))</f>
        <v>311</v>
      </c>
      <c r="E718" s="14">
        <f>MONTH(A718)</f>
        <v>7</v>
      </c>
      <c r="G718" s="1" t="s">
        <v>130</v>
      </c>
      <c r="H718" s="1">
        <v>82.65</v>
      </c>
      <c r="I718" s="1" t="s">
        <v>116</v>
      </c>
      <c r="J718" s="13">
        <f>VALUE(MID(I718,1,3))</f>
        <v>221</v>
      </c>
      <c r="K718" s="13">
        <f>VALUE(MID(G718,5,2))</f>
        <v>3</v>
      </c>
    </row>
    <row r="719" spans="1:11">
      <c r="A719" s="7">
        <v>40010</v>
      </c>
      <c r="B719" s="1">
        <v>438.2</v>
      </c>
      <c r="C719" s="1" t="s">
        <v>6</v>
      </c>
      <c r="D719" s="13">
        <f>VALUE(MID(C719,9,3))</f>
        <v>311</v>
      </c>
      <c r="E719" s="14">
        <f>MONTH(A719)</f>
        <v>7</v>
      </c>
      <c r="G719" s="1" t="s">
        <v>136</v>
      </c>
      <c r="H719" s="1">
        <v>3613.61</v>
      </c>
      <c r="I719" s="1" t="s">
        <v>92</v>
      </c>
      <c r="J719" s="13">
        <f>VALUE(MID(I719,1,3))</f>
        <v>221</v>
      </c>
      <c r="K719" s="13">
        <f>VALUE(MID(G719,5,2))</f>
        <v>4</v>
      </c>
    </row>
    <row r="720" spans="1:11">
      <c r="A720" s="7">
        <v>40010</v>
      </c>
      <c r="B720" s="1">
        <v>202.78</v>
      </c>
      <c r="C720" s="1" t="s">
        <v>6</v>
      </c>
      <c r="D720" s="13">
        <f>VALUE(MID(C720,9,3))</f>
        <v>311</v>
      </c>
      <c r="E720" s="14">
        <f>MONTH(A720)</f>
        <v>7</v>
      </c>
      <c r="G720" s="1" t="s">
        <v>139</v>
      </c>
      <c r="H720" s="1">
        <v>63.64</v>
      </c>
      <c r="I720" s="1" t="s">
        <v>107</v>
      </c>
      <c r="J720" s="13">
        <f>VALUE(MID(I720,1,3))</f>
        <v>221</v>
      </c>
      <c r="K720" s="13">
        <f>VALUE(MID(G720,5,2))</f>
        <v>4</v>
      </c>
    </row>
    <row r="721" spans="1:11">
      <c r="A721" s="7">
        <v>40010</v>
      </c>
      <c r="B721" s="1">
        <v>374.95</v>
      </c>
      <c r="C721" s="1" t="s">
        <v>6</v>
      </c>
      <c r="D721" s="13">
        <f>VALUE(MID(C721,9,3))</f>
        <v>311</v>
      </c>
      <c r="E721" s="14">
        <f>MONTH(A721)</f>
        <v>7</v>
      </c>
      <c r="G721" s="1" t="s">
        <v>139</v>
      </c>
      <c r="H721" s="1">
        <v>13</v>
      </c>
      <c r="I721" s="1" t="s">
        <v>109</v>
      </c>
      <c r="J721" s="13">
        <f>VALUE(MID(I721,1,3))</f>
        <v>221</v>
      </c>
      <c r="K721" s="13">
        <f>VALUE(MID(G721,5,2))</f>
        <v>4</v>
      </c>
    </row>
    <row r="722" spans="1:11">
      <c r="A722" s="7">
        <v>40010</v>
      </c>
      <c r="B722" s="1">
        <v>256.42</v>
      </c>
      <c r="C722" s="1" t="s">
        <v>6</v>
      </c>
      <c r="D722" s="13">
        <f>VALUE(MID(C722,9,3))</f>
        <v>311</v>
      </c>
      <c r="E722" s="14">
        <f>MONTH(A722)</f>
        <v>7</v>
      </c>
      <c r="G722" s="1" t="s">
        <v>139</v>
      </c>
      <c r="H722" s="1">
        <v>222.97</v>
      </c>
      <c r="I722" s="1" t="s">
        <v>107</v>
      </c>
      <c r="J722" s="13">
        <f>VALUE(MID(I722,1,3))</f>
        <v>221</v>
      </c>
      <c r="K722" s="13">
        <f>VALUE(MID(G722,5,2))</f>
        <v>4</v>
      </c>
    </row>
    <row r="723" spans="1:11">
      <c r="A723" s="7">
        <v>40072</v>
      </c>
      <c r="B723" s="1">
        <v>542.48</v>
      </c>
      <c r="C723" s="1" t="s">
        <v>8</v>
      </c>
      <c r="D723" s="13">
        <f>VALUE(MID(C723,9,3))</f>
        <v>311</v>
      </c>
      <c r="E723" s="14">
        <f>MONTH(A723)</f>
        <v>9</v>
      </c>
      <c r="G723" s="1" t="s">
        <v>139</v>
      </c>
      <c r="H723" s="1">
        <v>68.48</v>
      </c>
      <c r="I723" s="1" t="s">
        <v>109</v>
      </c>
      <c r="J723" s="13">
        <f>VALUE(MID(I723,1,3))</f>
        <v>221</v>
      </c>
      <c r="K723" s="13">
        <f>VALUE(MID(G723,5,2))</f>
        <v>4</v>
      </c>
    </row>
    <row r="724" spans="1:11">
      <c r="A724" s="7">
        <v>40072</v>
      </c>
      <c r="B724" s="1">
        <v>1011.22</v>
      </c>
      <c r="C724" s="1" t="s">
        <v>9</v>
      </c>
      <c r="D724" s="13">
        <f>VALUE(MID(C724,9,3))</f>
        <v>311</v>
      </c>
      <c r="E724" s="14">
        <f>MONTH(A724)</f>
        <v>9</v>
      </c>
      <c r="G724" s="1" t="s">
        <v>139</v>
      </c>
      <c r="H724" s="1">
        <v>34.69</v>
      </c>
      <c r="I724" s="1" t="s">
        <v>109</v>
      </c>
      <c r="J724" s="13">
        <f>VALUE(MID(I724,1,3))</f>
        <v>221</v>
      </c>
      <c r="K724" s="13">
        <f>VALUE(MID(G724,5,2))</f>
        <v>4</v>
      </c>
    </row>
    <row r="725" spans="1:11">
      <c r="A725" s="7">
        <v>40072</v>
      </c>
      <c r="B725" s="1">
        <v>447.15</v>
      </c>
      <c r="C725" s="1" t="s">
        <v>12</v>
      </c>
      <c r="D725" s="13">
        <f>VALUE(MID(C725,9,3))</f>
        <v>311</v>
      </c>
      <c r="E725" s="14">
        <f>MONTH(A725)</f>
        <v>9</v>
      </c>
      <c r="G725" s="1" t="s">
        <v>144</v>
      </c>
      <c r="H725" s="1">
        <v>78.900000000000006</v>
      </c>
      <c r="I725" s="1" t="s">
        <v>116</v>
      </c>
      <c r="J725" s="13">
        <f>VALUE(MID(I725,1,3))</f>
        <v>221</v>
      </c>
      <c r="K725" s="13">
        <f>VALUE(MID(G725,5,2))</f>
        <v>4</v>
      </c>
    </row>
    <row r="726" spans="1:11">
      <c r="A726" s="7">
        <v>40072</v>
      </c>
      <c r="B726" s="1">
        <v>757.74</v>
      </c>
      <c r="C726" s="1" t="s">
        <v>12</v>
      </c>
      <c r="D726" s="13">
        <f>VALUE(MID(C726,9,3))</f>
        <v>311</v>
      </c>
      <c r="E726" s="14">
        <f>MONTH(A726)</f>
        <v>9</v>
      </c>
      <c r="G726" s="1" t="s">
        <v>145</v>
      </c>
      <c r="H726" s="1">
        <v>1.35</v>
      </c>
      <c r="I726" s="1" t="s">
        <v>109</v>
      </c>
      <c r="J726" s="13">
        <f>VALUE(MID(I726,1,3))</f>
        <v>221</v>
      </c>
      <c r="K726" s="13">
        <f>VALUE(MID(G726,5,2))</f>
        <v>4</v>
      </c>
    </row>
    <row r="727" spans="1:11">
      <c r="A727" s="7">
        <v>40072</v>
      </c>
      <c r="B727" s="1">
        <v>808.44</v>
      </c>
      <c r="C727" s="1" t="s">
        <v>12</v>
      </c>
      <c r="D727" s="13">
        <f>VALUE(MID(C727,9,3))</f>
        <v>311</v>
      </c>
      <c r="E727" s="14">
        <f>MONTH(A727)</f>
        <v>9</v>
      </c>
      <c r="G727" s="1" t="s">
        <v>148</v>
      </c>
      <c r="H727" s="1">
        <v>3093</v>
      </c>
      <c r="I727" s="1" t="s">
        <v>92</v>
      </c>
      <c r="J727" s="13">
        <f>VALUE(MID(I727,1,3))</f>
        <v>221</v>
      </c>
      <c r="K727" s="13">
        <f>VALUE(MID(G727,5,2))</f>
        <v>5</v>
      </c>
    </row>
    <row r="728" spans="1:11">
      <c r="A728" s="7">
        <v>40072</v>
      </c>
      <c r="B728" s="1">
        <v>863.42</v>
      </c>
      <c r="C728" s="1" t="s">
        <v>13</v>
      </c>
      <c r="D728" s="13">
        <f>VALUE(MID(C728,9,3))</f>
        <v>311</v>
      </c>
      <c r="E728" s="14">
        <f>MONTH(A728)</f>
        <v>9</v>
      </c>
      <c r="G728" s="1" t="s">
        <v>152</v>
      </c>
      <c r="H728" s="1">
        <v>3442.29</v>
      </c>
      <c r="I728" s="1" t="s">
        <v>125</v>
      </c>
      <c r="J728" s="13">
        <f>VALUE(MID(I728,1,3))</f>
        <v>221</v>
      </c>
      <c r="K728" s="13">
        <f>VALUE(MID(G728,5,2))</f>
        <v>5</v>
      </c>
    </row>
    <row r="729" spans="1:11">
      <c r="A729" s="7">
        <v>40072</v>
      </c>
      <c r="B729" s="1">
        <v>659.64</v>
      </c>
      <c r="C729" s="1" t="s">
        <v>13</v>
      </c>
      <c r="D729" s="13">
        <f>VALUE(MID(C729,9,3))</f>
        <v>311</v>
      </c>
      <c r="E729" s="14">
        <f>MONTH(A729)</f>
        <v>9</v>
      </c>
      <c r="G729" s="1" t="s">
        <v>152</v>
      </c>
      <c r="H729" s="1">
        <v>40.119999999999997</v>
      </c>
      <c r="I729" s="1" t="s">
        <v>107</v>
      </c>
      <c r="J729" s="13">
        <f>VALUE(MID(I729,1,3))</f>
        <v>221</v>
      </c>
      <c r="K729" s="13">
        <f>VALUE(MID(G729,5,2))</f>
        <v>5</v>
      </c>
    </row>
    <row r="730" spans="1:11">
      <c r="A730" s="7">
        <v>40072</v>
      </c>
      <c r="B730" s="1">
        <v>510.08</v>
      </c>
      <c r="C730" s="1" t="s">
        <v>13</v>
      </c>
      <c r="D730" s="13">
        <f>VALUE(MID(C730,9,3))</f>
        <v>311</v>
      </c>
      <c r="E730" s="14">
        <f>MONTH(A730)</f>
        <v>9</v>
      </c>
      <c r="G730" s="1" t="s">
        <v>152</v>
      </c>
      <c r="H730" s="1">
        <v>10.4</v>
      </c>
      <c r="I730" s="1" t="s">
        <v>109</v>
      </c>
      <c r="J730" s="13">
        <f>VALUE(MID(I730,1,3))</f>
        <v>221</v>
      </c>
      <c r="K730" s="13">
        <f>VALUE(MID(G730,5,2))</f>
        <v>5</v>
      </c>
    </row>
    <row r="731" spans="1:11">
      <c r="A731" s="7">
        <v>40072</v>
      </c>
      <c r="B731" s="1">
        <v>158.04</v>
      </c>
      <c r="C731" s="1" t="s">
        <v>13</v>
      </c>
      <c r="D731" s="13">
        <f>VALUE(MID(C731,9,3))</f>
        <v>311</v>
      </c>
      <c r="E731" s="14">
        <f>MONTH(A731)</f>
        <v>9</v>
      </c>
      <c r="G731" s="1" t="s">
        <v>152</v>
      </c>
      <c r="H731" s="1">
        <v>68.48</v>
      </c>
      <c r="I731" s="1" t="s">
        <v>109</v>
      </c>
      <c r="J731" s="13">
        <f>VALUE(MID(I731,1,3))</f>
        <v>221</v>
      </c>
      <c r="K731" s="13">
        <f>VALUE(MID(G731,5,2))</f>
        <v>5</v>
      </c>
    </row>
    <row r="732" spans="1:11">
      <c r="A732" s="7">
        <v>40072</v>
      </c>
      <c r="B732" s="1">
        <v>470.25</v>
      </c>
      <c r="C732" s="1" t="s">
        <v>3</v>
      </c>
      <c r="D732" s="13">
        <f>VALUE(MID(C732,9,3))</f>
        <v>311</v>
      </c>
      <c r="E732" s="14">
        <f>MONTH(A732)</f>
        <v>9</v>
      </c>
      <c r="G732" s="1" t="s">
        <v>152</v>
      </c>
      <c r="H732" s="1">
        <v>78.900000000000006</v>
      </c>
      <c r="I732" s="1" t="s">
        <v>116</v>
      </c>
      <c r="J732" s="13">
        <f>VALUE(MID(I732,1,3))</f>
        <v>221</v>
      </c>
      <c r="K732" s="13">
        <f>VALUE(MID(G732,5,2))</f>
        <v>5</v>
      </c>
    </row>
    <row r="733" spans="1:11">
      <c r="A733" s="7">
        <v>40072</v>
      </c>
      <c r="B733" s="1">
        <v>858.45</v>
      </c>
      <c r="C733" s="1" t="s">
        <v>3</v>
      </c>
      <c r="D733" s="13">
        <f>VALUE(MID(C733,9,3))</f>
        <v>311</v>
      </c>
      <c r="E733" s="14">
        <f>MONTH(A733)</f>
        <v>9</v>
      </c>
      <c r="G733" s="1" t="s">
        <v>161</v>
      </c>
      <c r="H733" s="1">
        <v>4.75</v>
      </c>
      <c r="I733" s="1" t="s">
        <v>109</v>
      </c>
      <c r="J733" s="13">
        <f>VALUE(MID(I733,1,3))</f>
        <v>221</v>
      </c>
      <c r="K733" s="13">
        <f>VALUE(MID(G733,5,2))</f>
        <v>5</v>
      </c>
    </row>
    <row r="734" spans="1:11">
      <c r="A734" s="7">
        <v>40072</v>
      </c>
      <c r="B734" s="1">
        <v>687.68</v>
      </c>
      <c r="C734" s="1" t="s">
        <v>5</v>
      </c>
      <c r="D734" s="13">
        <f>VALUE(MID(C734,9,3))</f>
        <v>311</v>
      </c>
      <c r="E734" s="14">
        <f>MONTH(A734)</f>
        <v>9</v>
      </c>
      <c r="G734" s="1" t="s">
        <v>164</v>
      </c>
      <c r="H734" s="1">
        <v>4225.34</v>
      </c>
      <c r="I734" s="1" t="s">
        <v>92</v>
      </c>
      <c r="J734" s="13">
        <f>VALUE(MID(I734,1,3))</f>
        <v>221</v>
      </c>
      <c r="K734" s="13">
        <f>VALUE(MID(G734,5,2))</f>
        <v>6</v>
      </c>
    </row>
    <row r="735" spans="1:11">
      <c r="A735" s="7">
        <v>40072</v>
      </c>
      <c r="B735" s="1">
        <v>230.75</v>
      </c>
      <c r="C735" s="1" t="s">
        <v>6</v>
      </c>
      <c r="D735" s="13">
        <f>VALUE(MID(C735,9,3))</f>
        <v>311</v>
      </c>
      <c r="E735" s="14">
        <f>MONTH(A735)</f>
        <v>9</v>
      </c>
      <c r="G735" s="1" t="s">
        <v>167</v>
      </c>
      <c r="H735" s="1">
        <v>14.1</v>
      </c>
      <c r="I735" s="1" t="s">
        <v>109</v>
      </c>
      <c r="J735" s="13">
        <f>VALUE(MID(I735,1,3))</f>
        <v>221</v>
      </c>
      <c r="K735" s="13">
        <f>VALUE(MID(G735,5,2))</f>
        <v>6</v>
      </c>
    </row>
    <row r="736" spans="1:11">
      <c r="A736" s="7">
        <v>40072</v>
      </c>
      <c r="B736" s="1">
        <v>158.04</v>
      </c>
      <c r="C736" s="1" t="s">
        <v>6</v>
      </c>
      <c r="D736" s="13">
        <f>VALUE(MID(C736,9,3))</f>
        <v>311</v>
      </c>
      <c r="E736" s="14">
        <f>MONTH(A736)</f>
        <v>9</v>
      </c>
      <c r="G736" s="1" t="s">
        <v>167</v>
      </c>
      <c r="H736" s="1">
        <v>78.900000000000006</v>
      </c>
      <c r="I736" s="1" t="s">
        <v>116</v>
      </c>
      <c r="J736" s="13">
        <f>VALUE(MID(I736,1,3))</f>
        <v>221</v>
      </c>
      <c r="K736" s="13">
        <f>VALUE(MID(G736,5,2))</f>
        <v>6</v>
      </c>
    </row>
    <row r="737" spans="1:11">
      <c r="A737" s="7">
        <v>40072</v>
      </c>
      <c r="B737" s="1">
        <v>1557.37</v>
      </c>
      <c r="C737" s="1" t="s">
        <v>6</v>
      </c>
      <c r="D737" s="13">
        <f>VALUE(MID(C737,9,3))</f>
        <v>311</v>
      </c>
      <c r="E737" s="14">
        <f>MONTH(A737)</f>
        <v>9</v>
      </c>
      <c r="G737" s="1" t="s">
        <v>170</v>
      </c>
      <c r="H737" s="1">
        <v>11.12</v>
      </c>
      <c r="I737" s="1" t="s">
        <v>109</v>
      </c>
      <c r="J737" s="13">
        <f>VALUE(MID(I737,1,3))</f>
        <v>221</v>
      </c>
      <c r="K737" s="13">
        <f>VALUE(MID(G737,5,2))</f>
        <v>6</v>
      </c>
    </row>
    <row r="738" spans="1:11">
      <c r="A738" s="7">
        <v>40072</v>
      </c>
      <c r="B738" s="1">
        <v>524.63</v>
      </c>
      <c r="C738" s="1" t="s">
        <v>6</v>
      </c>
      <c r="D738" s="13">
        <f>VALUE(MID(C738,9,3))</f>
        <v>311</v>
      </c>
      <c r="E738" s="14">
        <f>MONTH(A738)</f>
        <v>9</v>
      </c>
      <c r="G738" s="1" t="s">
        <v>173</v>
      </c>
      <c r="H738" s="1">
        <v>3842.99</v>
      </c>
      <c r="I738" s="1" t="s">
        <v>92</v>
      </c>
      <c r="J738" s="13">
        <f>VALUE(MID(I738,1,3))</f>
        <v>221</v>
      </c>
      <c r="K738" s="13">
        <f>VALUE(MID(G738,5,2))</f>
        <v>7</v>
      </c>
    </row>
    <row r="739" spans="1:11">
      <c r="A739" s="7">
        <v>40072</v>
      </c>
      <c r="B739" s="1">
        <v>102</v>
      </c>
      <c r="C739" s="1" t="s">
        <v>28</v>
      </c>
      <c r="D739" s="13">
        <f>VALUE(MID(C739,9,3))</f>
        <v>311</v>
      </c>
      <c r="E739" s="14">
        <f>MONTH(A739)</f>
        <v>9</v>
      </c>
      <c r="G739" s="1" t="s">
        <v>175</v>
      </c>
      <c r="H739" s="1">
        <v>46.06</v>
      </c>
      <c r="I739" s="1" t="s">
        <v>109</v>
      </c>
      <c r="J739" s="13">
        <f>VALUE(MID(I739,1,3))</f>
        <v>221</v>
      </c>
      <c r="K739" s="13">
        <f>VALUE(MID(G739,5,2))</f>
        <v>7</v>
      </c>
    </row>
    <row r="740" spans="1:11">
      <c r="A740" s="7">
        <v>40072</v>
      </c>
      <c r="B740" s="1">
        <v>80</v>
      </c>
      <c r="C740" s="1" t="s">
        <v>18</v>
      </c>
      <c r="D740" s="13">
        <f>VALUE(MID(C740,9,3))</f>
        <v>311</v>
      </c>
      <c r="E740" s="14">
        <f>MONTH(A740)</f>
        <v>9</v>
      </c>
      <c r="G740" s="1" t="s">
        <v>177</v>
      </c>
      <c r="H740" s="1">
        <v>78.900000000000006</v>
      </c>
      <c r="I740" s="1" t="s">
        <v>116</v>
      </c>
      <c r="J740" s="13">
        <f>VALUE(MID(I740,1,3))</f>
        <v>221</v>
      </c>
      <c r="K740" s="13">
        <f>VALUE(MID(G740,5,2))</f>
        <v>7</v>
      </c>
    </row>
    <row r="741" spans="1:11">
      <c r="A741" s="7">
        <v>40072</v>
      </c>
      <c r="B741" s="1">
        <v>111.9</v>
      </c>
      <c r="C741" s="1" t="s">
        <v>30</v>
      </c>
      <c r="D741" s="13">
        <f>VALUE(MID(C741,9,3))</f>
        <v>311</v>
      </c>
      <c r="E741" s="14">
        <f>MONTH(A741)</f>
        <v>9</v>
      </c>
      <c r="G741" s="1" t="s">
        <v>178</v>
      </c>
      <c r="H741" s="1">
        <v>4.2</v>
      </c>
      <c r="I741" s="1" t="s">
        <v>109</v>
      </c>
      <c r="J741" s="13">
        <f>VALUE(MID(I741,1,3))</f>
        <v>221</v>
      </c>
      <c r="K741" s="13">
        <f>VALUE(MID(G741,5,2))</f>
        <v>7</v>
      </c>
    </row>
    <row r="742" spans="1:11">
      <c r="A742" s="7">
        <v>40163</v>
      </c>
      <c r="B742" s="1">
        <v>65</v>
      </c>
      <c r="C742" s="1" t="s">
        <v>18</v>
      </c>
      <c r="D742" s="13">
        <f>VALUE(MID(C742,9,3))</f>
        <v>311</v>
      </c>
      <c r="E742" s="14">
        <f>MONTH(A742)</f>
        <v>12</v>
      </c>
      <c r="G742" s="1" t="s">
        <v>179</v>
      </c>
      <c r="H742" s="1">
        <v>3466.19</v>
      </c>
      <c r="I742" s="1" t="s">
        <v>92</v>
      </c>
      <c r="J742" s="13">
        <f>VALUE(MID(I742,1,3))</f>
        <v>221</v>
      </c>
      <c r="K742" s="13">
        <f>VALUE(MID(G742,5,2))</f>
        <v>8</v>
      </c>
    </row>
    <row r="743" spans="1:11">
      <c r="A743" s="7">
        <v>39861</v>
      </c>
      <c r="B743" s="1">
        <v>509.44</v>
      </c>
      <c r="C743" s="1" t="s">
        <v>13</v>
      </c>
      <c r="D743" s="13">
        <f>VALUE(MID(C743,9,3))</f>
        <v>311</v>
      </c>
      <c r="E743" s="14">
        <f>MONTH(A743)</f>
        <v>2</v>
      </c>
      <c r="G743" s="1" t="s">
        <v>184</v>
      </c>
      <c r="H743" s="1">
        <v>7890</v>
      </c>
      <c r="I743" s="1" t="s">
        <v>116</v>
      </c>
      <c r="J743" s="13">
        <f>VALUE(MID(I743,1,3))</f>
        <v>221</v>
      </c>
      <c r="K743" s="13">
        <f>VALUE(MID(G743,5,2))</f>
        <v>8</v>
      </c>
    </row>
    <row r="744" spans="1:11">
      <c r="A744" s="7">
        <v>39861</v>
      </c>
      <c r="B744" s="1">
        <v>971.85</v>
      </c>
      <c r="C744" s="1" t="s">
        <v>3</v>
      </c>
      <c r="D744" s="13">
        <f>VALUE(MID(C744,9,3))</f>
        <v>311</v>
      </c>
      <c r="E744" s="14">
        <f>MONTH(A744)</f>
        <v>2</v>
      </c>
      <c r="G744" s="1" t="s">
        <v>185</v>
      </c>
      <c r="H744" s="1">
        <v>-7890</v>
      </c>
      <c r="I744" s="1" t="s">
        <v>116</v>
      </c>
      <c r="J744" s="13">
        <f>VALUE(MID(I744,1,3))</f>
        <v>221</v>
      </c>
      <c r="K744" s="13">
        <f>VALUE(MID(G744,5,2))</f>
        <v>8</v>
      </c>
    </row>
    <row r="745" spans="1:11">
      <c r="A745" s="7">
        <v>39861</v>
      </c>
      <c r="B745" s="1">
        <v>450</v>
      </c>
      <c r="C745" s="1" t="s">
        <v>3</v>
      </c>
      <c r="D745" s="13">
        <f>VALUE(MID(C745,9,3))</f>
        <v>311</v>
      </c>
      <c r="E745" s="14">
        <f>MONTH(A745)</f>
        <v>2</v>
      </c>
      <c r="G745" s="1" t="s">
        <v>184</v>
      </c>
      <c r="H745" s="1">
        <v>78.900000000000006</v>
      </c>
      <c r="I745" s="1" t="s">
        <v>132</v>
      </c>
      <c r="J745" s="13">
        <f>VALUE(MID(I745,1,3))</f>
        <v>221</v>
      </c>
      <c r="K745" s="13">
        <f>VALUE(MID(G745,5,2))</f>
        <v>8</v>
      </c>
    </row>
    <row r="746" spans="1:11">
      <c r="A746" s="7">
        <v>39861</v>
      </c>
      <c r="B746" s="1">
        <v>846.45</v>
      </c>
      <c r="C746" s="1" t="s">
        <v>3</v>
      </c>
      <c r="D746" s="13">
        <f>VALUE(MID(C746,9,3))</f>
        <v>311</v>
      </c>
      <c r="E746" s="14">
        <f>MONTH(A746)</f>
        <v>2</v>
      </c>
      <c r="G746" s="1" t="s">
        <v>185</v>
      </c>
      <c r="H746" s="1">
        <v>-78.900000000000006</v>
      </c>
      <c r="I746" s="1" t="s">
        <v>132</v>
      </c>
      <c r="J746" s="13">
        <f>VALUE(MID(I746,1,3))</f>
        <v>221</v>
      </c>
      <c r="K746" s="13">
        <f>VALUE(MID(G746,5,2))</f>
        <v>8</v>
      </c>
    </row>
    <row r="747" spans="1:11">
      <c r="A747" s="7">
        <v>39861</v>
      </c>
      <c r="B747" s="1">
        <v>1159.95</v>
      </c>
      <c r="C747" s="1" t="s">
        <v>3</v>
      </c>
      <c r="D747" s="13">
        <f>VALUE(MID(C747,9,3))</f>
        <v>311</v>
      </c>
      <c r="E747" s="14">
        <f>MONTH(A747)</f>
        <v>2</v>
      </c>
      <c r="G747" s="1" t="s">
        <v>186</v>
      </c>
      <c r="H747" s="1">
        <v>78.900000000000006</v>
      </c>
      <c r="I747" s="1" t="s">
        <v>116</v>
      </c>
      <c r="J747" s="13">
        <f>VALUE(MID(I747,1,3))</f>
        <v>221</v>
      </c>
      <c r="K747" s="13">
        <f>VALUE(MID(G747,5,2))</f>
        <v>8</v>
      </c>
    </row>
    <row r="748" spans="1:11">
      <c r="A748" s="7">
        <v>39861</v>
      </c>
      <c r="B748" s="1">
        <v>1034.55</v>
      </c>
      <c r="C748" s="1" t="s">
        <v>3</v>
      </c>
      <c r="D748" s="13">
        <f>VALUE(MID(C748,9,3))</f>
        <v>311</v>
      </c>
      <c r="E748" s="14">
        <f>MONTH(A748)</f>
        <v>2</v>
      </c>
      <c r="G748" s="1" t="s">
        <v>188</v>
      </c>
      <c r="H748" s="1">
        <v>3306.61</v>
      </c>
      <c r="I748" s="1" t="s">
        <v>92</v>
      </c>
      <c r="J748" s="13">
        <f>VALUE(MID(I748,1,3))</f>
        <v>221</v>
      </c>
      <c r="K748" s="13">
        <f>VALUE(MID(G748,5,2))</f>
        <v>9</v>
      </c>
    </row>
    <row r="749" spans="1:11">
      <c r="A749" s="7">
        <v>39861</v>
      </c>
      <c r="B749" s="1">
        <v>909.15</v>
      </c>
      <c r="C749" s="1" t="s">
        <v>3</v>
      </c>
      <c r="D749" s="13">
        <f>VALUE(MID(C749,9,3))</f>
        <v>311</v>
      </c>
      <c r="E749" s="14">
        <f>MONTH(A749)</f>
        <v>2</v>
      </c>
      <c r="G749" s="1" t="s">
        <v>191</v>
      </c>
      <c r="H749" s="1">
        <v>78.900000000000006</v>
      </c>
      <c r="I749" s="1" t="s">
        <v>116</v>
      </c>
      <c r="J749" s="13">
        <f>VALUE(MID(I749,1,3))</f>
        <v>221</v>
      </c>
      <c r="K749" s="13">
        <f>VALUE(MID(G749,5,2))</f>
        <v>9</v>
      </c>
    </row>
    <row r="750" spans="1:11">
      <c r="A750" s="7">
        <v>39861</v>
      </c>
      <c r="B750" s="1">
        <v>832.55</v>
      </c>
      <c r="C750" s="1" t="s">
        <v>28</v>
      </c>
      <c r="D750" s="13">
        <f>VALUE(MID(C750,9,3))</f>
        <v>311</v>
      </c>
      <c r="E750" s="14">
        <f>MONTH(A750)</f>
        <v>2</v>
      </c>
      <c r="G750" s="1" t="s">
        <v>192</v>
      </c>
      <c r="H750" s="1">
        <v>76.760000000000005</v>
      </c>
      <c r="I750" s="1" t="s">
        <v>109</v>
      </c>
      <c r="J750" s="13">
        <f>VALUE(MID(I750,1,3))</f>
        <v>221</v>
      </c>
      <c r="K750" s="13">
        <f>VALUE(MID(G750,5,2))</f>
        <v>9</v>
      </c>
    </row>
    <row r="751" spans="1:11">
      <c r="A751" s="7">
        <v>39861</v>
      </c>
      <c r="B751" s="1">
        <v>684.4</v>
      </c>
      <c r="C751" s="1" t="s">
        <v>29</v>
      </c>
      <c r="D751" s="13">
        <f>VALUE(MID(C751,9,3))</f>
        <v>311</v>
      </c>
      <c r="E751" s="14">
        <f>MONTH(A751)</f>
        <v>2</v>
      </c>
      <c r="G751" s="1" t="s">
        <v>193</v>
      </c>
      <c r="H751" s="1">
        <v>13.34</v>
      </c>
      <c r="I751" s="1" t="s">
        <v>109</v>
      </c>
      <c r="J751" s="13">
        <f>VALUE(MID(I751,1,3))</f>
        <v>221</v>
      </c>
      <c r="K751" s="13">
        <f>VALUE(MID(G751,5,2))</f>
        <v>9</v>
      </c>
    </row>
    <row r="752" spans="1:11">
      <c r="A752" s="7">
        <v>39861</v>
      </c>
      <c r="B752" s="1">
        <v>875.41</v>
      </c>
      <c r="C752" s="1" t="s">
        <v>29</v>
      </c>
      <c r="D752" s="13">
        <f>VALUE(MID(C752,9,3))</f>
        <v>311</v>
      </c>
      <c r="E752" s="14">
        <f>MONTH(A752)</f>
        <v>2</v>
      </c>
      <c r="G752" s="1" t="s">
        <v>199</v>
      </c>
      <c r="H752" s="1">
        <v>3723.39</v>
      </c>
      <c r="I752" s="1" t="s">
        <v>92</v>
      </c>
      <c r="J752" s="13">
        <f>VALUE(MID(I752,1,3))</f>
        <v>221</v>
      </c>
      <c r="K752" s="13">
        <f>VALUE(MID(G752,5,2))</f>
        <v>10</v>
      </c>
    </row>
    <row r="753" spans="1:11">
      <c r="A753" s="7">
        <v>39861</v>
      </c>
      <c r="B753" s="1">
        <v>341.98</v>
      </c>
      <c r="C753" s="1" t="s">
        <v>29</v>
      </c>
      <c r="D753" s="13">
        <f>VALUE(MID(C753,9,3))</f>
        <v>311</v>
      </c>
      <c r="E753" s="14">
        <f>MONTH(A753)</f>
        <v>2</v>
      </c>
      <c r="G753" s="1" t="s">
        <v>202</v>
      </c>
      <c r="H753" s="1">
        <v>78.900000000000006</v>
      </c>
      <c r="I753" s="1" t="s">
        <v>116</v>
      </c>
      <c r="J753" s="13">
        <f>VALUE(MID(I753,1,3))</f>
        <v>221</v>
      </c>
      <c r="K753" s="13">
        <f>VALUE(MID(G753,5,2))</f>
        <v>10</v>
      </c>
    </row>
    <row r="754" spans="1:11">
      <c r="A754" s="7">
        <v>39861</v>
      </c>
      <c r="B754" s="1">
        <v>419.36</v>
      </c>
      <c r="C754" s="1" t="s">
        <v>29</v>
      </c>
      <c r="D754" s="13">
        <f>VALUE(MID(C754,9,3))</f>
        <v>311</v>
      </c>
      <c r="E754" s="14">
        <f>MONTH(A754)</f>
        <v>2</v>
      </c>
      <c r="G754" s="1" t="s">
        <v>203</v>
      </c>
      <c r="H754" s="1">
        <v>10.4</v>
      </c>
      <c r="I754" s="1" t="s">
        <v>109</v>
      </c>
      <c r="J754" s="13">
        <f>VALUE(MID(I754,1,3))</f>
        <v>221</v>
      </c>
      <c r="K754" s="13">
        <f>VALUE(MID(G754,5,2))</f>
        <v>10</v>
      </c>
    </row>
    <row r="755" spans="1:11">
      <c r="A755" s="7">
        <v>39861</v>
      </c>
      <c r="B755" s="1">
        <v>1177.1199999999999</v>
      </c>
      <c r="C755" s="1" t="s">
        <v>29</v>
      </c>
      <c r="D755" s="13">
        <f>VALUE(MID(C755,9,3))</f>
        <v>311</v>
      </c>
      <c r="E755" s="14">
        <f>MONTH(A755)</f>
        <v>2</v>
      </c>
      <c r="G755" s="1" t="s">
        <v>203</v>
      </c>
      <c r="H755" s="1">
        <v>54.2</v>
      </c>
      <c r="I755" s="1" t="s">
        <v>109</v>
      </c>
      <c r="J755" s="13">
        <f>VALUE(MID(I755,1,3))</f>
        <v>221</v>
      </c>
      <c r="K755" s="13">
        <f>VALUE(MID(G755,5,2))</f>
        <v>10</v>
      </c>
    </row>
    <row r="756" spans="1:11">
      <c r="A756" s="7">
        <v>39861</v>
      </c>
      <c r="B756" s="1">
        <v>502.07</v>
      </c>
      <c r="C756" s="1" t="s">
        <v>29</v>
      </c>
      <c r="D756" s="13">
        <f>VALUE(MID(C756,9,3))</f>
        <v>311</v>
      </c>
      <c r="E756" s="14">
        <f>MONTH(A756)</f>
        <v>2</v>
      </c>
      <c r="G756" s="1" t="s">
        <v>203</v>
      </c>
      <c r="H756" s="1">
        <v>75.599999999999994</v>
      </c>
      <c r="I756" s="1" t="s">
        <v>132</v>
      </c>
      <c r="J756" s="13">
        <f>VALUE(MID(I756,1,3))</f>
        <v>221</v>
      </c>
      <c r="K756" s="13">
        <f>VALUE(MID(G756,5,2))</f>
        <v>10</v>
      </c>
    </row>
    <row r="757" spans="1:11">
      <c r="A757" s="7">
        <v>39861</v>
      </c>
      <c r="B757" s="1">
        <v>771.55</v>
      </c>
      <c r="C757" s="1" t="s">
        <v>29</v>
      </c>
      <c r="D757" s="13">
        <f>VALUE(MID(C757,9,3))</f>
        <v>311</v>
      </c>
      <c r="E757" s="14">
        <f>MONTH(A757)</f>
        <v>2</v>
      </c>
      <c r="G757" s="1" t="s">
        <v>203</v>
      </c>
      <c r="H757" s="1">
        <v>129.6</v>
      </c>
      <c r="I757" s="1" t="s">
        <v>109</v>
      </c>
      <c r="J757" s="13">
        <f>VALUE(MID(I757,1,3))</f>
        <v>221</v>
      </c>
      <c r="K757" s="13">
        <f>VALUE(MID(G757,5,2))</f>
        <v>10</v>
      </c>
    </row>
    <row r="758" spans="1:11">
      <c r="A758" s="7">
        <v>39861</v>
      </c>
      <c r="B758" s="1">
        <v>532.99</v>
      </c>
      <c r="C758" s="1" t="s">
        <v>29</v>
      </c>
      <c r="D758" s="13">
        <f>VALUE(MID(C758,9,3))</f>
        <v>311</v>
      </c>
      <c r="E758" s="14">
        <f>MONTH(A758)</f>
        <v>2</v>
      </c>
      <c r="G758" s="1" t="s">
        <v>203</v>
      </c>
      <c r="H758" s="1">
        <v>35.979999999999997</v>
      </c>
      <c r="I758" s="1" t="s">
        <v>107</v>
      </c>
      <c r="J758" s="13">
        <f>VALUE(MID(I758,1,3))</f>
        <v>221</v>
      </c>
      <c r="K758" s="13">
        <f>VALUE(MID(G758,5,2))</f>
        <v>10</v>
      </c>
    </row>
    <row r="759" spans="1:11">
      <c r="A759" s="7">
        <v>39861</v>
      </c>
      <c r="B759" s="1">
        <v>205.47</v>
      </c>
      <c r="C759" s="1" t="s">
        <v>29</v>
      </c>
      <c r="D759" s="13">
        <f>VALUE(MID(C759,9,3))</f>
        <v>311</v>
      </c>
      <c r="E759" s="14">
        <f>MONTH(A759)</f>
        <v>2</v>
      </c>
      <c r="G759" s="1" t="s">
        <v>204</v>
      </c>
      <c r="H759" s="1">
        <v>7.2</v>
      </c>
      <c r="I759" s="1" t="s">
        <v>109</v>
      </c>
      <c r="J759" s="13">
        <f>VALUE(MID(I759,1,3))</f>
        <v>221</v>
      </c>
      <c r="K759" s="13">
        <f>VALUE(MID(G759,5,2))</f>
        <v>10</v>
      </c>
    </row>
    <row r="760" spans="1:11">
      <c r="A760" s="7">
        <v>39861</v>
      </c>
      <c r="B760" s="1">
        <v>256.42</v>
      </c>
      <c r="C760" s="1" t="s">
        <v>29</v>
      </c>
      <c r="D760" s="13">
        <f>VALUE(MID(C760,9,3))</f>
        <v>311</v>
      </c>
      <c r="E760" s="14">
        <f>MONTH(A760)</f>
        <v>2</v>
      </c>
      <c r="G760" s="1" t="s">
        <v>206</v>
      </c>
      <c r="H760" s="1">
        <v>4125.25</v>
      </c>
      <c r="I760" s="1" t="s">
        <v>92</v>
      </c>
      <c r="J760" s="13">
        <f>VALUE(MID(I760,1,3))</f>
        <v>221</v>
      </c>
      <c r="K760" s="13">
        <f>VALUE(MID(G760,5,2))</f>
        <v>11</v>
      </c>
    </row>
    <row r="761" spans="1:11">
      <c r="A761" s="7">
        <v>39861</v>
      </c>
      <c r="B761" s="1">
        <v>374.95</v>
      </c>
      <c r="C761" s="1" t="s">
        <v>29</v>
      </c>
      <c r="D761" s="13">
        <f>VALUE(MID(C761,9,3))</f>
        <v>311</v>
      </c>
      <c r="E761" s="14">
        <f>MONTH(A761)</f>
        <v>2</v>
      </c>
      <c r="G761" s="1" t="s">
        <v>210</v>
      </c>
      <c r="H761" s="1">
        <v>65.7</v>
      </c>
      <c r="I761" s="1" t="s">
        <v>107</v>
      </c>
      <c r="J761" s="13">
        <f>VALUE(MID(I761,1,3))</f>
        <v>221</v>
      </c>
      <c r="K761" s="13">
        <f>VALUE(MID(G761,5,2))</f>
        <v>11</v>
      </c>
    </row>
    <row r="762" spans="1:11">
      <c r="A762" s="7">
        <v>39861</v>
      </c>
      <c r="B762" s="1">
        <v>174.8</v>
      </c>
      <c r="C762" s="1" t="s">
        <v>29</v>
      </c>
      <c r="D762" s="13">
        <f>VALUE(MID(C762,9,3))</f>
        <v>311</v>
      </c>
      <c r="E762" s="14">
        <f>MONTH(A762)</f>
        <v>2</v>
      </c>
      <c r="G762" s="1" t="s">
        <v>210</v>
      </c>
      <c r="H762" s="1">
        <v>20.149999999999999</v>
      </c>
      <c r="I762" s="1" t="s">
        <v>109</v>
      </c>
      <c r="J762" s="13">
        <f>VALUE(MID(I762,1,3))</f>
        <v>221</v>
      </c>
      <c r="K762" s="13">
        <f>VALUE(MID(G762,5,2))</f>
        <v>11</v>
      </c>
    </row>
    <row r="763" spans="1:11">
      <c r="A763" s="7">
        <v>39861</v>
      </c>
      <c r="B763" s="1">
        <v>75</v>
      </c>
      <c r="C763" s="1" t="s">
        <v>21</v>
      </c>
      <c r="D763" s="13">
        <f>VALUE(MID(C763,9,3))</f>
        <v>311</v>
      </c>
      <c r="E763" s="14">
        <f>MONTH(A763)</f>
        <v>2</v>
      </c>
      <c r="G763" s="1" t="s">
        <v>210</v>
      </c>
      <c r="H763" s="1">
        <v>46.06</v>
      </c>
      <c r="I763" s="1" t="s">
        <v>109</v>
      </c>
      <c r="J763" s="13">
        <f>VALUE(MID(I763,1,3))</f>
        <v>221</v>
      </c>
      <c r="K763" s="13">
        <f>VALUE(MID(G763,5,2))</f>
        <v>11</v>
      </c>
    </row>
    <row r="764" spans="1:11">
      <c r="A764" s="7">
        <v>39861</v>
      </c>
      <c r="B764" s="1">
        <v>75</v>
      </c>
      <c r="C764" s="1" t="s">
        <v>21</v>
      </c>
      <c r="D764" s="13">
        <f>VALUE(MID(C764,9,3))</f>
        <v>311</v>
      </c>
      <c r="E764" s="14">
        <f>MONTH(A764)</f>
        <v>2</v>
      </c>
      <c r="G764" s="1" t="s">
        <v>212</v>
      </c>
      <c r="H764" s="1">
        <v>10.35</v>
      </c>
      <c r="I764" s="1" t="s">
        <v>109</v>
      </c>
      <c r="J764" s="13">
        <f>VALUE(MID(I764,1,3))</f>
        <v>221</v>
      </c>
      <c r="K764" s="13">
        <f>VALUE(MID(G764,5,2))</f>
        <v>11</v>
      </c>
    </row>
    <row r="765" spans="1:11">
      <c r="A765" s="7">
        <v>39981</v>
      </c>
      <c r="B765" s="1">
        <v>651.52</v>
      </c>
      <c r="C765" s="1" t="s">
        <v>6</v>
      </c>
      <c r="D765" s="13">
        <f>VALUE(MID(C765,9,3))</f>
        <v>311</v>
      </c>
      <c r="E765" s="14">
        <f>MONTH(A765)</f>
        <v>6</v>
      </c>
      <c r="G765" s="1" t="s">
        <v>214</v>
      </c>
      <c r="H765" s="1">
        <v>82.65</v>
      </c>
      <c r="I765" s="1" t="s">
        <v>116</v>
      </c>
      <c r="J765" s="13">
        <f>VALUE(MID(I765,1,3))</f>
        <v>221</v>
      </c>
      <c r="K765" s="13">
        <f>VALUE(MID(G765,5,2))</f>
        <v>12</v>
      </c>
    </row>
    <row r="766" spans="1:11">
      <c r="A766" s="7">
        <v>40011</v>
      </c>
      <c r="B766" s="1">
        <v>327.94</v>
      </c>
      <c r="C766" s="1" t="s">
        <v>6</v>
      </c>
      <c r="D766" s="13">
        <f>VALUE(MID(C766,9,3))</f>
        <v>311</v>
      </c>
      <c r="E766" s="14">
        <f>MONTH(A766)</f>
        <v>7</v>
      </c>
      <c r="G766" s="1" t="s">
        <v>215</v>
      </c>
      <c r="H766" s="1">
        <v>3969.57</v>
      </c>
      <c r="I766" s="1" t="s">
        <v>92</v>
      </c>
      <c r="J766" s="13">
        <f>VALUE(MID(I766,1,3))</f>
        <v>221</v>
      </c>
      <c r="K766" s="13">
        <f>VALUE(MID(G766,5,2))</f>
        <v>12</v>
      </c>
    </row>
    <row r="767" spans="1:11">
      <c r="A767" s="7">
        <v>40011</v>
      </c>
      <c r="B767" s="1">
        <v>216.91</v>
      </c>
      <c r="C767" s="1" t="s">
        <v>6</v>
      </c>
      <c r="D767" s="13">
        <f>VALUE(MID(C767,9,3))</f>
        <v>311</v>
      </c>
      <c r="E767" s="14">
        <f>MONTH(A767)</f>
        <v>7</v>
      </c>
      <c r="G767" s="1" t="s">
        <v>219</v>
      </c>
      <c r="H767" s="1">
        <v>4242.25</v>
      </c>
      <c r="I767" s="1" t="s">
        <v>125</v>
      </c>
      <c r="J767" s="13">
        <f>VALUE(MID(I767,1,3))</f>
        <v>221</v>
      </c>
      <c r="K767" s="13">
        <f>VALUE(MID(G767,5,2))</f>
        <v>12</v>
      </c>
    </row>
    <row r="768" spans="1:11">
      <c r="A768" s="7">
        <v>40011</v>
      </c>
      <c r="B768" s="1">
        <v>371.44</v>
      </c>
      <c r="C768" s="1" t="s">
        <v>6</v>
      </c>
      <c r="D768" s="13">
        <f>VALUE(MID(C768,9,3))</f>
        <v>311</v>
      </c>
      <c r="E768" s="14">
        <f>MONTH(A768)</f>
        <v>7</v>
      </c>
      <c r="G768" s="1" t="s">
        <v>219</v>
      </c>
      <c r="H768" s="1">
        <v>5.6</v>
      </c>
      <c r="I768" s="1" t="s">
        <v>109</v>
      </c>
      <c r="J768" s="13">
        <f>VALUE(MID(I768,1,3))</f>
        <v>221</v>
      </c>
      <c r="K768" s="13">
        <f>VALUE(MID(G768,5,2))</f>
        <v>12</v>
      </c>
    </row>
    <row r="769" spans="1:11">
      <c r="A769" s="7">
        <v>40011</v>
      </c>
      <c r="B769" s="1">
        <v>302.69</v>
      </c>
      <c r="C769" s="1" t="s">
        <v>6</v>
      </c>
      <c r="D769" s="13">
        <f>VALUE(MID(C769,9,3))</f>
        <v>311</v>
      </c>
      <c r="E769" s="14">
        <f>MONTH(A769)</f>
        <v>7</v>
      </c>
      <c r="G769" s="1" t="s">
        <v>219</v>
      </c>
      <c r="H769" s="1">
        <v>46.06</v>
      </c>
      <c r="I769" s="1" t="s">
        <v>109</v>
      </c>
      <c r="J769" s="13">
        <f>VALUE(MID(I769,1,3))</f>
        <v>221</v>
      </c>
      <c r="K769" s="13">
        <f>VALUE(MID(G769,5,2))</f>
        <v>12</v>
      </c>
    </row>
    <row r="770" spans="1:11">
      <c r="A770" s="7">
        <v>40011</v>
      </c>
      <c r="B770" s="1">
        <v>368.32</v>
      </c>
      <c r="C770" s="1" t="s">
        <v>6</v>
      </c>
      <c r="D770" s="13">
        <f>VALUE(MID(C770,9,3))</f>
        <v>311</v>
      </c>
      <c r="E770" s="14">
        <f>MONTH(A770)</f>
        <v>7</v>
      </c>
      <c r="G770" s="1" t="s">
        <v>221</v>
      </c>
      <c r="H770" s="1">
        <v>78.900000000000006</v>
      </c>
      <c r="I770" s="1" t="s">
        <v>116</v>
      </c>
      <c r="J770" s="13">
        <f>VALUE(MID(I770,1,3))</f>
        <v>221</v>
      </c>
      <c r="K770" s="13">
        <f>VALUE(MID(G770,5,2))</f>
        <v>12</v>
      </c>
    </row>
    <row r="771" spans="1:11">
      <c r="A771" s="7">
        <v>40011</v>
      </c>
      <c r="B771" s="1">
        <v>613.07000000000005</v>
      </c>
      <c r="C771" s="1" t="s">
        <v>6</v>
      </c>
      <c r="D771" s="13">
        <f>VALUE(MID(C771,9,3))</f>
        <v>311</v>
      </c>
      <c r="E771" s="14">
        <f>MONTH(A771)</f>
        <v>7</v>
      </c>
      <c r="G771" s="1" t="s">
        <v>222</v>
      </c>
      <c r="H771" s="1">
        <v>3.64</v>
      </c>
      <c r="I771" s="1" t="s">
        <v>109</v>
      </c>
      <c r="J771" s="13">
        <f>VALUE(MID(I771,1,3))</f>
        <v>221</v>
      </c>
      <c r="K771" s="13">
        <f>VALUE(MID(G771,5,2))</f>
        <v>12</v>
      </c>
    </row>
    <row r="772" spans="1:11">
      <c r="A772" s="7">
        <v>40011</v>
      </c>
      <c r="B772" s="1">
        <v>493.48</v>
      </c>
      <c r="C772" s="1" t="s">
        <v>6</v>
      </c>
      <c r="D772" s="13">
        <f>VALUE(MID(C772,9,3))</f>
        <v>311</v>
      </c>
      <c r="E772" s="14">
        <f>MONTH(A772)</f>
        <v>7</v>
      </c>
      <c r="G772" s="1" t="s">
        <v>224</v>
      </c>
      <c r="H772" s="1">
        <v>3906.67</v>
      </c>
      <c r="I772" s="1" t="s">
        <v>92</v>
      </c>
      <c r="J772" s="13">
        <f>VALUE(MID(I772,1,3))</f>
        <v>221</v>
      </c>
      <c r="K772" s="13">
        <f>VALUE(MID(G772,5,2))</f>
        <v>1</v>
      </c>
    </row>
    <row r="773" spans="1:11">
      <c r="A773" s="7">
        <v>40011</v>
      </c>
      <c r="B773" s="1">
        <v>453.97</v>
      </c>
      <c r="C773" s="1" t="s">
        <v>6</v>
      </c>
      <c r="D773" s="13">
        <f>VALUE(MID(C773,9,3))</f>
        <v>311</v>
      </c>
      <c r="E773" s="14">
        <f>MONTH(A773)</f>
        <v>7</v>
      </c>
      <c r="G773" s="1" t="s">
        <v>226</v>
      </c>
      <c r="H773" s="1">
        <v>264.87</v>
      </c>
      <c r="I773" s="1" t="s">
        <v>107</v>
      </c>
      <c r="J773" s="13">
        <f>VALUE(MID(I773,1,3))</f>
        <v>221</v>
      </c>
      <c r="K773" s="13">
        <f>VALUE(MID(G773,5,2))</f>
        <v>1</v>
      </c>
    </row>
    <row r="774" spans="1:11">
      <c r="A774" s="7">
        <v>40011</v>
      </c>
      <c r="B774" s="1">
        <v>388.12</v>
      </c>
      <c r="C774" s="1" t="s">
        <v>6</v>
      </c>
      <c r="D774" s="13">
        <f>VALUE(MID(C774,9,3))</f>
        <v>311</v>
      </c>
      <c r="E774" s="14">
        <f>MONTH(A774)</f>
        <v>7</v>
      </c>
      <c r="G774" s="1" t="s">
        <v>226</v>
      </c>
      <c r="H774" s="1">
        <v>65.7</v>
      </c>
      <c r="I774" s="1" t="s">
        <v>107</v>
      </c>
      <c r="J774" s="13">
        <f>VALUE(MID(I774,1,3))</f>
        <v>221</v>
      </c>
      <c r="K774" s="13">
        <f>VALUE(MID(G774,5,2))</f>
        <v>1</v>
      </c>
    </row>
    <row r="775" spans="1:11">
      <c r="A775" s="7">
        <v>40011</v>
      </c>
      <c r="B775" s="1">
        <v>609.41</v>
      </c>
      <c r="C775" s="1" t="s">
        <v>6</v>
      </c>
      <c r="D775" s="13">
        <f>VALUE(MID(C775,9,3))</f>
        <v>311</v>
      </c>
      <c r="E775" s="14">
        <f>MONTH(A775)</f>
        <v>7</v>
      </c>
      <c r="G775" s="1" t="s">
        <v>226</v>
      </c>
      <c r="H775" s="1">
        <v>227.18</v>
      </c>
      <c r="I775" s="1" t="s">
        <v>107</v>
      </c>
      <c r="J775" s="13">
        <f>VALUE(MID(I775,1,3))</f>
        <v>221</v>
      </c>
      <c r="K775" s="13">
        <f>VALUE(MID(G775,5,2))</f>
        <v>1</v>
      </c>
    </row>
    <row r="776" spans="1:11">
      <c r="A776" s="7">
        <v>40011</v>
      </c>
      <c r="B776" s="1">
        <v>770.05</v>
      </c>
      <c r="C776" s="1" t="s">
        <v>6</v>
      </c>
      <c r="D776" s="13">
        <f>VALUE(MID(C776,9,3))</f>
        <v>311</v>
      </c>
      <c r="E776" s="14">
        <f>MONTH(A776)</f>
        <v>7</v>
      </c>
      <c r="G776" s="1" t="s">
        <v>226</v>
      </c>
      <c r="H776" s="1">
        <v>46.06</v>
      </c>
      <c r="I776" s="1" t="s">
        <v>109</v>
      </c>
      <c r="J776" s="13">
        <f>VALUE(MID(I776,1,3))</f>
        <v>221</v>
      </c>
      <c r="K776" s="13">
        <f>VALUE(MID(G776,5,2))</f>
        <v>1</v>
      </c>
    </row>
    <row r="777" spans="1:11">
      <c r="A777" s="7">
        <v>40011</v>
      </c>
      <c r="B777" s="1">
        <v>791.39</v>
      </c>
      <c r="C777" s="1" t="s">
        <v>6</v>
      </c>
      <c r="D777" s="13">
        <f>VALUE(MID(C777,9,3))</f>
        <v>311</v>
      </c>
      <c r="E777" s="14">
        <f>MONTH(A777)</f>
        <v>7</v>
      </c>
      <c r="G777" s="1" t="s">
        <v>226</v>
      </c>
      <c r="H777" s="1">
        <v>7.1</v>
      </c>
      <c r="I777" s="1" t="s">
        <v>109</v>
      </c>
      <c r="J777" s="13">
        <f>VALUE(MID(I777,1,3))</f>
        <v>221</v>
      </c>
      <c r="K777" s="13">
        <f>VALUE(MID(G777,5,2))</f>
        <v>1</v>
      </c>
    </row>
    <row r="778" spans="1:11">
      <c r="A778" s="7">
        <v>40011</v>
      </c>
      <c r="B778" s="1">
        <v>256.42</v>
      </c>
      <c r="C778" s="1" t="s">
        <v>6</v>
      </c>
      <c r="D778" s="13">
        <f>VALUE(MID(C778,9,3))</f>
        <v>311</v>
      </c>
      <c r="E778" s="14">
        <f>MONTH(A778)</f>
        <v>7</v>
      </c>
      <c r="G778" s="1" t="s">
        <v>226</v>
      </c>
      <c r="H778" s="1">
        <v>10</v>
      </c>
      <c r="I778" s="1" t="s">
        <v>109</v>
      </c>
      <c r="J778" s="13">
        <f>VALUE(MID(I778,1,3))</f>
        <v>221</v>
      </c>
      <c r="K778" s="13">
        <f>VALUE(MID(G778,5,2))</f>
        <v>1</v>
      </c>
    </row>
    <row r="779" spans="1:11">
      <c r="A779" s="7">
        <v>40011</v>
      </c>
      <c r="B779" s="1">
        <v>572.5</v>
      </c>
      <c r="C779" s="1" t="s">
        <v>6</v>
      </c>
      <c r="D779" s="13">
        <f>VALUE(MID(C779,9,3))</f>
        <v>311</v>
      </c>
      <c r="E779" s="14">
        <f>MONTH(A779)</f>
        <v>7</v>
      </c>
      <c r="G779" s="1" t="s">
        <v>226</v>
      </c>
      <c r="H779" s="1">
        <v>73.319999999999993</v>
      </c>
      <c r="I779" s="1" t="s">
        <v>132</v>
      </c>
      <c r="J779" s="13">
        <f>VALUE(MID(I779,1,3))</f>
        <v>221</v>
      </c>
      <c r="K779" s="13">
        <f>VALUE(MID(G779,5,2))</f>
        <v>1</v>
      </c>
    </row>
    <row r="780" spans="1:11">
      <c r="A780" s="7">
        <v>40073</v>
      </c>
      <c r="B780" s="1">
        <v>887.33</v>
      </c>
      <c r="C780" s="1" t="s">
        <v>7</v>
      </c>
      <c r="D780" s="13">
        <f>VALUE(MID(C780,9,3))</f>
        <v>311</v>
      </c>
      <c r="E780" s="14">
        <f>MONTH(A780)</f>
        <v>9</v>
      </c>
      <c r="G780" s="1" t="s">
        <v>228</v>
      </c>
      <c r="H780" s="1">
        <v>78.900000000000006</v>
      </c>
      <c r="I780" s="1" t="s">
        <v>116</v>
      </c>
      <c r="J780" s="13">
        <f>VALUE(MID(I780,1,3))</f>
        <v>221</v>
      </c>
      <c r="K780" s="13">
        <f>VALUE(MID(G780,5,2))</f>
        <v>1</v>
      </c>
    </row>
    <row r="781" spans="1:11">
      <c r="A781" s="7">
        <v>40073</v>
      </c>
      <c r="B781" s="1">
        <v>783.6</v>
      </c>
      <c r="C781" s="1" t="s">
        <v>8</v>
      </c>
      <c r="D781" s="13">
        <f>VALUE(MID(C781,9,3))</f>
        <v>311</v>
      </c>
      <c r="E781" s="14">
        <f>MONTH(A781)</f>
        <v>9</v>
      </c>
      <c r="G781" s="1" t="s">
        <v>95</v>
      </c>
      <c r="H781" s="1">
        <v>1146.0899999999999</v>
      </c>
      <c r="I781" s="1" t="s">
        <v>94</v>
      </c>
      <c r="J781" s="13">
        <f>VALUE(MID(I781,1,3))</f>
        <v>222</v>
      </c>
      <c r="K781" s="13">
        <f>VALUE(MID(G781,5,2))</f>
        <v>2</v>
      </c>
    </row>
    <row r="782" spans="1:11">
      <c r="A782" s="7">
        <v>40073</v>
      </c>
      <c r="B782" s="1">
        <v>138.13</v>
      </c>
      <c r="C782" s="1" t="s">
        <v>12</v>
      </c>
      <c r="D782" s="13">
        <f>VALUE(MID(C782,9,3))</f>
        <v>311</v>
      </c>
      <c r="E782" s="14">
        <f>MONTH(A782)</f>
        <v>9</v>
      </c>
      <c r="G782" s="1" t="s">
        <v>119</v>
      </c>
      <c r="H782" s="1">
        <v>1137.75</v>
      </c>
      <c r="I782" s="1" t="s">
        <v>94</v>
      </c>
      <c r="J782" s="13">
        <f>VALUE(MID(I782,1,3))</f>
        <v>222</v>
      </c>
      <c r="K782" s="13">
        <f>VALUE(MID(G782,5,2))</f>
        <v>3</v>
      </c>
    </row>
    <row r="783" spans="1:11">
      <c r="A783" s="7">
        <v>40073</v>
      </c>
      <c r="B783" s="1">
        <v>54.2</v>
      </c>
      <c r="C783" s="1" t="s">
        <v>12</v>
      </c>
      <c r="D783" s="13">
        <f>VALUE(MID(C783,9,3))</f>
        <v>311</v>
      </c>
      <c r="E783" s="14">
        <f>MONTH(A783)</f>
        <v>9</v>
      </c>
      <c r="G783" s="1" t="s">
        <v>137</v>
      </c>
      <c r="H783" s="1">
        <v>1434.16</v>
      </c>
      <c r="I783" s="1" t="s">
        <v>94</v>
      </c>
      <c r="J783" s="13">
        <f>VALUE(MID(I783,1,3))</f>
        <v>222</v>
      </c>
      <c r="K783" s="13">
        <f>VALUE(MID(G783,5,2))</f>
        <v>4</v>
      </c>
    </row>
    <row r="784" spans="1:11">
      <c r="A784" s="7">
        <v>40073</v>
      </c>
      <c r="B784" s="1">
        <v>158.04</v>
      </c>
      <c r="C784" s="1" t="s">
        <v>12</v>
      </c>
      <c r="D784" s="13">
        <f>VALUE(MID(C784,9,3))</f>
        <v>311</v>
      </c>
      <c r="E784" s="14">
        <f>MONTH(A784)</f>
        <v>9</v>
      </c>
      <c r="G784" s="1" t="s">
        <v>150</v>
      </c>
      <c r="H784" s="1">
        <v>1093.67</v>
      </c>
      <c r="I784" s="1" t="s">
        <v>94</v>
      </c>
      <c r="J784" s="13">
        <f>VALUE(MID(I784,1,3))</f>
        <v>222</v>
      </c>
      <c r="K784" s="13">
        <f>VALUE(MID(G784,5,2))</f>
        <v>5</v>
      </c>
    </row>
    <row r="785" spans="1:11">
      <c r="A785" s="7">
        <v>40073</v>
      </c>
      <c r="B785" s="1">
        <v>141.08000000000001</v>
      </c>
      <c r="C785" s="1" t="s">
        <v>13</v>
      </c>
      <c r="D785" s="13">
        <f>VALUE(MID(C785,9,3))</f>
        <v>311</v>
      </c>
      <c r="E785" s="14">
        <f>MONTH(A785)</f>
        <v>9</v>
      </c>
      <c r="G785" s="1" t="s">
        <v>165</v>
      </c>
      <c r="H785" s="1">
        <v>1128.21</v>
      </c>
      <c r="I785" s="1" t="s">
        <v>94</v>
      </c>
      <c r="J785" s="13">
        <f>VALUE(MID(I785,1,3))</f>
        <v>222</v>
      </c>
      <c r="K785" s="13">
        <f>VALUE(MID(G785,5,2))</f>
        <v>6</v>
      </c>
    </row>
    <row r="786" spans="1:11">
      <c r="A786" s="7">
        <v>40073</v>
      </c>
      <c r="B786" s="1">
        <v>926.12</v>
      </c>
      <c r="C786" s="1" t="s">
        <v>13</v>
      </c>
      <c r="D786" s="13">
        <f>VALUE(MID(C786,9,3))</f>
        <v>311</v>
      </c>
      <c r="E786" s="14">
        <f>MONTH(A786)</f>
        <v>9</v>
      </c>
      <c r="G786" s="1" t="s">
        <v>174</v>
      </c>
      <c r="H786" s="1">
        <v>1243.44</v>
      </c>
      <c r="I786" s="1" t="s">
        <v>94</v>
      </c>
      <c r="J786" s="13">
        <f>VALUE(MID(I786,1,3))</f>
        <v>222</v>
      </c>
      <c r="K786" s="13">
        <f>VALUE(MID(G786,5,2))</f>
        <v>7</v>
      </c>
    </row>
    <row r="787" spans="1:11">
      <c r="A787" s="7">
        <v>40073</v>
      </c>
      <c r="B787" s="1">
        <v>168.54</v>
      </c>
      <c r="C787" s="1" t="s">
        <v>13</v>
      </c>
      <c r="D787" s="13">
        <f>VALUE(MID(C787,9,3))</f>
        <v>311</v>
      </c>
      <c r="E787" s="14">
        <f>MONTH(A787)</f>
        <v>9</v>
      </c>
      <c r="G787" s="1" t="s">
        <v>181</v>
      </c>
      <c r="H787" s="1">
        <v>1025.75</v>
      </c>
      <c r="I787" s="1" t="s">
        <v>94</v>
      </c>
      <c r="J787" s="13">
        <f>VALUE(MID(I787,1,3))</f>
        <v>222</v>
      </c>
      <c r="K787" s="13">
        <f>VALUE(MID(G787,5,2))</f>
        <v>8</v>
      </c>
    </row>
    <row r="788" spans="1:11">
      <c r="A788" s="7">
        <v>40073</v>
      </c>
      <c r="B788" s="1">
        <v>125.4</v>
      </c>
      <c r="C788" s="1" t="s">
        <v>13</v>
      </c>
      <c r="D788" s="13">
        <f>VALUE(MID(C788,9,3))</f>
        <v>311</v>
      </c>
      <c r="E788" s="14">
        <f>MONTH(A788)</f>
        <v>9</v>
      </c>
      <c r="G788" s="1" t="s">
        <v>189</v>
      </c>
      <c r="H788" s="1">
        <v>539.84</v>
      </c>
      <c r="I788" s="1" t="s">
        <v>94</v>
      </c>
      <c r="J788" s="13">
        <f>VALUE(MID(I788,1,3))</f>
        <v>222</v>
      </c>
      <c r="K788" s="13">
        <f>VALUE(MID(G788,5,2))</f>
        <v>9</v>
      </c>
    </row>
    <row r="789" spans="1:11">
      <c r="A789" s="7">
        <v>40073</v>
      </c>
      <c r="B789" s="1">
        <v>595.65</v>
      </c>
      <c r="C789" s="1" t="s">
        <v>3</v>
      </c>
      <c r="D789" s="13">
        <f>VALUE(MID(C789,9,3))</f>
        <v>311</v>
      </c>
      <c r="E789" s="14">
        <f>MONTH(A789)</f>
        <v>9</v>
      </c>
      <c r="G789" s="1" t="s">
        <v>200</v>
      </c>
      <c r="H789" s="1">
        <v>1205.1500000000001</v>
      </c>
      <c r="I789" s="1" t="s">
        <v>94</v>
      </c>
      <c r="J789" s="13">
        <f>VALUE(MID(I789,1,3))</f>
        <v>222</v>
      </c>
      <c r="K789" s="13">
        <f>VALUE(MID(G789,5,2))</f>
        <v>10</v>
      </c>
    </row>
    <row r="790" spans="1:11">
      <c r="A790" s="7">
        <v>40073</v>
      </c>
      <c r="B790" s="1">
        <v>874.26</v>
      </c>
      <c r="C790" s="1" t="s">
        <v>6</v>
      </c>
      <c r="D790" s="13">
        <f>VALUE(MID(C790,9,3))</f>
        <v>311</v>
      </c>
      <c r="E790" s="14">
        <f>MONTH(A790)</f>
        <v>9</v>
      </c>
      <c r="G790" s="1" t="s">
        <v>207</v>
      </c>
      <c r="H790" s="1">
        <v>978.9</v>
      </c>
      <c r="I790" s="1" t="s">
        <v>94</v>
      </c>
      <c r="J790" s="13">
        <f>VALUE(MID(I790,1,3))</f>
        <v>222</v>
      </c>
      <c r="K790" s="13">
        <f>VALUE(MID(G790,5,2))</f>
        <v>11</v>
      </c>
    </row>
    <row r="791" spans="1:11">
      <c r="A791" s="7">
        <v>40073</v>
      </c>
      <c r="B791" s="1">
        <v>80</v>
      </c>
      <c r="C791" s="1" t="s">
        <v>18</v>
      </c>
      <c r="D791" s="13">
        <f>VALUE(MID(C791,9,3))</f>
        <v>311</v>
      </c>
      <c r="E791" s="14">
        <f>MONTH(A791)</f>
        <v>9</v>
      </c>
      <c r="G791" s="1" t="s">
        <v>216</v>
      </c>
      <c r="H791" s="1">
        <v>1010.62</v>
      </c>
      <c r="I791" s="1" t="s">
        <v>94</v>
      </c>
      <c r="J791" s="13">
        <f>VALUE(MID(I791,1,3))</f>
        <v>222</v>
      </c>
      <c r="K791" s="13">
        <f>VALUE(MID(G791,5,2))</f>
        <v>12</v>
      </c>
    </row>
    <row r="792" spans="1:11">
      <c r="A792" s="7">
        <v>40073</v>
      </c>
      <c r="B792" s="1">
        <v>80</v>
      </c>
      <c r="C792" s="1" t="s">
        <v>18</v>
      </c>
      <c r="D792" s="13">
        <f>VALUE(MID(C792,9,3))</f>
        <v>311</v>
      </c>
      <c r="E792" s="14">
        <f>MONTH(A792)</f>
        <v>9</v>
      </c>
      <c r="G792" s="1" t="s">
        <v>225</v>
      </c>
      <c r="H792" s="1">
        <v>912.88</v>
      </c>
      <c r="I792" s="1" t="s">
        <v>94</v>
      </c>
      <c r="J792" s="13">
        <f>VALUE(MID(I792,1,3))</f>
        <v>222</v>
      </c>
      <c r="K792" s="13">
        <f>VALUE(MID(G792,5,2))</f>
        <v>1</v>
      </c>
    </row>
    <row r="793" spans="1:11">
      <c r="A793" s="7">
        <v>40073</v>
      </c>
      <c r="B793" s="1">
        <v>80</v>
      </c>
      <c r="C793" s="1" t="s">
        <v>18</v>
      </c>
      <c r="D793" s="13">
        <f>VALUE(MID(C793,9,3))</f>
        <v>311</v>
      </c>
      <c r="E793" s="14">
        <f>MONTH(A793)</f>
        <v>9</v>
      </c>
      <c r="G793" s="1" t="s">
        <v>87</v>
      </c>
      <c r="H793" s="1">
        <v>39.909999999999997</v>
      </c>
      <c r="I793" s="1" t="s">
        <v>86</v>
      </c>
      <c r="J793" s="13">
        <f>VALUE(MID(I793,1,3))</f>
        <v>223</v>
      </c>
      <c r="K793" s="13">
        <f>VALUE(MID(G793,5,2))</f>
        <v>1</v>
      </c>
    </row>
    <row r="794" spans="1:11">
      <c r="A794" s="7">
        <v>40073</v>
      </c>
      <c r="B794" s="1">
        <v>65</v>
      </c>
      <c r="C794" s="1" t="s">
        <v>18</v>
      </c>
      <c r="D794" s="13">
        <f>VALUE(MID(C794,9,3))</f>
        <v>311</v>
      </c>
      <c r="E794" s="14">
        <f>MONTH(A794)</f>
        <v>9</v>
      </c>
      <c r="G794" s="1" t="s">
        <v>97</v>
      </c>
      <c r="H794" s="1">
        <v>287.22000000000003</v>
      </c>
      <c r="I794" s="1" t="s">
        <v>86</v>
      </c>
      <c r="J794" s="13">
        <f>VALUE(MID(I794,1,3))</f>
        <v>223</v>
      </c>
      <c r="K794" s="13">
        <f>VALUE(MID(G794,5,2))</f>
        <v>2</v>
      </c>
    </row>
    <row r="795" spans="1:11">
      <c r="A795" s="7">
        <v>39862</v>
      </c>
      <c r="B795" s="1">
        <v>330</v>
      </c>
      <c r="C795" s="1" t="s">
        <v>13</v>
      </c>
      <c r="D795" s="13">
        <f>VALUE(MID(C795,9,3))</f>
        <v>311</v>
      </c>
      <c r="E795" s="14">
        <f>MONTH(A795)</f>
        <v>2</v>
      </c>
      <c r="G795" s="1" t="s">
        <v>97</v>
      </c>
      <c r="H795" s="1">
        <v>42.39</v>
      </c>
      <c r="I795" s="1" t="s">
        <v>104</v>
      </c>
      <c r="J795" s="13">
        <f>VALUE(MID(I795,1,3))</f>
        <v>223</v>
      </c>
      <c r="K795" s="13">
        <f>VALUE(MID(G795,5,2))</f>
        <v>2</v>
      </c>
    </row>
    <row r="796" spans="1:11">
      <c r="A796" s="7">
        <v>39862</v>
      </c>
      <c r="B796" s="1">
        <v>125.4</v>
      </c>
      <c r="C796" s="1" t="s">
        <v>3</v>
      </c>
      <c r="D796" s="13">
        <f>VALUE(MID(C796,9,3))</f>
        <v>311</v>
      </c>
      <c r="E796" s="14">
        <f>MONTH(A796)</f>
        <v>2</v>
      </c>
      <c r="G796" s="1" t="s">
        <v>97</v>
      </c>
      <c r="H796" s="1">
        <v>87.36</v>
      </c>
      <c r="I796" s="1" t="s">
        <v>86</v>
      </c>
      <c r="J796" s="13">
        <f>VALUE(MID(I796,1,3))</f>
        <v>223</v>
      </c>
      <c r="K796" s="13">
        <f>VALUE(MID(G796,5,2))</f>
        <v>2</v>
      </c>
    </row>
    <row r="797" spans="1:11">
      <c r="A797" s="7">
        <v>39862</v>
      </c>
      <c r="B797" s="1">
        <v>470.25</v>
      </c>
      <c r="C797" s="1" t="s">
        <v>3</v>
      </c>
      <c r="D797" s="13">
        <f>VALUE(MID(C797,9,3))</f>
        <v>311</v>
      </c>
      <c r="E797" s="14">
        <f>MONTH(A797)</f>
        <v>2</v>
      </c>
      <c r="G797" s="1" t="s">
        <v>97</v>
      </c>
      <c r="H797" s="1">
        <v>112.32</v>
      </c>
      <c r="I797" s="1" t="s">
        <v>86</v>
      </c>
      <c r="J797" s="13">
        <f>VALUE(MID(I797,1,3))</f>
        <v>223</v>
      </c>
      <c r="K797" s="13">
        <f>VALUE(MID(G797,5,2))</f>
        <v>2</v>
      </c>
    </row>
    <row r="798" spans="1:11">
      <c r="A798" s="7">
        <v>39862</v>
      </c>
      <c r="B798" s="1">
        <v>1097.25</v>
      </c>
      <c r="C798" s="1" t="s">
        <v>3</v>
      </c>
      <c r="D798" s="13">
        <f>VALUE(MID(C798,9,3))</f>
        <v>311</v>
      </c>
      <c r="E798" s="14">
        <f>MONTH(A798)</f>
        <v>2</v>
      </c>
      <c r="G798" s="1" t="s">
        <v>97</v>
      </c>
      <c r="H798" s="1">
        <v>28.56</v>
      </c>
      <c r="I798" s="1" t="s">
        <v>86</v>
      </c>
      <c r="J798" s="13">
        <f>VALUE(MID(I798,1,3))</f>
        <v>223</v>
      </c>
      <c r="K798" s="13">
        <f>VALUE(MID(G798,5,2))</f>
        <v>2</v>
      </c>
    </row>
    <row r="799" spans="1:11">
      <c r="A799" s="7">
        <v>39862</v>
      </c>
      <c r="B799" s="1">
        <v>216.91</v>
      </c>
      <c r="C799" s="1" t="s">
        <v>29</v>
      </c>
      <c r="D799" s="13">
        <f>VALUE(MID(C799,9,3))</f>
        <v>311</v>
      </c>
      <c r="E799" s="14">
        <f>MONTH(A799)</f>
        <v>2</v>
      </c>
      <c r="G799" s="1" t="s">
        <v>97</v>
      </c>
      <c r="H799" s="1">
        <v>74.88</v>
      </c>
      <c r="I799" s="1" t="s">
        <v>86</v>
      </c>
      <c r="J799" s="13">
        <f>VALUE(MID(I799,1,3))</f>
        <v>223</v>
      </c>
      <c r="K799" s="13">
        <f>VALUE(MID(G799,5,2))</f>
        <v>2</v>
      </c>
    </row>
    <row r="800" spans="1:11">
      <c r="A800" s="7">
        <v>39862</v>
      </c>
      <c r="B800" s="1">
        <v>348.61</v>
      </c>
      <c r="C800" s="1" t="s">
        <v>29</v>
      </c>
      <c r="D800" s="13">
        <f>VALUE(MID(C800,9,3))</f>
        <v>311</v>
      </c>
      <c r="E800" s="14">
        <f>MONTH(A800)</f>
        <v>2</v>
      </c>
      <c r="G800" s="1" t="s">
        <v>113</v>
      </c>
      <c r="H800" s="1">
        <v>31.39</v>
      </c>
      <c r="I800" s="1" t="s">
        <v>86</v>
      </c>
      <c r="J800" s="13">
        <f>VALUE(MID(I800,1,3))</f>
        <v>223</v>
      </c>
      <c r="K800" s="13">
        <f>VALUE(MID(G800,5,2))</f>
        <v>2</v>
      </c>
    </row>
    <row r="801" spans="1:11">
      <c r="A801" s="7">
        <v>39862</v>
      </c>
      <c r="B801" s="1">
        <v>253.49</v>
      </c>
      <c r="C801" s="1" t="s">
        <v>29</v>
      </c>
      <c r="D801" s="13">
        <f>VALUE(MID(C801,9,3))</f>
        <v>311</v>
      </c>
      <c r="E801" s="14">
        <f>MONTH(A801)</f>
        <v>2</v>
      </c>
      <c r="G801" s="1" t="s">
        <v>113</v>
      </c>
      <c r="H801" s="1">
        <v>10.64</v>
      </c>
      <c r="I801" s="1" t="s">
        <v>104</v>
      </c>
      <c r="J801" s="13">
        <f>VALUE(MID(I801,1,3))</f>
        <v>223</v>
      </c>
      <c r="K801" s="13">
        <f>VALUE(MID(G801,5,2))</f>
        <v>2</v>
      </c>
    </row>
    <row r="802" spans="1:11">
      <c r="A802" s="7">
        <v>39862</v>
      </c>
      <c r="B802" s="1">
        <v>257.27</v>
      </c>
      <c r="C802" s="1" t="s">
        <v>29</v>
      </c>
      <c r="D802" s="13">
        <f>VALUE(MID(C802,9,3))</f>
        <v>311</v>
      </c>
      <c r="E802" s="14">
        <f>MONTH(A802)</f>
        <v>2</v>
      </c>
      <c r="G802" s="1" t="s">
        <v>120</v>
      </c>
      <c r="H802" s="1">
        <v>876.65</v>
      </c>
      <c r="I802" s="1" t="s">
        <v>86</v>
      </c>
      <c r="J802" s="13">
        <f>VALUE(MID(I802,1,3))</f>
        <v>223</v>
      </c>
      <c r="K802" s="13">
        <f>VALUE(MID(G802,5,2))</f>
        <v>3</v>
      </c>
    </row>
    <row r="803" spans="1:11">
      <c r="A803" s="7">
        <v>39862</v>
      </c>
      <c r="B803" s="1">
        <v>256.42</v>
      </c>
      <c r="C803" s="1" t="s">
        <v>29</v>
      </c>
      <c r="D803" s="13">
        <f>VALUE(MID(C803,9,3))</f>
        <v>311</v>
      </c>
      <c r="E803" s="14">
        <f>MONTH(A803)</f>
        <v>2</v>
      </c>
      <c r="G803" s="1" t="s">
        <v>120</v>
      </c>
      <c r="H803" s="1">
        <v>233.84</v>
      </c>
      <c r="I803" s="1" t="s">
        <v>104</v>
      </c>
      <c r="J803" s="13">
        <f>VALUE(MID(I803,1,3))</f>
        <v>223</v>
      </c>
      <c r="K803" s="13">
        <f>VALUE(MID(G803,5,2))</f>
        <v>3</v>
      </c>
    </row>
    <row r="804" spans="1:11">
      <c r="A804" s="7">
        <v>39862</v>
      </c>
      <c r="B804" s="1">
        <v>546.49</v>
      </c>
      <c r="C804" s="1" t="s">
        <v>29</v>
      </c>
      <c r="D804" s="13">
        <f>VALUE(MID(C804,9,3))</f>
        <v>311</v>
      </c>
      <c r="E804" s="14">
        <f>MONTH(A804)</f>
        <v>2</v>
      </c>
      <c r="G804" s="1" t="s">
        <v>120</v>
      </c>
      <c r="H804" s="1">
        <v>38.200000000000003</v>
      </c>
      <c r="I804" s="1" t="s">
        <v>104</v>
      </c>
      <c r="J804" s="13">
        <f>VALUE(MID(I804,1,3))</f>
        <v>223</v>
      </c>
      <c r="K804" s="13">
        <f>VALUE(MID(G804,5,2))</f>
        <v>3</v>
      </c>
    </row>
    <row r="805" spans="1:11">
      <c r="A805" s="7">
        <v>39862</v>
      </c>
      <c r="B805" s="1">
        <v>202.78</v>
      </c>
      <c r="C805" s="1" t="s">
        <v>29</v>
      </c>
      <c r="D805" s="13">
        <f>VALUE(MID(C805,9,3))</f>
        <v>311</v>
      </c>
      <c r="E805" s="14">
        <f>MONTH(A805)</f>
        <v>2</v>
      </c>
      <c r="G805" s="1" t="s">
        <v>120</v>
      </c>
      <c r="H805" s="1">
        <v>37.799999999999997</v>
      </c>
      <c r="I805" s="1" t="s">
        <v>104</v>
      </c>
      <c r="J805" s="13">
        <f>VALUE(MID(I805,1,3))</f>
        <v>223</v>
      </c>
      <c r="K805" s="13">
        <f>VALUE(MID(G805,5,2))</f>
        <v>3</v>
      </c>
    </row>
    <row r="806" spans="1:11">
      <c r="A806" s="7">
        <v>39862</v>
      </c>
      <c r="B806" s="1">
        <v>314.68</v>
      </c>
      <c r="C806" s="1" t="s">
        <v>29</v>
      </c>
      <c r="D806" s="13">
        <f>VALUE(MID(C806,9,3))</f>
        <v>311</v>
      </c>
      <c r="E806" s="14">
        <f>MONTH(A806)</f>
        <v>2</v>
      </c>
      <c r="G806" s="1" t="s">
        <v>120</v>
      </c>
      <c r="H806" s="1">
        <v>31.62</v>
      </c>
      <c r="I806" s="1" t="s">
        <v>86</v>
      </c>
      <c r="J806" s="13">
        <f>VALUE(MID(I806,1,3))</f>
        <v>223</v>
      </c>
      <c r="K806" s="13">
        <f>VALUE(MID(G806,5,2))</f>
        <v>3</v>
      </c>
    </row>
    <row r="807" spans="1:11">
      <c r="A807" s="7">
        <v>40043</v>
      </c>
      <c r="B807" s="1">
        <v>258.73</v>
      </c>
      <c r="C807" s="1" t="s">
        <v>6</v>
      </c>
      <c r="D807" s="13">
        <f>VALUE(MID(C807,9,3))</f>
        <v>311</v>
      </c>
      <c r="E807" s="14">
        <f>MONTH(A807)</f>
        <v>8</v>
      </c>
      <c r="G807" s="1" t="s">
        <v>130</v>
      </c>
      <c r="H807" s="1">
        <v>66.290000000000006</v>
      </c>
      <c r="I807" s="1" t="s">
        <v>86</v>
      </c>
      <c r="J807" s="13">
        <f>VALUE(MID(I807,1,3))</f>
        <v>223</v>
      </c>
      <c r="K807" s="13">
        <f>VALUE(MID(G807,5,2))</f>
        <v>3</v>
      </c>
    </row>
    <row r="808" spans="1:11">
      <c r="A808" s="7">
        <v>40074</v>
      </c>
      <c r="B808" s="1">
        <v>901.5</v>
      </c>
      <c r="C808" s="1" t="s">
        <v>7</v>
      </c>
      <c r="D808" s="13">
        <f>VALUE(MID(C808,9,3))</f>
        <v>311</v>
      </c>
      <c r="E808" s="14">
        <f>MONTH(A808)</f>
        <v>9</v>
      </c>
      <c r="G808" s="1" t="s">
        <v>130</v>
      </c>
      <c r="H808" s="1">
        <v>9.33</v>
      </c>
      <c r="I808" s="1" t="s">
        <v>104</v>
      </c>
      <c r="J808" s="13">
        <f>VALUE(MID(I808,1,3))</f>
        <v>223</v>
      </c>
      <c r="K808" s="13">
        <f>VALUE(MID(G808,5,2))</f>
        <v>3</v>
      </c>
    </row>
    <row r="809" spans="1:11">
      <c r="A809" s="7">
        <v>40074</v>
      </c>
      <c r="B809" s="1">
        <v>109.72</v>
      </c>
      <c r="C809" s="1" t="s">
        <v>8</v>
      </c>
      <c r="D809" s="13">
        <f>VALUE(MID(C809,9,3))</f>
        <v>311</v>
      </c>
      <c r="E809" s="14">
        <f>MONTH(A809)</f>
        <v>9</v>
      </c>
      <c r="G809" s="1" t="s">
        <v>139</v>
      </c>
      <c r="H809" s="1">
        <v>76.400000000000006</v>
      </c>
      <c r="I809" s="1" t="s">
        <v>104</v>
      </c>
      <c r="J809" s="13">
        <f>VALUE(MID(I809,1,3))</f>
        <v>223</v>
      </c>
      <c r="K809" s="13">
        <f>VALUE(MID(G809,5,2))</f>
        <v>4</v>
      </c>
    </row>
    <row r="810" spans="1:11">
      <c r="A810" s="7">
        <v>40074</v>
      </c>
      <c r="B810" s="1">
        <v>0.01</v>
      </c>
      <c r="C810" s="1" t="s">
        <v>8</v>
      </c>
      <c r="D810" s="13">
        <f>VALUE(MID(C810,9,3))</f>
        <v>311</v>
      </c>
      <c r="E810" s="14">
        <f>MONTH(A810)</f>
        <v>9</v>
      </c>
      <c r="G810" s="1" t="s">
        <v>139</v>
      </c>
      <c r="H810" s="1">
        <v>64.8</v>
      </c>
      <c r="I810" s="1" t="s">
        <v>104</v>
      </c>
      <c r="J810" s="13">
        <f>VALUE(MID(I810,1,3))</f>
        <v>223</v>
      </c>
      <c r="K810" s="13">
        <f>VALUE(MID(G810,5,2))</f>
        <v>4</v>
      </c>
    </row>
    <row r="811" spans="1:11">
      <c r="A811" s="7">
        <v>40074</v>
      </c>
      <c r="B811" s="1">
        <v>164.59</v>
      </c>
      <c r="C811" s="1" t="s">
        <v>9</v>
      </c>
      <c r="D811" s="13">
        <f>VALUE(MID(C811,9,3))</f>
        <v>311</v>
      </c>
      <c r="E811" s="14">
        <f>MONTH(A811)</f>
        <v>9</v>
      </c>
      <c r="G811" s="1" t="s">
        <v>139</v>
      </c>
      <c r="H811" s="1">
        <v>15.81</v>
      </c>
      <c r="I811" s="1" t="s">
        <v>86</v>
      </c>
      <c r="J811" s="13">
        <f>VALUE(MID(I811,1,3))</f>
        <v>223</v>
      </c>
      <c r="K811" s="13">
        <f>VALUE(MID(G811,5,2))</f>
        <v>4</v>
      </c>
    </row>
    <row r="812" spans="1:11">
      <c r="A812" s="7">
        <v>40074</v>
      </c>
      <c r="B812" s="1">
        <v>700.85</v>
      </c>
      <c r="C812" s="1" t="s">
        <v>5</v>
      </c>
      <c r="D812" s="13">
        <f>VALUE(MID(C812,9,3))</f>
        <v>311</v>
      </c>
      <c r="E812" s="14">
        <f>MONTH(A812)</f>
        <v>9</v>
      </c>
      <c r="G812" s="1" t="s">
        <v>145</v>
      </c>
      <c r="H812" s="1">
        <v>37.78</v>
      </c>
      <c r="I812" s="1" t="s">
        <v>86</v>
      </c>
      <c r="J812" s="13">
        <f>VALUE(MID(I812,1,3))</f>
        <v>223</v>
      </c>
      <c r="K812" s="13">
        <f>VALUE(MID(G812,5,2))</f>
        <v>4</v>
      </c>
    </row>
    <row r="813" spans="1:11">
      <c r="A813" s="7">
        <v>40074</v>
      </c>
      <c r="B813" s="1">
        <v>437.44</v>
      </c>
      <c r="C813" s="1" t="s">
        <v>5</v>
      </c>
      <c r="D813" s="13">
        <f>VALUE(MID(C813,9,3))</f>
        <v>311</v>
      </c>
      <c r="E813" s="14">
        <f>MONTH(A813)</f>
        <v>9</v>
      </c>
      <c r="G813" s="1" t="s">
        <v>152</v>
      </c>
      <c r="H813" s="1">
        <v>125.76</v>
      </c>
      <c r="I813" s="1" t="s">
        <v>86</v>
      </c>
      <c r="J813" s="13">
        <f>VALUE(MID(I813,1,3))</f>
        <v>223</v>
      </c>
      <c r="K813" s="13">
        <f>VALUE(MID(G813,5,2))</f>
        <v>5</v>
      </c>
    </row>
    <row r="814" spans="1:11">
      <c r="A814" s="7">
        <v>40074</v>
      </c>
      <c r="B814" s="1">
        <v>80</v>
      </c>
      <c r="C814" s="1" t="s">
        <v>18</v>
      </c>
      <c r="D814" s="13">
        <f>VALUE(MID(C814,9,3))</f>
        <v>311</v>
      </c>
      <c r="E814" s="14">
        <f>MONTH(A814)</f>
        <v>9</v>
      </c>
      <c r="G814" s="1" t="s">
        <v>152</v>
      </c>
      <c r="H814" s="1">
        <v>91.74</v>
      </c>
      <c r="I814" s="1" t="s">
        <v>104</v>
      </c>
      <c r="J814" s="13">
        <f>VALUE(MID(I814,1,3))</f>
        <v>223</v>
      </c>
      <c r="K814" s="13">
        <f>VALUE(MID(G814,5,2))</f>
        <v>5</v>
      </c>
    </row>
    <row r="815" spans="1:11">
      <c r="A815" s="7">
        <v>40074</v>
      </c>
      <c r="B815" s="1">
        <v>15</v>
      </c>
      <c r="C815" s="1" t="s">
        <v>18</v>
      </c>
      <c r="D815" s="13">
        <f>VALUE(MID(C815,9,3))</f>
        <v>311</v>
      </c>
      <c r="E815" s="14">
        <f>MONTH(A815)</f>
        <v>9</v>
      </c>
      <c r="G815" s="1" t="s">
        <v>152</v>
      </c>
      <c r="H815" s="1">
        <v>21.51</v>
      </c>
      <c r="I815" s="1" t="s">
        <v>104</v>
      </c>
      <c r="J815" s="13">
        <f>VALUE(MID(I815,1,3))</f>
        <v>223</v>
      </c>
      <c r="K815" s="13">
        <f>VALUE(MID(G815,5,2))</f>
        <v>5</v>
      </c>
    </row>
    <row r="816" spans="1:11">
      <c r="A816" s="7">
        <v>40074</v>
      </c>
      <c r="B816" s="1">
        <v>111.9</v>
      </c>
      <c r="C816" s="1" t="s">
        <v>30</v>
      </c>
      <c r="D816" s="13">
        <f>VALUE(MID(C816,9,3))</f>
        <v>311</v>
      </c>
      <c r="E816" s="14">
        <f>MONTH(A816)</f>
        <v>9</v>
      </c>
      <c r="G816" s="1" t="s">
        <v>152</v>
      </c>
      <c r="H816" s="1">
        <v>8.82</v>
      </c>
      <c r="I816" s="1" t="s">
        <v>104</v>
      </c>
      <c r="J816" s="13">
        <f>VALUE(MID(I816,1,3))</f>
        <v>223</v>
      </c>
      <c r="K816" s="13">
        <f>VALUE(MID(G816,5,2))</f>
        <v>5</v>
      </c>
    </row>
    <row r="817" spans="1:11">
      <c r="A817" s="7">
        <v>39832</v>
      </c>
      <c r="B817" s="1">
        <v>150</v>
      </c>
      <c r="C817" s="1" t="s">
        <v>41</v>
      </c>
      <c r="D817" s="13">
        <f>VALUE(MID(C817,9,3))</f>
        <v>311</v>
      </c>
      <c r="E817" s="14">
        <f>MONTH(A817)</f>
        <v>1</v>
      </c>
      <c r="G817" s="1" t="s">
        <v>152</v>
      </c>
      <c r="H817" s="1">
        <v>200</v>
      </c>
      <c r="I817" s="1" t="s">
        <v>104</v>
      </c>
      <c r="J817" s="13">
        <f>VALUE(MID(I817,1,3))</f>
        <v>223</v>
      </c>
      <c r="K817" s="13">
        <f>VALUE(MID(G817,5,2))</f>
        <v>5</v>
      </c>
    </row>
    <row r="818" spans="1:11">
      <c r="A818" s="7">
        <v>39832</v>
      </c>
      <c r="B818" s="1">
        <v>150</v>
      </c>
      <c r="C818" s="1" t="s">
        <v>41</v>
      </c>
      <c r="D818" s="13">
        <f>VALUE(MID(C818,9,3))</f>
        <v>311</v>
      </c>
      <c r="E818" s="14">
        <f>MONTH(A818)</f>
        <v>1</v>
      </c>
      <c r="G818" s="1" t="s">
        <v>152</v>
      </c>
      <c r="H818" s="1">
        <v>150</v>
      </c>
      <c r="I818" s="1" t="s">
        <v>157</v>
      </c>
      <c r="J818" s="13">
        <f>VALUE(MID(I818,1,3))</f>
        <v>223</v>
      </c>
      <c r="K818" s="13">
        <f>VALUE(MID(G818,5,2))</f>
        <v>5</v>
      </c>
    </row>
    <row r="819" spans="1:11">
      <c r="A819" s="7">
        <v>39832</v>
      </c>
      <c r="B819" s="1">
        <v>150</v>
      </c>
      <c r="C819" s="1" t="s">
        <v>41</v>
      </c>
      <c r="D819" s="13">
        <f>VALUE(MID(C819,9,3))</f>
        <v>311</v>
      </c>
      <c r="E819" s="14">
        <f>MONTH(A819)</f>
        <v>1</v>
      </c>
      <c r="G819" s="1" t="s">
        <v>152</v>
      </c>
      <c r="H819" s="1">
        <v>76</v>
      </c>
      <c r="I819" s="1" t="s">
        <v>104</v>
      </c>
      <c r="J819" s="13">
        <f>VALUE(MID(I819,1,3))</f>
        <v>223</v>
      </c>
      <c r="K819" s="13">
        <f>VALUE(MID(G819,5,2))</f>
        <v>5</v>
      </c>
    </row>
    <row r="820" spans="1:11">
      <c r="A820" s="7">
        <v>39832</v>
      </c>
      <c r="B820" s="1">
        <v>150</v>
      </c>
      <c r="C820" s="1" t="s">
        <v>41</v>
      </c>
      <c r="D820" s="13">
        <f>VALUE(MID(C820,9,3))</f>
        <v>311</v>
      </c>
      <c r="E820" s="14">
        <f>MONTH(A820)</f>
        <v>1</v>
      </c>
      <c r="G820" s="1" t="s">
        <v>152</v>
      </c>
      <c r="H820" s="1">
        <v>124.8</v>
      </c>
      <c r="I820" s="1" t="s">
        <v>86</v>
      </c>
      <c r="J820" s="13">
        <f>VALUE(MID(I820,1,3))</f>
        <v>223</v>
      </c>
      <c r="K820" s="13">
        <f>VALUE(MID(G820,5,2))</f>
        <v>5</v>
      </c>
    </row>
    <row r="821" spans="1:11">
      <c r="A821" s="7">
        <v>39832</v>
      </c>
      <c r="B821" s="1">
        <v>150</v>
      </c>
      <c r="C821" s="1" t="s">
        <v>41</v>
      </c>
      <c r="D821" s="13">
        <f>VALUE(MID(C821,9,3))</f>
        <v>311</v>
      </c>
      <c r="E821" s="14">
        <f>MONTH(A821)</f>
        <v>1</v>
      </c>
      <c r="G821" s="1" t="s">
        <v>152</v>
      </c>
      <c r="H821" s="1">
        <v>49.92</v>
      </c>
      <c r="I821" s="1" t="s">
        <v>86</v>
      </c>
      <c r="J821" s="13">
        <f>VALUE(MID(I821,1,3))</f>
        <v>223</v>
      </c>
      <c r="K821" s="13">
        <f>VALUE(MID(G821,5,2))</f>
        <v>5</v>
      </c>
    </row>
    <row r="822" spans="1:11">
      <c r="A822" s="7">
        <v>39832</v>
      </c>
      <c r="B822" s="1">
        <v>150</v>
      </c>
      <c r="C822" s="1" t="s">
        <v>41</v>
      </c>
      <c r="D822" s="13">
        <f>VALUE(MID(C822,9,3))</f>
        <v>311</v>
      </c>
      <c r="E822" s="14">
        <f>MONTH(A822)</f>
        <v>1</v>
      </c>
      <c r="G822" s="1" t="s">
        <v>152</v>
      </c>
      <c r="H822" s="1">
        <v>280.8</v>
      </c>
      <c r="I822" s="1" t="s">
        <v>86</v>
      </c>
      <c r="J822" s="13">
        <f>VALUE(MID(I822,1,3))</f>
        <v>223</v>
      </c>
      <c r="K822" s="13">
        <f>VALUE(MID(G822,5,2))</f>
        <v>5</v>
      </c>
    </row>
    <row r="823" spans="1:11">
      <c r="A823" s="7">
        <v>39863</v>
      </c>
      <c r="B823" s="1">
        <v>408.2</v>
      </c>
      <c r="C823" s="1" t="s">
        <v>13</v>
      </c>
      <c r="D823" s="13">
        <f>VALUE(MID(C823,9,3))</f>
        <v>311</v>
      </c>
      <c r="E823" s="14">
        <f>MONTH(A823)</f>
        <v>2</v>
      </c>
      <c r="G823" s="1" t="s">
        <v>152</v>
      </c>
      <c r="H823" s="1">
        <v>152.88</v>
      </c>
      <c r="I823" s="1" t="s">
        <v>86</v>
      </c>
      <c r="J823" s="13">
        <f>VALUE(MID(I823,1,3))</f>
        <v>223</v>
      </c>
      <c r="K823" s="13">
        <f>VALUE(MID(G823,5,2))</f>
        <v>5</v>
      </c>
    </row>
    <row r="824" spans="1:11">
      <c r="A824" s="7">
        <v>39863</v>
      </c>
      <c r="B824" s="1">
        <v>816.31</v>
      </c>
      <c r="C824" s="1" t="s">
        <v>29</v>
      </c>
      <c r="D824" s="13">
        <f>VALUE(MID(C824,9,3))</f>
        <v>311</v>
      </c>
      <c r="E824" s="14">
        <f>MONTH(A824)</f>
        <v>2</v>
      </c>
      <c r="G824" s="1" t="s">
        <v>161</v>
      </c>
      <c r="H824" s="1">
        <v>45.48</v>
      </c>
      <c r="I824" s="1" t="s">
        <v>86</v>
      </c>
      <c r="J824" s="13">
        <f>VALUE(MID(I824,1,3))</f>
        <v>223</v>
      </c>
      <c r="K824" s="13">
        <f>VALUE(MID(G824,5,2))</f>
        <v>5</v>
      </c>
    </row>
    <row r="825" spans="1:11">
      <c r="A825" s="7">
        <v>39863</v>
      </c>
      <c r="B825" s="1">
        <v>540.97</v>
      </c>
      <c r="C825" s="1" t="s">
        <v>29</v>
      </c>
      <c r="D825" s="13">
        <f>VALUE(MID(C825,9,3))</f>
        <v>311</v>
      </c>
      <c r="E825" s="14">
        <f>MONTH(A825)</f>
        <v>2</v>
      </c>
      <c r="G825" s="1" t="s">
        <v>167</v>
      </c>
      <c r="H825" s="1">
        <v>868.2</v>
      </c>
      <c r="I825" s="1" t="s">
        <v>86</v>
      </c>
      <c r="J825" s="13">
        <f>VALUE(MID(I825,1,3))</f>
        <v>223</v>
      </c>
      <c r="K825" s="13">
        <f>VALUE(MID(G825,5,2))</f>
        <v>6</v>
      </c>
    </row>
    <row r="826" spans="1:11">
      <c r="A826" s="7">
        <v>39863</v>
      </c>
      <c r="B826" s="1">
        <v>335.44</v>
      </c>
      <c r="C826" s="1" t="s">
        <v>29</v>
      </c>
      <c r="D826" s="13">
        <f>VALUE(MID(C826,9,3))</f>
        <v>311</v>
      </c>
      <c r="E826" s="14">
        <f>MONTH(A826)</f>
        <v>2</v>
      </c>
      <c r="G826" s="1" t="s">
        <v>167</v>
      </c>
      <c r="H826" s="1">
        <v>431.32</v>
      </c>
      <c r="I826" s="1" t="s">
        <v>86</v>
      </c>
      <c r="J826" s="13">
        <f>VALUE(MID(I826,1,3))</f>
        <v>223</v>
      </c>
      <c r="K826" s="13">
        <f>VALUE(MID(G826,5,2))</f>
        <v>6</v>
      </c>
    </row>
    <row r="827" spans="1:11">
      <c r="A827" s="7">
        <v>39863</v>
      </c>
      <c r="B827" s="1">
        <v>605.38</v>
      </c>
      <c r="C827" s="1" t="s">
        <v>29</v>
      </c>
      <c r="D827" s="13">
        <f>VALUE(MID(C827,9,3))</f>
        <v>311</v>
      </c>
      <c r="E827" s="14">
        <f>MONTH(A827)</f>
        <v>2</v>
      </c>
      <c r="G827" s="1" t="s">
        <v>167</v>
      </c>
      <c r="H827" s="1">
        <v>91.45</v>
      </c>
      <c r="I827" s="1" t="s">
        <v>104</v>
      </c>
      <c r="J827" s="13">
        <f>VALUE(MID(I827,1,3))</f>
        <v>223</v>
      </c>
      <c r="K827" s="13">
        <f>VALUE(MID(G827,5,2))</f>
        <v>6</v>
      </c>
    </row>
    <row r="828" spans="1:11">
      <c r="A828" s="7">
        <v>39863</v>
      </c>
      <c r="B828" s="1">
        <v>370.63</v>
      </c>
      <c r="C828" s="1" t="s">
        <v>29</v>
      </c>
      <c r="D828" s="13">
        <f>VALUE(MID(C828,9,3))</f>
        <v>311</v>
      </c>
      <c r="E828" s="14">
        <f>MONTH(A828)</f>
        <v>2</v>
      </c>
      <c r="G828" s="1" t="s">
        <v>167</v>
      </c>
      <c r="H828" s="1">
        <v>275</v>
      </c>
      <c r="I828" s="1" t="s">
        <v>157</v>
      </c>
      <c r="J828" s="13">
        <f>VALUE(MID(I828,1,3))</f>
        <v>223</v>
      </c>
      <c r="K828" s="13">
        <f>VALUE(MID(G828,5,2))</f>
        <v>6</v>
      </c>
    </row>
    <row r="829" spans="1:11">
      <c r="A829" s="7">
        <v>39863</v>
      </c>
      <c r="B829" s="1">
        <v>414.46</v>
      </c>
      <c r="C829" s="1" t="s">
        <v>29</v>
      </c>
      <c r="D829" s="13">
        <f>VALUE(MID(C829,9,3))</f>
        <v>311</v>
      </c>
      <c r="E829" s="14">
        <f>MONTH(A829)</f>
        <v>2</v>
      </c>
      <c r="G829" s="1" t="s">
        <v>167</v>
      </c>
      <c r="H829" s="1">
        <v>374.4</v>
      </c>
      <c r="I829" s="1" t="s">
        <v>157</v>
      </c>
      <c r="J829" s="13">
        <f>VALUE(MID(I829,1,3))</f>
        <v>223</v>
      </c>
      <c r="K829" s="13">
        <f>VALUE(MID(G829,5,2))</f>
        <v>6</v>
      </c>
    </row>
    <row r="830" spans="1:11">
      <c r="A830" s="7">
        <v>39863</v>
      </c>
      <c r="B830" s="1">
        <v>202.78</v>
      </c>
      <c r="C830" s="1" t="s">
        <v>29</v>
      </c>
      <c r="D830" s="13">
        <f>VALUE(MID(C830,9,3))</f>
        <v>311</v>
      </c>
      <c r="E830" s="14">
        <f>MONTH(A830)</f>
        <v>2</v>
      </c>
      <c r="G830" s="1" t="s">
        <v>167</v>
      </c>
      <c r="H830" s="1">
        <v>250</v>
      </c>
      <c r="I830" s="1" t="s">
        <v>157</v>
      </c>
      <c r="J830" s="13">
        <f>VALUE(MID(I830,1,3))</f>
        <v>223</v>
      </c>
      <c r="K830" s="13">
        <f>VALUE(MID(G830,5,2))</f>
        <v>6</v>
      </c>
    </row>
    <row r="831" spans="1:11">
      <c r="A831" s="7">
        <v>39863</v>
      </c>
      <c r="B831" s="1">
        <v>230.75</v>
      </c>
      <c r="C831" s="1" t="s">
        <v>29</v>
      </c>
      <c r="D831" s="13">
        <f>VALUE(MID(C831,9,3))</f>
        <v>311</v>
      </c>
      <c r="E831" s="14">
        <f>MONTH(A831)</f>
        <v>2</v>
      </c>
      <c r="G831" s="1" t="s">
        <v>167</v>
      </c>
      <c r="H831" s="1">
        <v>71.06</v>
      </c>
      <c r="I831" s="1" t="s">
        <v>157</v>
      </c>
      <c r="J831" s="13">
        <f>VALUE(MID(I831,1,3))</f>
        <v>223</v>
      </c>
      <c r="K831" s="13">
        <f>VALUE(MID(G831,5,2))</f>
        <v>6</v>
      </c>
    </row>
    <row r="832" spans="1:11">
      <c r="A832" s="7">
        <v>39863</v>
      </c>
      <c r="B832" s="1">
        <v>572.5</v>
      </c>
      <c r="C832" s="1" t="s">
        <v>29</v>
      </c>
      <c r="D832" s="13">
        <f>VALUE(MID(C832,9,3))</f>
        <v>311</v>
      </c>
      <c r="E832" s="14">
        <f>MONTH(A832)</f>
        <v>2</v>
      </c>
      <c r="G832" s="1" t="s">
        <v>167</v>
      </c>
      <c r="H832" s="1">
        <v>24.96</v>
      </c>
      <c r="I832" s="1" t="s">
        <v>86</v>
      </c>
      <c r="J832" s="13">
        <f>VALUE(MID(I832,1,3))</f>
        <v>223</v>
      </c>
      <c r="K832" s="13">
        <f>VALUE(MID(G832,5,2))</f>
        <v>6</v>
      </c>
    </row>
    <row r="833" spans="1:11">
      <c r="A833" s="7">
        <v>39863</v>
      </c>
      <c r="B833" s="1">
        <v>275.26</v>
      </c>
      <c r="C833" s="1" t="s">
        <v>29</v>
      </c>
      <c r="D833" s="13">
        <f>VALUE(MID(C833,9,3))</f>
        <v>311</v>
      </c>
      <c r="E833" s="14">
        <f>MONTH(A833)</f>
        <v>2</v>
      </c>
      <c r="G833" s="1" t="s">
        <v>167</v>
      </c>
      <c r="H833" s="1">
        <v>43.68</v>
      </c>
      <c r="I833" s="1" t="s">
        <v>86</v>
      </c>
      <c r="J833" s="13">
        <f>VALUE(MID(I833,1,3))</f>
        <v>223</v>
      </c>
      <c r="K833" s="13">
        <f>VALUE(MID(G833,5,2))</f>
        <v>6</v>
      </c>
    </row>
    <row r="834" spans="1:11">
      <c r="A834" s="7">
        <v>39863</v>
      </c>
      <c r="B834" s="1">
        <v>75</v>
      </c>
      <c r="C834" s="1" t="s">
        <v>21</v>
      </c>
      <c r="D834" s="13">
        <f>VALUE(MID(C834,9,3))</f>
        <v>311</v>
      </c>
      <c r="E834" s="14">
        <f>MONTH(A834)</f>
        <v>2</v>
      </c>
      <c r="G834" s="1" t="s">
        <v>167</v>
      </c>
      <c r="H834" s="1">
        <v>68.64</v>
      </c>
      <c r="I834" s="1" t="s">
        <v>86</v>
      </c>
      <c r="J834" s="13">
        <f>VALUE(MID(I834,1,3))</f>
        <v>223</v>
      </c>
      <c r="K834" s="13">
        <f>VALUE(MID(G834,5,2))</f>
        <v>6</v>
      </c>
    </row>
    <row r="835" spans="1:11">
      <c r="A835" s="7">
        <v>39863</v>
      </c>
      <c r="B835" s="1">
        <v>75</v>
      </c>
      <c r="C835" s="1" t="s">
        <v>21</v>
      </c>
      <c r="D835" s="13">
        <f>VALUE(MID(C835,9,3))</f>
        <v>311</v>
      </c>
      <c r="E835" s="14">
        <f>MONTH(A835)</f>
        <v>2</v>
      </c>
      <c r="G835" s="1" t="s">
        <v>167</v>
      </c>
      <c r="H835" s="1">
        <v>15</v>
      </c>
      <c r="I835" s="1" t="s">
        <v>104</v>
      </c>
      <c r="J835" s="13">
        <f>VALUE(MID(I835,1,3))</f>
        <v>223</v>
      </c>
      <c r="K835" s="13">
        <f>VALUE(MID(G835,5,2))</f>
        <v>6</v>
      </c>
    </row>
    <row r="836" spans="1:11">
      <c r="A836" s="7">
        <v>39863</v>
      </c>
      <c r="B836" s="1">
        <v>75</v>
      </c>
      <c r="C836" s="1" t="s">
        <v>21</v>
      </c>
      <c r="D836" s="13">
        <f>VALUE(MID(C836,9,3))</f>
        <v>311</v>
      </c>
      <c r="E836" s="14">
        <f>MONTH(A836)</f>
        <v>2</v>
      </c>
      <c r="G836" s="1" t="s">
        <v>167</v>
      </c>
      <c r="H836" s="1">
        <v>37.5</v>
      </c>
      <c r="I836" s="1" t="s">
        <v>104</v>
      </c>
      <c r="J836" s="13">
        <f>VALUE(MID(I836,1,3))</f>
        <v>223</v>
      </c>
      <c r="K836" s="13">
        <f>VALUE(MID(G836,5,2))</f>
        <v>6</v>
      </c>
    </row>
    <row r="837" spans="1:11">
      <c r="A837" s="7">
        <v>39891</v>
      </c>
      <c r="B837" s="1">
        <v>-0.1</v>
      </c>
      <c r="C837" s="1" t="s">
        <v>3</v>
      </c>
      <c r="D837" s="13">
        <f>VALUE(MID(C837,9,3))</f>
        <v>311</v>
      </c>
      <c r="E837" s="14">
        <f>MONTH(A837)</f>
        <v>3</v>
      </c>
      <c r="G837" s="1" t="s">
        <v>170</v>
      </c>
      <c r="H837" s="1">
        <v>21.62</v>
      </c>
      <c r="I837" s="1" t="s">
        <v>86</v>
      </c>
      <c r="J837" s="13">
        <f>VALUE(MID(I837,1,3))</f>
        <v>223</v>
      </c>
      <c r="K837" s="13">
        <f>VALUE(MID(G837,5,2))</f>
        <v>6</v>
      </c>
    </row>
    <row r="838" spans="1:11">
      <c r="A838" s="7">
        <v>39891</v>
      </c>
      <c r="B838" s="1">
        <v>517.32000000000005</v>
      </c>
      <c r="C838" s="1" t="s">
        <v>3</v>
      </c>
      <c r="D838" s="13">
        <f>VALUE(MID(C838,9,3))</f>
        <v>311</v>
      </c>
      <c r="E838" s="14">
        <f>MONTH(A838)</f>
        <v>3</v>
      </c>
      <c r="G838" s="1" t="s">
        <v>170</v>
      </c>
      <c r="H838" s="1">
        <v>0.72</v>
      </c>
      <c r="I838" s="1" t="s">
        <v>104</v>
      </c>
      <c r="J838" s="13">
        <f>VALUE(MID(I838,1,3))</f>
        <v>223</v>
      </c>
      <c r="K838" s="13">
        <f>VALUE(MID(G838,5,2))</f>
        <v>6</v>
      </c>
    </row>
    <row r="839" spans="1:11">
      <c r="A839" s="7">
        <v>39891</v>
      </c>
      <c r="B839" s="1">
        <v>0.1</v>
      </c>
      <c r="C839" s="1" t="s">
        <v>3</v>
      </c>
      <c r="D839" s="13">
        <f>VALUE(MID(C839,9,3))</f>
        <v>311</v>
      </c>
      <c r="E839" s="14">
        <f>MONTH(A839)</f>
        <v>3</v>
      </c>
      <c r="G839" s="1" t="s">
        <v>175</v>
      </c>
      <c r="H839" s="1">
        <v>120.03</v>
      </c>
      <c r="I839" s="1" t="s">
        <v>86</v>
      </c>
      <c r="J839" s="13">
        <f>VALUE(MID(I839,1,3))</f>
        <v>223</v>
      </c>
      <c r="K839" s="13">
        <f>VALUE(MID(G839,5,2))</f>
        <v>7</v>
      </c>
    </row>
    <row r="840" spans="1:11">
      <c r="A840" s="7">
        <v>39891</v>
      </c>
      <c r="B840" s="1">
        <v>75</v>
      </c>
      <c r="C840" s="1" t="s">
        <v>21</v>
      </c>
      <c r="D840" s="13">
        <f>VALUE(MID(C840,9,3))</f>
        <v>311</v>
      </c>
      <c r="E840" s="14">
        <f>MONTH(A840)</f>
        <v>3</v>
      </c>
      <c r="G840" s="1" t="s">
        <v>175</v>
      </c>
      <c r="H840" s="1">
        <v>8.82</v>
      </c>
      <c r="I840" s="1" t="s">
        <v>104</v>
      </c>
      <c r="J840" s="13">
        <f>VALUE(MID(I840,1,3))</f>
        <v>223</v>
      </c>
      <c r="K840" s="13">
        <f>VALUE(MID(G840,5,2))</f>
        <v>7</v>
      </c>
    </row>
    <row r="841" spans="1:11">
      <c r="A841" s="7">
        <v>40105</v>
      </c>
      <c r="B841" s="1">
        <v>450.75</v>
      </c>
      <c r="C841" s="1" t="s">
        <v>7</v>
      </c>
      <c r="D841" s="13">
        <f>VALUE(MID(C841,9,3))</f>
        <v>311</v>
      </c>
      <c r="E841" s="14">
        <f>MONTH(A841)</f>
        <v>10</v>
      </c>
      <c r="G841" s="1" t="s">
        <v>178</v>
      </c>
      <c r="H841" s="1">
        <v>27.34</v>
      </c>
      <c r="I841" s="1" t="s">
        <v>86</v>
      </c>
      <c r="J841" s="13">
        <f>VALUE(MID(I841,1,3))</f>
        <v>223</v>
      </c>
      <c r="K841" s="13">
        <f>VALUE(MID(G841,5,2))</f>
        <v>7</v>
      </c>
    </row>
    <row r="842" spans="1:11">
      <c r="A842" s="7">
        <v>40105</v>
      </c>
      <c r="B842" s="1">
        <v>-62.7</v>
      </c>
      <c r="C842" s="1" t="s">
        <v>3</v>
      </c>
      <c r="D842" s="13">
        <f>VALUE(MID(C842,9,3))</f>
        <v>311</v>
      </c>
      <c r="E842" s="14">
        <f>MONTH(A842)</f>
        <v>10</v>
      </c>
      <c r="G842" s="1" t="s">
        <v>187</v>
      </c>
      <c r="H842" s="1">
        <v>146.31</v>
      </c>
      <c r="I842" s="1" t="s">
        <v>86</v>
      </c>
      <c r="J842" s="13">
        <f>VALUE(MID(I842,1,3))</f>
        <v>223</v>
      </c>
      <c r="K842" s="13">
        <f>VALUE(MID(G842,5,2))</f>
        <v>9</v>
      </c>
    </row>
    <row r="843" spans="1:11">
      <c r="A843" s="7">
        <v>40105</v>
      </c>
      <c r="B843" s="1">
        <v>-31.35</v>
      </c>
      <c r="C843" s="1" t="s">
        <v>3</v>
      </c>
      <c r="D843" s="13">
        <f>VALUE(MID(C843,9,3))</f>
        <v>311</v>
      </c>
      <c r="E843" s="14">
        <f>MONTH(A843)</f>
        <v>10</v>
      </c>
      <c r="G843" s="1" t="s">
        <v>187</v>
      </c>
      <c r="H843" s="1">
        <v>30.32</v>
      </c>
      <c r="I843" s="1" t="s">
        <v>104</v>
      </c>
      <c r="J843" s="13">
        <f>VALUE(MID(I843,1,3))</f>
        <v>223</v>
      </c>
      <c r="K843" s="13">
        <f>VALUE(MID(G843,5,2))</f>
        <v>9</v>
      </c>
    </row>
    <row r="844" spans="1:11">
      <c r="A844" s="7">
        <v>40105</v>
      </c>
      <c r="B844" s="1">
        <v>-62.7</v>
      </c>
      <c r="C844" s="1" t="s">
        <v>3</v>
      </c>
      <c r="D844" s="13">
        <f>VALUE(MID(C844,9,3))</f>
        <v>311</v>
      </c>
      <c r="E844" s="14">
        <f>MONTH(A844)</f>
        <v>10</v>
      </c>
      <c r="G844" s="1" t="s">
        <v>187</v>
      </c>
      <c r="H844" s="1">
        <v>11.31</v>
      </c>
      <c r="I844" s="1" t="s">
        <v>104</v>
      </c>
      <c r="J844" s="13">
        <f>VALUE(MID(I844,1,3))</f>
        <v>223</v>
      </c>
      <c r="K844" s="13">
        <f>VALUE(MID(G844,5,2))</f>
        <v>9</v>
      </c>
    </row>
    <row r="845" spans="1:11">
      <c r="A845" s="7">
        <v>40105</v>
      </c>
      <c r="B845" s="1">
        <v>-188.1</v>
      </c>
      <c r="C845" s="1" t="s">
        <v>3</v>
      </c>
      <c r="D845" s="13">
        <f>VALUE(MID(C845,9,3))</f>
        <v>311</v>
      </c>
      <c r="E845" s="14">
        <f>MONTH(A845)</f>
        <v>10</v>
      </c>
      <c r="G845" s="1" t="s">
        <v>187</v>
      </c>
      <c r="H845" s="1">
        <v>33.86</v>
      </c>
      <c r="I845" s="1" t="s">
        <v>104</v>
      </c>
      <c r="J845" s="13">
        <f>VALUE(MID(I845,1,3))</f>
        <v>223</v>
      </c>
      <c r="K845" s="13">
        <f>VALUE(MID(G845,5,2))</f>
        <v>9</v>
      </c>
    </row>
    <row r="846" spans="1:11">
      <c r="A846" s="7">
        <v>40105</v>
      </c>
      <c r="B846" s="1">
        <v>-62.7</v>
      </c>
      <c r="C846" s="1" t="s">
        <v>3</v>
      </c>
      <c r="D846" s="13">
        <f>VALUE(MID(C846,9,3))</f>
        <v>311</v>
      </c>
      <c r="E846" s="14">
        <f>MONTH(A846)</f>
        <v>10</v>
      </c>
      <c r="G846" s="1" t="s">
        <v>187</v>
      </c>
      <c r="H846" s="1">
        <v>25.17</v>
      </c>
      <c r="I846" s="1" t="s">
        <v>104</v>
      </c>
      <c r="J846" s="13">
        <f>VALUE(MID(I846,1,3))</f>
        <v>223</v>
      </c>
      <c r="K846" s="13">
        <f>VALUE(MID(G846,5,2))</f>
        <v>9</v>
      </c>
    </row>
    <row r="847" spans="1:11">
      <c r="A847" s="7">
        <v>40105</v>
      </c>
      <c r="B847" s="1">
        <v>-62.7</v>
      </c>
      <c r="C847" s="1" t="s">
        <v>3</v>
      </c>
      <c r="D847" s="13">
        <f>VALUE(MID(C847,9,3))</f>
        <v>311</v>
      </c>
      <c r="E847" s="14">
        <f>MONTH(A847)</f>
        <v>10</v>
      </c>
      <c r="G847" s="1" t="s">
        <v>187</v>
      </c>
      <c r="H847" s="1">
        <v>625</v>
      </c>
      <c r="I847" s="1" t="s">
        <v>157</v>
      </c>
      <c r="J847" s="13">
        <f>VALUE(MID(I847,1,3))</f>
        <v>223</v>
      </c>
      <c r="K847" s="13">
        <f>VALUE(MID(G847,5,2))</f>
        <v>9</v>
      </c>
    </row>
    <row r="848" spans="1:11">
      <c r="A848" s="7">
        <v>40105</v>
      </c>
      <c r="B848" s="1">
        <v>-62.7</v>
      </c>
      <c r="C848" s="1" t="s">
        <v>3</v>
      </c>
      <c r="D848" s="13">
        <f>VALUE(MID(C848,9,3))</f>
        <v>311</v>
      </c>
      <c r="E848" s="14">
        <f>MONTH(A848)</f>
        <v>10</v>
      </c>
      <c r="G848" s="1" t="s">
        <v>187</v>
      </c>
      <c r="H848" s="1">
        <v>100.59</v>
      </c>
      <c r="I848" s="1" t="s">
        <v>104</v>
      </c>
      <c r="J848" s="13">
        <f>VALUE(MID(I848,1,3))</f>
        <v>223</v>
      </c>
      <c r="K848" s="13">
        <f>VALUE(MID(G848,5,2))</f>
        <v>9</v>
      </c>
    </row>
    <row r="849" spans="1:11">
      <c r="A849" s="7">
        <v>40105</v>
      </c>
      <c r="B849" s="1">
        <v>-62.7</v>
      </c>
      <c r="C849" s="1" t="s">
        <v>3</v>
      </c>
      <c r="D849" s="13">
        <f>VALUE(MID(C849,9,3))</f>
        <v>311</v>
      </c>
      <c r="E849" s="14">
        <f>MONTH(A849)</f>
        <v>10</v>
      </c>
      <c r="G849" s="1" t="s">
        <v>192</v>
      </c>
      <c r="H849" s="1">
        <v>135.69</v>
      </c>
      <c r="I849" s="1" t="s">
        <v>104</v>
      </c>
      <c r="J849" s="13">
        <f>VALUE(MID(I849,1,3))</f>
        <v>223</v>
      </c>
      <c r="K849" s="13">
        <f>VALUE(MID(G849,5,2))</f>
        <v>9</v>
      </c>
    </row>
    <row r="850" spans="1:11">
      <c r="A850" s="7">
        <v>40105</v>
      </c>
      <c r="B850" s="1">
        <v>-62.7</v>
      </c>
      <c r="C850" s="1" t="s">
        <v>3</v>
      </c>
      <c r="D850" s="13">
        <f>VALUE(MID(C850,9,3))</f>
        <v>311</v>
      </c>
      <c r="E850" s="14">
        <f>MONTH(A850)</f>
        <v>10</v>
      </c>
      <c r="G850" s="1" t="s">
        <v>192</v>
      </c>
      <c r="H850" s="1">
        <v>60</v>
      </c>
      <c r="I850" s="1" t="s">
        <v>104</v>
      </c>
      <c r="J850" s="13">
        <f>VALUE(MID(I850,1,3))</f>
        <v>223</v>
      </c>
      <c r="K850" s="13">
        <f>VALUE(MID(G850,5,2))</f>
        <v>9</v>
      </c>
    </row>
    <row r="851" spans="1:11">
      <c r="A851" s="7">
        <v>40105</v>
      </c>
      <c r="B851" s="1">
        <v>-62.7</v>
      </c>
      <c r="C851" s="1" t="s">
        <v>3</v>
      </c>
      <c r="D851" s="13">
        <f>VALUE(MID(C851,9,3))</f>
        <v>311</v>
      </c>
      <c r="E851" s="14">
        <f>MONTH(A851)</f>
        <v>10</v>
      </c>
      <c r="G851" s="1" t="s">
        <v>192</v>
      </c>
      <c r="H851" s="1">
        <v>162.5</v>
      </c>
      <c r="I851" s="1" t="s">
        <v>104</v>
      </c>
      <c r="J851" s="13">
        <f>VALUE(MID(I851,1,3))</f>
        <v>223</v>
      </c>
      <c r="K851" s="13">
        <f>VALUE(MID(G851,5,2))</f>
        <v>9</v>
      </c>
    </row>
    <row r="852" spans="1:11">
      <c r="A852" s="7">
        <v>40105</v>
      </c>
      <c r="B852" s="1">
        <v>-12</v>
      </c>
      <c r="C852" s="1" t="s">
        <v>3</v>
      </c>
      <c r="D852" s="13">
        <f>VALUE(MID(C852,9,3))</f>
        <v>311</v>
      </c>
      <c r="E852" s="14">
        <f>MONTH(A852)</f>
        <v>10</v>
      </c>
      <c r="G852" s="1" t="s">
        <v>193</v>
      </c>
      <c r="H852" s="1">
        <v>46.53</v>
      </c>
      <c r="I852" s="1" t="s">
        <v>86</v>
      </c>
      <c r="J852" s="13">
        <f>VALUE(MID(I852,1,3))</f>
        <v>223</v>
      </c>
      <c r="K852" s="13">
        <f>VALUE(MID(G852,5,2))</f>
        <v>9</v>
      </c>
    </row>
    <row r="853" spans="1:11">
      <c r="A853" s="7">
        <v>40105</v>
      </c>
      <c r="B853" s="1">
        <v>-62.7</v>
      </c>
      <c r="C853" s="1" t="s">
        <v>3</v>
      </c>
      <c r="D853" s="13">
        <f>VALUE(MID(C853,9,3))</f>
        <v>311</v>
      </c>
      <c r="E853" s="14">
        <f>MONTH(A853)</f>
        <v>10</v>
      </c>
      <c r="G853" s="1" t="s">
        <v>203</v>
      </c>
      <c r="H853" s="1">
        <v>121.49</v>
      </c>
      <c r="I853" s="1" t="s">
        <v>104</v>
      </c>
      <c r="J853" s="13">
        <f>VALUE(MID(I853,1,3))</f>
        <v>223</v>
      </c>
      <c r="K853" s="13">
        <f>VALUE(MID(G853,5,2))</f>
        <v>10</v>
      </c>
    </row>
    <row r="854" spans="1:11">
      <c r="A854" s="7">
        <v>40105</v>
      </c>
      <c r="B854" s="1">
        <v>-136.9</v>
      </c>
      <c r="C854" s="1" t="s">
        <v>6</v>
      </c>
      <c r="D854" s="13">
        <f>VALUE(MID(C854,9,3))</f>
        <v>311</v>
      </c>
      <c r="E854" s="14">
        <f>MONTH(A854)</f>
        <v>10</v>
      </c>
      <c r="G854" s="1" t="s">
        <v>203</v>
      </c>
      <c r="H854" s="1">
        <v>38.200000000000003</v>
      </c>
      <c r="I854" s="1" t="s">
        <v>104</v>
      </c>
      <c r="J854" s="13">
        <f>VALUE(MID(I854,1,3))</f>
        <v>223</v>
      </c>
      <c r="K854" s="13">
        <f>VALUE(MID(G854,5,2))</f>
        <v>10</v>
      </c>
    </row>
    <row r="855" spans="1:11">
      <c r="A855" s="7">
        <v>40105</v>
      </c>
      <c r="B855" s="1">
        <v>80</v>
      </c>
      <c r="C855" s="1" t="s">
        <v>18</v>
      </c>
      <c r="D855" s="13">
        <f>VALUE(MID(C855,9,3))</f>
        <v>311</v>
      </c>
      <c r="E855" s="14">
        <f>MONTH(A855)</f>
        <v>10</v>
      </c>
      <c r="G855" s="1" t="s">
        <v>203</v>
      </c>
      <c r="H855" s="1">
        <v>88.9</v>
      </c>
      <c r="I855" s="1" t="s">
        <v>104</v>
      </c>
      <c r="J855" s="13">
        <f>VALUE(MID(I855,1,3))</f>
        <v>223</v>
      </c>
      <c r="K855" s="13">
        <f>VALUE(MID(G855,5,2))</f>
        <v>10</v>
      </c>
    </row>
    <row r="856" spans="1:11">
      <c r="A856" s="7">
        <v>40105</v>
      </c>
      <c r="B856" s="1">
        <v>80</v>
      </c>
      <c r="C856" s="1" t="s">
        <v>18</v>
      </c>
      <c r="D856" s="13">
        <f>VALUE(MID(C856,9,3))</f>
        <v>311</v>
      </c>
      <c r="E856" s="14">
        <f>MONTH(A856)</f>
        <v>10</v>
      </c>
      <c r="G856" s="1" t="s">
        <v>203</v>
      </c>
      <c r="H856" s="1">
        <v>76.400000000000006</v>
      </c>
      <c r="I856" s="1" t="s">
        <v>104</v>
      </c>
      <c r="J856" s="13">
        <f>VALUE(MID(I856,1,3))</f>
        <v>223</v>
      </c>
      <c r="K856" s="13">
        <f>VALUE(MID(G856,5,2))</f>
        <v>10</v>
      </c>
    </row>
    <row r="857" spans="1:11">
      <c r="A857" s="7">
        <v>40105</v>
      </c>
      <c r="B857" s="1">
        <v>235.57</v>
      </c>
      <c r="C857" s="1" t="s">
        <v>51</v>
      </c>
      <c r="D857" s="13">
        <f>VALUE(MID(C857,9,3))</f>
        <v>311</v>
      </c>
      <c r="E857" s="14">
        <f>MONTH(A857)</f>
        <v>10</v>
      </c>
      <c r="G857" s="1" t="s">
        <v>203</v>
      </c>
      <c r="H857" s="1">
        <v>134.05000000000001</v>
      </c>
      <c r="I857" s="1" t="s">
        <v>104</v>
      </c>
      <c r="J857" s="13">
        <f>VALUE(MID(I857,1,3))</f>
        <v>223</v>
      </c>
      <c r="K857" s="13">
        <f>VALUE(MID(G857,5,2))</f>
        <v>10</v>
      </c>
    </row>
    <row r="858" spans="1:11">
      <c r="A858" s="7">
        <v>40105</v>
      </c>
      <c r="B858" s="1">
        <v>300</v>
      </c>
      <c r="C858" s="1" t="s">
        <v>20</v>
      </c>
      <c r="D858" s="13">
        <f>VALUE(MID(C858,9,3))</f>
        <v>311</v>
      </c>
      <c r="E858" s="14">
        <f>MONTH(A858)</f>
        <v>10</v>
      </c>
      <c r="G858" s="1" t="s">
        <v>203</v>
      </c>
      <c r="H858" s="1">
        <v>7.7</v>
      </c>
      <c r="I858" s="1" t="s">
        <v>86</v>
      </c>
      <c r="J858" s="13">
        <f>VALUE(MID(I858,1,3))</f>
        <v>223</v>
      </c>
      <c r="K858" s="13">
        <f>VALUE(MID(G858,5,2))</f>
        <v>10</v>
      </c>
    </row>
    <row r="859" spans="1:11">
      <c r="A859" s="7">
        <v>40136</v>
      </c>
      <c r="B859" s="1">
        <v>18</v>
      </c>
      <c r="C859" s="1" t="s">
        <v>6</v>
      </c>
      <c r="D859" s="13">
        <f>VALUE(MID(C859,9,3))</f>
        <v>311</v>
      </c>
      <c r="E859" s="14">
        <f>MONTH(A859)</f>
        <v>11</v>
      </c>
      <c r="G859" s="1" t="s">
        <v>204</v>
      </c>
      <c r="H859" s="1">
        <v>23.81</v>
      </c>
      <c r="I859" s="1" t="s">
        <v>86</v>
      </c>
      <c r="J859" s="13">
        <f>VALUE(MID(I859,1,3))</f>
        <v>223</v>
      </c>
      <c r="K859" s="13">
        <f>VALUE(MID(G859,5,2))</f>
        <v>10</v>
      </c>
    </row>
    <row r="860" spans="1:11">
      <c r="A860" s="7">
        <v>39833</v>
      </c>
      <c r="B860" s="1">
        <v>75</v>
      </c>
      <c r="C860" s="1" t="s">
        <v>21</v>
      </c>
      <c r="D860" s="13">
        <f>VALUE(MID(C860,9,3))</f>
        <v>311</v>
      </c>
      <c r="E860" s="14">
        <f>MONTH(A860)</f>
        <v>1</v>
      </c>
      <c r="G860" s="1" t="s">
        <v>210</v>
      </c>
      <c r="H860" s="1">
        <v>97.54</v>
      </c>
      <c r="I860" s="1" t="s">
        <v>104</v>
      </c>
      <c r="J860" s="13">
        <f>VALUE(MID(I860,1,3))</f>
        <v>223</v>
      </c>
      <c r="K860" s="13">
        <f>VALUE(MID(G860,5,2))</f>
        <v>11</v>
      </c>
    </row>
    <row r="861" spans="1:11">
      <c r="A861" s="7">
        <v>39833</v>
      </c>
      <c r="B861" s="1">
        <v>360</v>
      </c>
      <c r="C861" s="1" t="s">
        <v>22</v>
      </c>
      <c r="D861" s="13">
        <f>VALUE(MID(C861,9,3))</f>
        <v>311</v>
      </c>
      <c r="E861" s="14">
        <f>MONTH(A861)</f>
        <v>1</v>
      </c>
      <c r="G861" s="1" t="s">
        <v>210</v>
      </c>
      <c r="H861" s="1">
        <v>1022.77</v>
      </c>
      <c r="I861" s="1" t="s">
        <v>86</v>
      </c>
      <c r="J861" s="13">
        <f>VALUE(MID(I861,1,3))</f>
        <v>223</v>
      </c>
      <c r="K861" s="13">
        <f>VALUE(MID(G861,5,2))</f>
        <v>11</v>
      </c>
    </row>
    <row r="862" spans="1:11">
      <c r="A862" s="7">
        <v>39833</v>
      </c>
      <c r="B862" s="1">
        <v>150</v>
      </c>
      <c r="C862" s="1" t="s">
        <v>41</v>
      </c>
      <c r="D862" s="13">
        <f>VALUE(MID(C862,9,3))</f>
        <v>311</v>
      </c>
      <c r="E862" s="14">
        <f>MONTH(A862)</f>
        <v>1</v>
      </c>
      <c r="G862" s="1" t="s">
        <v>210</v>
      </c>
      <c r="H862" s="1">
        <v>154.54</v>
      </c>
      <c r="I862" s="1" t="s">
        <v>86</v>
      </c>
      <c r="J862" s="13">
        <f>VALUE(MID(I862,1,3))</f>
        <v>223</v>
      </c>
      <c r="K862" s="13">
        <f>VALUE(MID(G862,5,2))</f>
        <v>11</v>
      </c>
    </row>
    <row r="863" spans="1:11">
      <c r="A863" s="7">
        <v>39864</v>
      </c>
      <c r="B863" s="1">
        <v>202.78</v>
      </c>
      <c r="C863" s="1" t="s">
        <v>29</v>
      </c>
      <c r="D863" s="13">
        <f>VALUE(MID(C863,9,3))</f>
        <v>311</v>
      </c>
      <c r="E863" s="14">
        <f>MONTH(A863)</f>
        <v>2</v>
      </c>
      <c r="G863" s="1" t="s">
        <v>210</v>
      </c>
      <c r="H863" s="1">
        <v>41.66</v>
      </c>
      <c r="I863" s="1" t="s">
        <v>104</v>
      </c>
      <c r="J863" s="13">
        <f>VALUE(MID(I863,1,3))</f>
        <v>223</v>
      </c>
      <c r="K863" s="13">
        <f>VALUE(MID(G863,5,2))</f>
        <v>11</v>
      </c>
    </row>
    <row r="864" spans="1:11">
      <c r="A864" s="7">
        <v>39864</v>
      </c>
      <c r="B864" s="1">
        <v>531.84</v>
      </c>
      <c r="C864" s="1" t="s">
        <v>29</v>
      </c>
      <c r="D864" s="13">
        <f>VALUE(MID(C864,9,3))</f>
        <v>311</v>
      </c>
      <c r="E864" s="14">
        <f>MONTH(A864)</f>
        <v>2</v>
      </c>
      <c r="G864" s="1" t="s">
        <v>210</v>
      </c>
      <c r="H864" s="1">
        <v>57.3</v>
      </c>
      <c r="I864" s="1" t="s">
        <v>104</v>
      </c>
      <c r="J864" s="13">
        <f>VALUE(MID(I864,1,3))</f>
        <v>223</v>
      </c>
      <c r="K864" s="13">
        <f>VALUE(MID(G864,5,2))</f>
        <v>11</v>
      </c>
    </row>
    <row r="865" spans="1:11">
      <c r="A865" s="7">
        <v>39864</v>
      </c>
      <c r="B865" s="1">
        <v>348.61</v>
      </c>
      <c r="C865" s="1" t="s">
        <v>29</v>
      </c>
      <c r="D865" s="13">
        <f>VALUE(MID(C865,9,3))</f>
        <v>311</v>
      </c>
      <c r="E865" s="14">
        <f>MONTH(A865)</f>
        <v>2</v>
      </c>
      <c r="G865" s="1" t="s">
        <v>210</v>
      </c>
      <c r="H865" s="1">
        <v>19.100000000000001</v>
      </c>
      <c r="I865" s="1" t="s">
        <v>104</v>
      </c>
      <c r="J865" s="13">
        <f>VALUE(MID(I865,1,3))</f>
        <v>223</v>
      </c>
      <c r="K865" s="13">
        <f>VALUE(MID(G865,5,2))</f>
        <v>11</v>
      </c>
    </row>
    <row r="866" spans="1:11">
      <c r="A866" s="7">
        <v>39864</v>
      </c>
      <c r="B866" s="1">
        <v>216.91</v>
      </c>
      <c r="C866" s="1" t="s">
        <v>29</v>
      </c>
      <c r="D866" s="13">
        <f>VALUE(MID(C866,9,3))</f>
        <v>311</v>
      </c>
      <c r="E866" s="14">
        <f>MONTH(A866)</f>
        <v>2</v>
      </c>
      <c r="G866" s="1" t="s">
        <v>210</v>
      </c>
      <c r="H866" s="1">
        <v>35.46</v>
      </c>
      <c r="I866" s="1" t="s">
        <v>86</v>
      </c>
      <c r="J866" s="13">
        <f>VALUE(MID(I866,1,3))</f>
        <v>223</v>
      </c>
      <c r="K866" s="13">
        <f>VALUE(MID(G866,5,2))</f>
        <v>11</v>
      </c>
    </row>
    <row r="867" spans="1:11">
      <c r="A867" s="7">
        <v>39864</v>
      </c>
      <c r="B867" s="1">
        <v>843.89</v>
      </c>
      <c r="C867" s="1" t="s">
        <v>29</v>
      </c>
      <c r="D867" s="13">
        <f>VALUE(MID(C867,9,3))</f>
        <v>311</v>
      </c>
      <c r="E867" s="14">
        <f>MONTH(A867)</f>
        <v>2</v>
      </c>
      <c r="G867" s="1" t="s">
        <v>210</v>
      </c>
      <c r="H867" s="1">
        <v>2.86</v>
      </c>
      <c r="I867" s="1" t="s">
        <v>86</v>
      </c>
      <c r="J867" s="13">
        <f>VALUE(MID(I867,1,3))</f>
        <v>223</v>
      </c>
      <c r="K867" s="13">
        <f>VALUE(MID(G867,5,2))</f>
        <v>11</v>
      </c>
    </row>
    <row r="868" spans="1:11">
      <c r="A868" s="7">
        <v>39864</v>
      </c>
      <c r="B868" s="1">
        <v>216.91</v>
      </c>
      <c r="C868" s="1" t="s">
        <v>29</v>
      </c>
      <c r="D868" s="13">
        <f>VALUE(MID(C868,9,3))</f>
        <v>311</v>
      </c>
      <c r="E868" s="14">
        <f>MONTH(A868)</f>
        <v>2</v>
      </c>
      <c r="G868" s="1" t="s">
        <v>210</v>
      </c>
      <c r="H868" s="1">
        <v>62.4</v>
      </c>
      <c r="I868" s="1" t="s">
        <v>86</v>
      </c>
      <c r="J868" s="13">
        <f>VALUE(MID(I868,1,3))</f>
        <v>223</v>
      </c>
      <c r="K868" s="13">
        <f>VALUE(MID(G868,5,2))</f>
        <v>11</v>
      </c>
    </row>
    <row r="869" spans="1:11">
      <c r="A869" s="7">
        <v>39864</v>
      </c>
      <c r="B869" s="1">
        <v>532.99</v>
      </c>
      <c r="C869" s="1" t="s">
        <v>29</v>
      </c>
      <c r="D869" s="13">
        <f>VALUE(MID(C869,9,3))</f>
        <v>311</v>
      </c>
      <c r="E869" s="14">
        <f>MONTH(A869)</f>
        <v>2</v>
      </c>
      <c r="G869" s="1" t="s">
        <v>210</v>
      </c>
      <c r="H869" s="1">
        <v>77.17</v>
      </c>
      <c r="I869" s="1" t="s">
        <v>86</v>
      </c>
      <c r="J869" s="13">
        <f>VALUE(MID(I869,1,3))</f>
        <v>223</v>
      </c>
      <c r="K869" s="13">
        <f>VALUE(MID(G869,5,2))</f>
        <v>11</v>
      </c>
    </row>
    <row r="870" spans="1:11">
      <c r="A870" s="7">
        <v>39864</v>
      </c>
      <c r="B870" s="1">
        <v>532.99</v>
      </c>
      <c r="C870" s="1" t="s">
        <v>29</v>
      </c>
      <c r="D870" s="13">
        <f>VALUE(MID(C870,9,3))</f>
        <v>311</v>
      </c>
      <c r="E870" s="14">
        <f>MONTH(A870)</f>
        <v>2</v>
      </c>
      <c r="G870" s="1" t="s">
        <v>210</v>
      </c>
      <c r="H870" s="1">
        <v>15.6</v>
      </c>
      <c r="I870" s="1" t="s">
        <v>86</v>
      </c>
      <c r="J870" s="13">
        <f>VALUE(MID(I870,1,3))</f>
        <v>223</v>
      </c>
      <c r="K870" s="13">
        <f>VALUE(MID(G870,5,2))</f>
        <v>11</v>
      </c>
    </row>
    <row r="871" spans="1:11">
      <c r="A871" s="7">
        <v>39864</v>
      </c>
      <c r="B871" s="1">
        <v>493.48</v>
      </c>
      <c r="C871" s="1" t="s">
        <v>29</v>
      </c>
      <c r="D871" s="13">
        <f>VALUE(MID(C871,9,3))</f>
        <v>311</v>
      </c>
      <c r="E871" s="14">
        <f>MONTH(A871)</f>
        <v>2</v>
      </c>
      <c r="G871" s="1" t="s">
        <v>210</v>
      </c>
      <c r="H871" s="1">
        <v>22.88</v>
      </c>
      <c r="I871" s="1" t="s">
        <v>86</v>
      </c>
      <c r="J871" s="13">
        <f>VALUE(MID(I871,1,3))</f>
        <v>223</v>
      </c>
      <c r="K871" s="13">
        <f>VALUE(MID(G871,5,2))</f>
        <v>11</v>
      </c>
    </row>
    <row r="872" spans="1:11">
      <c r="A872" s="7">
        <v>39864</v>
      </c>
      <c r="B872" s="1">
        <v>835.9</v>
      </c>
      <c r="C872" s="1" t="s">
        <v>29</v>
      </c>
      <c r="D872" s="13">
        <f>VALUE(MID(C872,9,3))</f>
        <v>311</v>
      </c>
      <c r="E872" s="14">
        <f>MONTH(A872)</f>
        <v>2</v>
      </c>
      <c r="G872" s="1" t="s">
        <v>210</v>
      </c>
      <c r="H872" s="1">
        <v>17.420000000000002</v>
      </c>
      <c r="I872" s="1" t="s">
        <v>104</v>
      </c>
      <c r="J872" s="13">
        <f>VALUE(MID(I872,1,3))</f>
        <v>223</v>
      </c>
      <c r="K872" s="13">
        <f>VALUE(MID(G872,5,2))</f>
        <v>11</v>
      </c>
    </row>
    <row r="873" spans="1:11">
      <c r="A873" s="7">
        <v>39864</v>
      </c>
      <c r="B873" s="1">
        <v>577.4</v>
      </c>
      <c r="C873" s="1" t="s">
        <v>29</v>
      </c>
      <c r="D873" s="13">
        <f>VALUE(MID(C873,9,3))</f>
        <v>311</v>
      </c>
      <c r="E873" s="14">
        <f>MONTH(A873)</f>
        <v>2</v>
      </c>
      <c r="G873" s="1" t="s">
        <v>212</v>
      </c>
      <c r="H873" s="1">
        <v>40.380000000000003</v>
      </c>
      <c r="I873" s="1" t="s">
        <v>86</v>
      </c>
      <c r="J873" s="13">
        <f>VALUE(MID(I873,1,3))</f>
        <v>223</v>
      </c>
      <c r="K873" s="13">
        <f>VALUE(MID(G873,5,2))</f>
        <v>11</v>
      </c>
    </row>
    <row r="874" spans="1:11">
      <c r="A874" s="7">
        <v>39864</v>
      </c>
      <c r="B874" s="1">
        <v>374.95</v>
      </c>
      <c r="C874" s="1" t="s">
        <v>29</v>
      </c>
      <c r="D874" s="13">
        <f>VALUE(MID(C874,9,3))</f>
        <v>311</v>
      </c>
      <c r="E874" s="14">
        <f>MONTH(A874)</f>
        <v>2</v>
      </c>
      <c r="G874" s="1" t="s">
        <v>219</v>
      </c>
      <c r="H874" s="1">
        <v>17.59</v>
      </c>
      <c r="I874" s="1" t="s">
        <v>104</v>
      </c>
      <c r="J874" s="13">
        <f>VALUE(MID(I874,1,3))</f>
        <v>223</v>
      </c>
      <c r="K874" s="13">
        <f>VALUE(MID(G874,5,2))</f>
        <v>12</v>
      </c>
    </row>
    <row r="875" spans="1:11">
      <c r="A875" s="7">
        <v>39864</v>
      </c>
      <c r="B875" s="1">
        <v>202.78</v>
      </c>
      <c r="C875" s="1" t="s">
        <v>29</v>
      </c>
      <c r="D875" s="13">
        <f>VALUE(MID(C875,9,3))</f>
        <v>311</v>
      </c>
      <c r="E875" s="14">
        <f>MONTH(A875)</f>
        <v>2</v>
      </c>
      <c r="G875" s="1" t="s">
        <v>219</v>
      </c>
      <c r="H875" s="1">
        <v>19.100000000000001</v>
      </c>
      <c r="I875" s="1" t="s">
        <v>104</v>
      </c>
      <c r="J875" s="13">
        <f>VALUE(MID(I875,1,3))</f>
        <v>223</v>
      </c>
      <c r="K875" s="13">
        <f>VALUE(MID(G875,5,2))</f>
        <v>12</v>
      </c>
    </row>
    <row r="876" spans="1:11">
      <c r="A876" s="7">
        <v>39864</v>
      </c>
      <c r="B876" s="1">
        <v>269.94</v>
      </c>
      <c r="C876" s="1" t="s">
        <v>29</v>
      </c>
      <c r="D876" s="13">
        <f>VALUE(MID(C876,9,3))</f>
        <v>311</v>
      </c>
      <c r="E876" s="14">
        <f>MONTH(A876)</f>
        <v>2</v>
      </c>
      <c r="G876" s="1" t="s">
        <v>219</v>
      </c>
      <c r="H876" s="1">
        <v>775</v>
      </c>
      <c r="I876" s="1" t="s">
        <v>157</v>
      </c>
      <c r="J876" s="13">
        <f>VALUE(MID(I876,1,3))</f>
        <v>223</v>
      </c>
      <c r="K876" s="13">
        <f>VALUE(MID(G876,5,2))</f>
        <v>12</v>
      </c>
    </row>
    <row r="877" spans="1:11">
      <c r="A877" s="7">
        <v>39864</v>
      </c>
      <c r="B877" s="1">
        <v>75</v>
      </c>
      <c r="C877" s="1" t="s">
        <v>21</v>
      </c>
      <c r="D877" s="13">
        <f>VALUE(MID(C877,9,3))</f>
        <v>311</v>
      </c>
      <c r="E877" s="14">
        <f>MONTH(A877)</f>
        <v>2</v>
      </c>
      <c r="G877" s="1" t="s">
        <v>219</v>
      </c>
      <c r="H877" s="1">
        <v>0.88</v>
      </c>
      <c r="I877" s="1" t="s">
        <v>86</v>
      </c>
      <c r="J877" s="13">
        <f>VALUE(MID(I877,1,3))</f>
        <v>223</v>
      </c>
      <c r="K877" s="13">
        <f>VALUE(MID(G877,5,2))</f>
        <v>12</v>
      </c>
    </row>
    <row r="878" spans="1:11">
      <c r="A878" s="7">
        <v>39864</v>
      </c>
      <c r="B878" s="1">
        <v>75</v>
      </c>
      <c r="C878" s="1" t="s">
        <v>21</v>
      </c>
      <c r="D878" s="13">
        <f>VALUE(MID(C878,9,3))</f>
        <v>311</v>
      </c>
      <c r="E878" s="14">
        <f>MONTH(A878)</f>
        <v>2</v>
      </c>
      <c r="G878" s="1" t="s">
        <v>219</v>
      </c>
      <c r="H878" s="1">
        <v>22.88</v>
      </c>
      <c r="I878" s="1" t="s">
        <v>86</v>
      </c>
      <c r="J878" s="13">
        <f>VALUE(MID(I878,1,3))</f>
        <v>223</v>
      </c>
      <c r="K878" s="13">
        <f>VALUE(MID(G878,5,2))</f>
        <v>12</v>
      </c>
    </row>
    <row r="879" spans="1:11">
      <c r="A879" s="7">
        <v>39864</v>
      </c>
      <c r="B879" s="1">
        <v>75</v>
      </c>
      <c r="C879" s="1" t="s">
        <v>21</v>
      </c>
      <c r="D879" s="13">
        <f>VALUE(MID(C879,9,3))</f>
        <v>311</v>
      </c>
      <c r="E879" s="14">
        <f>MONTH(A879)</f>
        <v>2</v>
      </c>
      <c r="G879" s="1" t="s">
        <v>219</v>
      </c>
      <c r="H879" s="1">
        <v>46.8</v>
      </c>
      <c r="I879" s="1" t="s">
        <v>86</v>
      </c>
      <c r="J879" s="13">
        <f>VALUE(MID(I879,1,3))</f>
        <v>223</v>
      </c>
      <c r="K879" s="13">
        <f>VALUE(MID(G879,5,2))</f>
        <v>12</v>
      </c>
    </row>
    <row r="880" spans="1:11">
      <c r="A880" s="7">
        <v>39864</v>
      </c>
      <c r="B880" s="1">
        <v>75</v>
      </c>
      <c r="C880" s="1" t="s">
        <v>21</v>
      </c>
      <c r="D880" s="13">
        <f>VALUE(MID(C880,9,3))</f>
        <v>311</v>
      </c>
      <c r="E880" s="14">
        <f>MONTH(A880)</f>
        <v>2</v>
      </c>
      <c r="G880" s="1" t="s">
        <v>219</v>
      </c>
      <c r="H880" s="1">
        <v>9.2899999999999991</v>
      </c>
      <c r="I880" s="1" t="s">
        <v>104</v>
      </c>
      <c r="J880" s="13">
        <f>VALUE(MID(I880,1,3))</f>
        <v>223</v>
      </c>
      <c r="K880" s="13">
        <f>VALUE(MID(G880,5,2))</f>
        <v>12</v>
      </c>
    </row>
    <row r="881" spans="1:11">
      <c r="A881" s="7">
        <v>39892</v>
      </c>
      <c r="B881" s="1">
        <v>7.5</v>
      </c>
      <c r="C881" s="1" t="s">
        <v>29</v>
      </c>
      <c r="D881" s="13">
        <f>VALUE(MID(C881,9,3))</f>
        <v>311</v>
      </c>
      <c r="E881" s="14">
        <f>MONTH(A881)</f>
        <v>3</v>
      </c>
      <c r="G881" s="1" t="s">
        <v>222</v>
      </c>
      <c r="H881" s="1">
        <v>76.73</v>
      </c>
      <c r="I881" s="1" t="s">
        <v>86</v>
      </c>
      <c r="J881" s="13">
        <f>VALUE(MID(I881,1,3))</f>
        <v>223</v>
      </c>
      <c r="K881" s="13">
        <f>VALUE(MID(G881,5,2))</f>
        <v>12</v>
      </c>
    </row>
    <row r="882" spans="1:11">
      <c r="A882" s="7">
        <v>39923</v>
      </c>
      <c r="B882" s="1">
        <v>80</v>
      </c>
      <c r="C882" s="1" t="s">
        <v>33</v>
      </c>
      <c r="D882" s="13">
        <f>VALUE(MID(C882,9,3))</f>
        <v>311</v>
      </c>
      <c r="E882" s="14">
        <f>MONTH(A882)</f>
        <v>4</v>
      </c>
      <c r="G882" s="1" t="s">
        <v>226</v>
      </c>
      <c r="H882" s="1">
        <v>64.069999999999993</v>
      </c>
      <c r="I882" s="1" t="s">
        <v>104</v>
      </c>
      <c r="J882" s="13">
        <f>VALUE(MID(I882,1,3))</f>
        <v>223</v>
      </c>
      <c r="K882" s="13">
        <f>VALUE(MID(G882,5,2))</f>
        <v>1</v>
      </c>
    </row>
    <row r="883" spans="1:11">
      <c r="A883" s="7">
        <v>39923</v>
      </c>
      <c r="B883" s="1">
        <v>423.22</v>
      </c>
      <c r="C883" s="1" t="s">
        <v>3</v>
      </c>
      <c r="D883" s="13">
        <f>VALUE(MID(C883,9,3))</f>
        <v>311</v>
      </c>
      <c r="E883" s="14">
        <f>MONTH(A883)</f>
        <v>4</v>
      </c>
      <c r="G883" s="1" t="s">
        <v>226</v>
      </c>
      <c r="H883" s="1">
        <v>173.81</v>
      </c>
      <c r="I883" s="1" t="s">
        <v>86</v>
      </c>
      <c r="J883" s="13">
        <f>VALUE(MID(I883,1,3))</f>
        <v>223</v>
      </c>
      <c r="K883" s="13">
        <f>VALUE(MID(G883,5,2))</f>
        <v>1</v>
      </c>
    </row>
    <row r="884" spans="1:11">
      <c r="A884" s="7">
        <v>40014</v>
      </c>
      <c r="B884" s="1">
        <v>33</v>
      </c>
      <c r="C884" s="1" t="s">
        <v>6</v>
      </c>
      <c r="D884" s="13">
        <f>VALUE(MID(C884,9,3))</f>
        <v>311</v>
      </c>
      <c r="E884" s="14">
        <f>MONTH(A884)</f>
        <v>7</v>
      </c>
      <c r="G884" s="1" t="s">
        <v>226</v>
      </c>
      <c r="H884" s="1">
        <v>129.76</v>
      </c>
      <c r="I884" s="1" t="s">
        <v>86</v>
      </c>
      <c r="J884" s="13">
        <f>VALUE(MID(I884,1,3))</f>
        <v>223</v>
      </c>
      <c r="K884" s="13">
        <f>VALUE(MID(G884,5,2))</f>
        <v>1</v>
      </c>
    </row>
    <row r="885" spans="1:11">
      <c r="A885" s="7">
        <v>40014</v>
      </c>
      <c r="B885" s="1">
        <v>1025.48</v>
      </c>
      <c r="C885" s="1" t="s">
        <v>6</v>
      </c>
      <c r="D885" s="13">
        <f>VALUE(MID(C885,9,3))</f>
        <v>311</v>
      </c>
      <c r="E885" s="14">
        <f>MONTH(A885)</f>
        <v>7</v>
      </c>
      <c r="G885" s="1" t="s">
        <v>226</v>
      </c>
      <c r="H885" s="1">
        <v>8.94</v>
      </c>
      <c r="I885" s="1" t="s">
        <v>104</v>
      </c>
      <c r="J885" s="13">
        <f>VALUE(MID(I885,1,3))</f>
        <v>223</v>
      </c>
      <c r="K885" s="13">
        <f>VALUE(MID(G885,5,2))</f>
        <v>1</v>
      </c>
    </row>
    <row r="886" spans="1:11">
      <c r="A886" s="7">
        <v>40014</v>
      </c>
      <c r="B886" s="1">
        <v>1125.6400000000001</v>
      </c>
      <c r="C886" s="1" t="s">
        <v>6</v>
      </c>
      <c r="D886" s="13">
        <f>VALUE(MID(C886,9,3))</f>
        <v>311</v>
      </c>
      <c r="E886" s="14">
        <f>MONTH(A886)</f>
        <v>7</v>
      </c>
      <c r="G886" s="1" t="s">
        <v>226</v>
      </c>
      <c r="H886" s="1">
        <v>19.100000000000001</v>
      </c>
      <c r="I886" s="1" t="s">
        <v>104</v>
      </c>
      <c r="J886" s="13">
        <f>VALUE(MID(I886,1,3))</f>
        <v>223</v>
      </c>
      <c r="K886" s="13">
        <f>VALUE(MID(G886,5,2))</f>
        <v>1</v>
      </c>
    </row>
    <row r="887" spans="1:11">
      <c r="A887" s="7">
        <v>40014</v>
      </c>
      <c r="B887" s="1">
        <v>530.39</v>
      </c>
      <c r="C887" s="1" t="s">
        <v>6</v>
      </c>
      <c r="D887" s="13">
        <f>VALUE(MID(C887,9,3))</f>
        <v>311</v>
      </c>
      <c r="E887" s="14">
        <f>MONTH(A887)</f>
        <v>7</v>
      </c>
      <c r="G887" s="1" t="s">
        <v>226</v>
      </c>
      <c r="H887" s="1">
        <v>19.79</v>
      </c>
      <c r="I887" s="1" t="s">
        <v>86</v>
      </c>
      <c r="J887" s="13">
        <f>VALUE(MID(I887,1,3))</f>
        <v>223</v>
      </c>
      <c r="K887" s="13">
        <f>VALUE(MID(G887,5,2))</f>
        <v>1</v>
      </c>
    </row>
    <row r="888" spans="1:11">
      <c r="A888" s="7">
        <v>40014</v>
      </c>
      <c r="B888" s="1">
        <v>625.17999999999995</v>
      </c>
      <c r="C888" s="1" t="s">
        <v>6</v>
      </c>
      <c r="D888" s="13">
        <f>VALUE(MID(C888,9,3))</f>
        <v>311</v>
      </c>
      <c r="E888" s="14">
        <f>MONTH(A888)</f>
        <v>7</v>
      </c>
      <c r="G888" s="1" t="s">
        <v>226</v>
      </c>
      <c r="H888" s="1">
        <v>2.42</v>
      </c>
      <c r="I888" s="1" t="s">
        <v>86</v>
      </c>
      <c r="J888" s="13">
        <f>VALUE(MID(I888,1,3))</f>
        <v>223</v>
      </c>
      <c r="K888" s="13">
        <f>VALUE(MID(G888,5,2))</f>
        <v>1</v>
      </c>
    </row>
    <row r="889" spans="1:11">
      <c r="A889" s="7">
        <v>40014</v>
      </c>
      <c r="B889" s="1">
        <v>374.95</v>
      </c>
      <c r="C889" s="1" t="s">
        <v>6</v>
      </c>
      <c r="D889" s="13">
        <f>VALUE(MID(C889,9,3))</f>
        <v>311</v>
      </c>
      <c r="E889" s="14">
        <f>MONTH(A889)</f>
        <v>7</v>
      </c>
      <c r="G889" s="1" t="s">
        <v>226</v>
      </c>
      <c r="H889" s="1">
        <v>29.12</v>
      </c>
      <c r="I889" s="1" t="s">
        <v>86</v>
      </c>
      <c r="J889" s="13">
        <f>VALUE(MID(I889,1,3))</f>
        <v>223</v>
      </c>
      <c r="K889" s="13">
        <f>VALUE(MID(G889,5,2))</f>
        <v>1</v>
      </c>
    </row>
    <row r="890" spans="1:11">
      <c r="A890" s="7">
        <v>40014</v>
      </c>
      <c r="B890" s="1">
        <v>625.84</v>
      </c>
      <c r="C890" s="1" t="s">
        <v>6</v>
      </c>
      <c r="D890" s="13">
        <f>VALUE(MID(C890,9,3))</f>
        <v>311</v>
      </c>
      <c r="E890" s="14">
        <f>MONTH(A890)</f>
        <v>7</v>
      </c>
      <c r="G890" s="1" t="s">
        <v>226</v>
      </c>
      <c r="H890" s="1">
        <v>66.56</v>
      </c>
      <c r="I890" s="1" t="s">
        <v>86</v>
      </c>
      <c r="J890" s="13">
        <f>VALUE(MID(I890,1,3))</f>
        <v>223</v>
      </c>
      <c r="K890" s="13">
        <f>VALUE(MID(G890,5,2))</f>
        <v>1</v>
      </c>
    </row>
    <row r="891" spans="1:11">
      <c r="A891" s="7">
        <v>40014</v>
      </c>
      <c r="B891" s="1">
        <v>731.6</v>
      </c>
      <c r="C891" s="1" t="s">
        <v>6</v>
      </c>
      <c r="D891" s="13">
        <f>VALUE(MID(C891,9,3))</f>
        <v>311</v>
      </c>
      <c r="E891" s="14">
        <f>MONTH(A891)</f>
        <v>7</v>
      </c>
      <c r="G891" s="1" t="s">
        <v>226</v>
      </c>
      <c r="H891" s="1">
        <v>1241.77</v>
      </c>
      <c r="I891" s="1" t="s">
        <v>104</v>
      </c>
      <c r="J891" s="13">
        <f>VALUE(MID(I891,1,3))</f>
        <v>223</v>
      </c>
      <c r="K891" s="13">
        <f>VALUE(MID(G891,5,2))</f>
        <v>1</v>
      </c>
    </row>
    <row r="892" spans="1:11">
      <c r="A892" s="7">
        <v>40014</v>
      </c>
      <c r="B892" s="1">
        <v>453.97</v>
      </c>
      <c r="C892" s="1" t="s">
        <v>6</v>
      </c>
      <c r="D892" s="13">
        <f>VALUE(MID(C892,9,3))</f>
        <v>311</v>
      </c>
      <c r="E892" s="14">
        <f>MONTH(A892)</f>
        <v>7</v>
      </c>
      <c r="G892" s="1" t="s">
        <v>226</v>
      </c>
      <c r="H892" s="1">
        <v>374.4</v>
      </c>
      <c r="I892" s="1" t="s">
        <v>104</v>
      </c>
      <c r="J892" s="13">
        <f>VALUE(MID(I892,1,3))</f>
        <v>223</v>
      </c>
      <c r="K892" s="13">
        <f>VALUE(MID(G892,5,2))</f>
        <v>1</v>
      </c>
    </row>
    <row r="893" spans="1:11">
      <c r="A893" s="7">
        <v>40014</v>
      </c>
      <c r="B893" s="1">
        <v>230.08</v>
      </c>
      <c r="C893" s="1" t="s">
        <v>6</v>
      </c>
      <c r="D893" s="13">
        <f>VALUE(MID(C893,9,3))</f>
        <v>311</v>
      </c>
      <c r="E893" s="14">
        <f>MONTH(A893)</f>
        <v>7</v>
      </c>
      <c r="G893" s="1" t="s">
        <v>226</v>
      </c>
      <c r="H893" s="1">
        <v>349.6</v>
      </c>
      <c r="I893" s="1" t="s">
        <v>104</v>
      </c>
      <c r="J893" s="13">
        <f>VALUE(MID(I893,1,3))</f>
        <v>223</v>
      </c>
      <c r="K893" s="13">
        <f>VALUE(MID(G893,5,2))</f>
        <v>1</v>
      </c>
    </row>
    <row r="894" spans="1:11">
      <c r="A894" s="7">
        <v>40014</v>
      </c>
      <c r="B894" s="1">
        <v>335.44</v>
      </c>
      <c r="C894" s="1" t="s">
        <v>6</v>
      </c>
      <c r="D894" s="13">
        <f>VALUE(MID(C894,9,3))</f>
        <v>311</v>
      </c>
      <c r="E894" s="14">
        <f>MONTH(A894)</f>
        <v>7</v>
      </c>
      <c r="G894" s="1" t="s">
        <v>73</v>
      </c>
      <c r="H894" s="1">
        <v>223.19</v>
      </c>
      <c r="I894" s="1" t="s">
        <v>85</v>
      </c>
      <c r="J894" s="13">
        <f>VALUE(MID(I894,1,3))</f>
        <v>224</v>
      </c>
      <c r="K894" s="13">
        <f>VALUE(MID(G894,5,2))</f>
        <v>1</v>
      </c>
    </row>
    <row r="895" spans="1:11">
      <c r="A895" s="7">
        <v>40045</v>
      </c>
      <c r="B895" s="1">
        <v>901.5</v>
      </c>
      <c r="C895" s="1" t="s">
        <v>7</v>
      </c>
      <c r="D895" s="13">
        <f>VALUE(MID(C895,9,3))</f>
        <v>311</v>
      </c>
      <c r="E895" s="14">
        <f>MONTH(A895)</f>
        <v>8</v>
      </c>
      <c r="G895" s="1" t="s">
        <v>97</v>
      </c>
      <c r="H895" s="1">
        <v>20.38</v>
      </c>
      <c r="I895" s="1" t="s">
        <v>99</v>
      </c>
      <c r="J895" s="13">
        <f>VALUE(MID(I895,1,3))</f>
        <v>224</v>
      </c>
      <c r="K895" s="13">
        <f>VALUE(MID(G895,5,2))</f>
        <v>2</v>
      </c>
    </row>
    <row r="896" spans="1:11">
      <c r="A896" s="7">
        <v>39834</v>
      </c>
      <c r="B896" s="1">
        <v>150</v>
      </c>
      <c r="C896" s="1" t="s">
        <v>41</v>
      </c>
      <c r="D896" s="13">
        <f>VALUE(MID(C896,9,3))</f>
        <v>311</v>
      </c>
      <c r="E896" s="14">
        <f>MONTH(A896)</f>
        <v>1</v>
      </c>
      <c r="G896" s="1" t="s">
        <v>97</v>
      </c>
      <c r="H896" s="1">
        <v>2768.18</v>
      </c>
      <c r="I896" s="1" t="s">
        <v>99</v>
      </c>
      <c r="J896" s="13">
        <f>VALUE(MID(I896,1,3))</f>
        <v>224</v>
      </c>
      <c r="K896" s="13">
        <f>VALUE(MID(G896,5,2))</f>
        <v>2</v>
      </c>
    </row>
    <row r="897" spans="1:11">
      <c r="A897" s="7">
        <v>39834</v>
      </c>
      <c r="B897" s="1">
        <v>150</v>
      </c>
      <c r="C897" s="1" t="s">
        <v>41</v>
      </c>
      <c r="D897" s="13">
        <f>VALUE(MID(C897,9,3))</f>
        <v>311</v>
      </c>
      <c r="E897" s="14">
        <f>MONTH(A897)</f>
        <v>1</v>
      </c>
      <c r="G897" s="1" t="s">
        <v>97</v>
      </c>
      <c r="H897" s="1">
        <v>3416.04</v>
      </c>
      <c r="I897" s="1" t="s">
        <v>85</v>
      </c>
      <c r="J897" s="13">
        <f>VALUE(MID(I897,1,3))</f>
        <v>224</v>
      </c>
      <c r="K897" s="13">
        <f>VALUE(MID(G897,5,2))</f>
        <v>2</v>
      </c>
    </row>
    <row r="898" spans="1:11">
      <c r="A898" s="7">
        <v>39865</v>
      </c>
      <c r="B898" s="1">
        <v>256.42</v>
      </c>
      <c r="C898" s="1" t="s">
        <v>29</v>
      </c>
      <c r="D898" s="13">
        <f>VALUE(MID(C898,9,3))</f>
        <v>311</v>
      </c>
      <c r="E898" s="14">
        <f>MONTH(A898)</f>
        <v>2</v>
      </c>
      <c r="G898" s="1" t="s">
        <v>97</v>
      </c>
      <c r="H898" s="1">
        <v>1419.91</v>
      </c>
      <c r="I898" s="1" t="s">
        <v>99</v>
      </c>
      <c r="J898" s="13">
        <f>VALUE(MID(I898,1,3))</f>
        <v>224</v>
      </c>
      <c r="K898" s="13">
        <f>VALUE(MID(G898,5,2))</f>
        <v>2</v>
      </c>
    </row>
    <row r="899" spans="1:11">
      <c r="A899" s="7">
        <v>39865</v>
      </c>
      <c r="B899" s="1">
        <v>620.84</v>
      </c>
      <c r="C899" s="1" t="s">
        <v>29</v>
      </c>
      <c r="D899" s="13">
        <f>VALUE(MID(C899,9,3))</f>
        <v>311</v>
      </c>
      <c r="E899" s="14">
        <f>MONTH(A899)</f>
        <v>2</v>
      </c>
      <c r="G899" s="1" t="s">
        <v>152</v>
      </c>
      <c r="H899" s="1">
        <v>251.92</v>
      </c>
      <c r="I899" s="1" t="s">
        <v>159</v>
      </c>
      <c r="J899" s="13">
        <f>VALUE(MID(I899,1,3))</f>
        <v>224</v>
      </c>
      <c r="K899" s="13">
        <f>VALUE(MID(G899,5,2))</f>
        <v>5</v>
      </c>
    </row>
    <row r="900" spans="1:11">
      <c r="A900" s="7">
        <v>40015</v>
      </c>
      <c r="B900" s="1">
        <v>605.38</v>
      </c>
      <c r="C900" s="1" t="s">
        <v>6</v>
      </c>
      <c r="D900" s="13">
        <f>VALUE(MID(C900,9,3))</f>
        <v>311</v>
      </c>
      <c r="E900" s="14">
        <f>MONTH(A900)</f>
        <v>7</v>
      </c>
      <c r="G900" s="1" t="s">
        <v>152</v>
      </c>
      <c r="H900" s="1">
        <v>119.29</v>
      </c>
      <c r="I900" s="1" t="s">
        <v>99</v>
      </c>
      <c r="J900" s="13">
        <f>VALUE(MID(I900,1,3))</f>
        <v>224</v>
      </c>
      <c r="K900" s="13">
        <f>VALUE(MID(G900,5,2))</f>
        <v>5</v>
      </c>
    </row>
    <row r="901" spans="1:11">
      <c r="A901" s="7">
        <v>40015</v>
      </c>
      <c r="B901" s="1">
        <v>207.72</v>
      </c>
      <c r="C901" s="1" t="s">
        <v>6</v>
      </c>
      <c r="D901" s="13">
        <f>VALUE(MID(C901,9,3))</f>
        <v>311</v>
      </c>
      <c r="E901" s="14">
        <f>MONTH(A901)</f>
        <v>7</v>
      </c>
      <c r="G901" s="1" t="s">
        <v>152</v>
      </c>
      <c r="H901" s="1">
        <v>156</v>
      </c>
      <c r="I901" s="1" t="s">
        <v>85</v>
      </c>
      <c r="J901" s="13">
        <f>VALUE(MID(I901,1,3))</f>
        <v>224</v>
      </c>
      <c r="K901" s="13">
        <f>VALUE(MID(G901,5,2))</f>
        <v>5</v>
      </c>
    </row>
    <row r="902" spans="1:11">
      <c r="A902" s="7">
        <v>40015</v>
      </c>
      <c r="B902" s="1">
        <v>309.10000000000002</v>
      </c>
      <c r="C902" s="1" t="s">
        <v>6</v>
      </c>
      <c r="D902" s="13">
        <f>VALUE(MID(C902,9,3))</f>
        <v>311</v>
      </c>
      <c r="E902" s="14">
        <f>MONTH(A902)</f>
        <v>7</v>
      </c>
      <c r="G902" s="1" t="s">
        <v>152</v>
      </c>
      <c r="H902" s="1">
        <v>124.8</v>
      </c>
      <c r="I902" s="1" t="s">
        <v>85</v>
      </c>
      <c r="J902" s="13">
        <f>VALUE(MID(I902,1,3))</f>
        <v>224</v>
      </c>
      <c r="K902" s="13">
        <f>VALUE(MID(G902,5,2))</f>
        <v>5</v>
      </c>
    </row>
    <row r="903" spans="1:11">
      <c r="A903" s="7">
        <v>40015</v>
      </c>
      <c r="B903" s="1">
        <v>248.92</v>
      </c>
      <c r="C903" s="1" t="s">
        <v>6</v>
      </c>
      <c r="D903" s="13">
        <f>VALUE(MID(C903,9,3))</f>
        <v>311</v>
      </c>
      <c r="E903" s="14">
        <f>MONTH(A903)</f>
        <v>7</v>
      </c>
      <c r="G903" s="1" t="s">
        <v>167</v>
      </c>
      <c r="H903" s="1">
        <v>1092</v>
      </c>
      <c r="I903" s="1" t="s">
        <v>85</v>
      </c>
      <c r="J903" s="13">
        <f>VALUE(MID(I903,1,3))</f>
        <v>224</v>
      </c>
      <c r="K903" s="13">
        <f>VALUE(MID(G903,5,2))</f>
        <v>6</v>
      </c>
    </row>
    <row r="904" spans="1:11">
      <c r="A904" s="7">
        <v>40015</v>
      </c>
      <c r="B904" s="1">
        <v>528.09</v>
      </c>
      <c r="C904" s="1" t="s">
        <v>6</v>
      </c>
      <c r="D904" s="13">
        <f>VALUE(MID(C904,9,3))</f>
        <v>311</v>
      </c>
      <c r="E904" s="14">
        <f>MONTH(A904)</f>
        <v>7</v>
      </c>
      <c r="G904" s="1" t="s">
        <v>175</v>
      </c>
      <c r="H904" s="1">
        <v>3416.04</v>
      </c>
      <c r="I904" s="1" t="s">
        <v>85</v>
      </c>
      <c r="J904" s="13">
        <f>VALUE(MID(I904,1,3))</f>
        <v>224</v>
      </c>
      <c r="K904" s="13">
        <f>VALUE(MID(G904,5,2))</f>
        <v>7</v>
      </c>
    </row>
    <row r="905" spans="1:11">
      <c r="A905" s="7">
        <v>40015</v>
      </c>
      <c r="B905" s="1">
        <v>349.67</v>
      </c>
      <c r="C905" s="1" t="s">
        <v>6</v>
      </c>
      <c r="D905" s="13">
        <f>VALUE(MID(C905,9,3))</f>
        <v>311</v>
      </c>
      <c r="E905" s="14">
        <f>MONTH(A905)</f>
        <v>7</v>
      </c>
      <c r="G905" s="1" t="s">
        <v>203</v>
      </c>
      <c r="H905" s="1">
        <v>4345.62</v>
      </c>
      <c r="I905" s="1" t="s">
        <v>159</v>
      </c>
      <c r="J905" s="13">
        <f>VALUE(MID(I905,1,3))</f>
        <v>224</v>
      </c>
      <c r="K905" s="13">
        <f>VALUE(MID(G905,5,2))</f>
        <v>10</v>
      </c>
    </row>
    <row r="906" spans="1:11">
      <c r="A906" s="7">
        <v>40015</v>
      </c>
      <c r="B906" s="1">
        <v>414.46</v>
      </c>
      <c r="C906" s="1" t="s">
        <v>6</v>
      </c>
      <c r="D906" s="13">
        <f>VALUE(MID(C906,9,3))</f>
        <v>311</v>
      </c>
      <c r="E906" s="14">
        <f>MONTH(A906)</f>
        <v>7</v>
      </c>
      <c r="G906" s="1" t="s">
        <v>203</v>
      </c>
      <c r="H906" s="1">
        <v>156</v>
      </c>
      <c r="I906" s="1" t="s">
        <v>85</v>
      </c>
      <c r="J906" s="13">
        <f>VALUE(MID(I906,1,3))</f>
        <v>224</v>
      </c>
      <c r="K906" s="13">
        <f>VALUE(MID(G906,5,2))</f>
        <v>10</v>
      </c>
    </row>
    <row r="907" spans="1:11">
      <c r="A907" s="7">
        <v>40015</v>
      </c>
      <c r="B907" s="1">
        <v>656.42</v>
      </c>
      <c r="C907" s="1" t="s">
        <v>6</v>
      </c>
      <c r="D907" s="13">
        <f>VALUE(MID(C907,9,3))</f>
        <v>311</v>
      </c>
      <c r="E907" s="14">
        <f>MONTH(A907)</f>
        <v>7</v>
      </c>
      <c r="G907" s="1" t="s">
        <v>203</v>
      </c>
      <c r="H907" s="1">
        <v>124.8</v>
      </c>
      <c r="I907" s="1" t="s">
        <v>85</v>
      </c>
      <c r="J907" s="13">
        <f>VALUE(MID(I907,1,3))</f>
        <v>224</v>
      </c>
      <c r="K907" s="13">
        <f>VALUE(MID(G907,5,2))</f>
        <v>10</v>
      </c>
    </row>
    <row r="908" spans="1:11">
      <c r="A908" s="7">
        <v>40015</v>
      </c>
      <c r="B908" s="1">
        <v>398.6</v>
      </c>
      <c r="C908" s="1" t="s">
        <v>6</v>
      </c>
      <c r="D908" s="13">
        <f>VALUE(MID(C908,9,3))</f>
        <v>311</v>
      </c>
      <c r="E908" s="14">
        <f>MONTH(A908)</f>
        <v>7</v>
      </c>
      <c r="G908" s="1" t="s">
        <v>212</v>
      </c>
      <c r="H908" s="1">
        <v>28</v>
      </c>
      <c r="I908" s="1" t="s">
        <v>99</v>
      </c>
      <c r="J908" s="13">
        <f>VALUE(MID(I908,1,3))</f>
        <v>224</v>
      </c>
      <c r="K908" s="13">
        <f>VALUE(MID(G908,5,2))</f>
        <v>11</v>
      </c>
    </row>
    <row r="909" spans="1:11">
      <c r="A909" s="7">
        <v>40015</v>
      </c>
      <c r="B909" s="1">
        <v>216.91</v>
      </c>
      <c r="C909" s="1" t="s">
        <v>6</v>
      </c>
      <c r="D909" s="13">
        <f>VALUE(MID(C909,9,3))</f>
        <v>311</v>
      </c>
      <c r="E909" s="14">
        <f>MONTH(A909)</f>
        <v>7</v>
      </c>
      <c r="G909" s="1" t="s">
        <v>219</v>
      </c>
      <c r="H909" s="1">
        <v>79.510000000000005</v>
      </c>
      <c r="I909" s="1" t="s">
        <v>159</v>
      </c>
      <c r="J909" s="13">
        <f>VALUE(MID(I909,1,3))</f>
        <v>224</v>
      </c>
      <c r="K909" s="13">
        <f>VALUE(MID(G909,5,2))</f>
        <v>12</v>
      </c>
    </row>
    <row r="910" spans="1:11">
      <c r="A910" s="7">
        <v>40015</v>
      </c>
      <c r="B910" s="1">
        <v>519.82000000000005</v>
      </c>
      <c r="C910" s="1" t="s">
        <v>6</v>
      </c>
      <c r="D910" s="13">
        <f>VALUE(MID(C910,9,3))</f>
        <v>311</v>
      </c>
      <c r="E910" s="14">
        <f>MONTH(A910)</f>
        <v>7</v>
      </c>
      <c r="G910" s="1" t="s">
        <v>226</v>
      </c>
      <c r="H910" s="1">
        <v>244.82</v>
      </c>
      <c r="I910" s="1" t="s">
        <v>99</v>
      </c>
      <c r="J910" s="13">
        <f>VALUE(MID(I910,1,3))</f>
        <v>224</v>
      </c>
      <c r="K910" s="13">
        <f>VALUE(MID(G910,5,2))</f>
        <v>1</v>
      </c>
    </row>
    <row r="911" spans="1:11">
      <c r="A911" s="7">
        <v>40015</v>
      </c>
      <c r="B911" s="1">
        <v>335.44</v>
      </c>
      <c r="C911" s="1" t="s">
        <v>6</v>
      </c>
      <c r="D911" s="13">
        <f>VALUE(MID(C911,9,3))</f>
        <v>311</v>
      </c>
      <c r="E911" s="14">
        <f>MONTH(A911)</f>
        <v>7</v>
      </c>
      <c r="G911" s="1" t="s">
        <v>73</v>
      </c>
      <c r="H911" s="1">
        <v>41.6</v>
      </c>
      <c r="I911" s="1" t="s">
        <v>80</v>
      </c>
      <c r="J911" s="13">
        <f>VALUE(MID(I911,1,3))</f>
        <v>226</v>
      </c>
      <c r="K911" s="13">
        <f>VALUE(MID(G911,5,2))</f>
        <v>1</v>
      </c>
    </row>
    <row r="912" spans="1:11">
      <c r="A912" s="7">
        <v>40015</v>
      </c>
      <c r="B912" s="1">
        <v>493.48</v>
      </c>
      <c r="C912" s="1" t="s">
        <v>6</v>
      </c>
      <c r="D912" s="13">
        <f>VALUE(MID(C912,9,3))</f>
        <v>311</v>
      </c>
      <c r="E912" s="14">
        <f>MONTH(A912)</f>
        <v>7</v>
      </c>
      <c r="G912" s="1" t="s">
        <v>73</v>
      </c>
      <c r="H912" s="1">
        <v>17.25</v>
      </c>
      <c r="I912" s="1" t="s">
        <v>80</v>
      </c>
      <c r="J912" s="13">
        <f>VALUE(MID(I912,1,3))</f>
        <v>226</v>
      </c>
      <c r="K912" s="13">
        <f>VALUE(MID(G912,5,2))</f>
        <v>1</v>
      </c>
    </row>
    <row r="913" spans="1:11">
      <c r="A913" s="7">
        <v>40015</v>
      </c>
      <c r="B913" s="1">
        <v>414.46</v>
      </c>
      <c r="C913" s="1" t="s">
        <v>6</v>
      </c>
      <c r="D913" s="13">
        <f>VALUE(MID(C913,9,3))</f>
        <v>311</v>
      </c>
      <c r="E913" s="14">
        <f>MONTH(A913)</f>
        <v>7</v>
      </c>
      <c r="G913" s="1" t="s">
        <v>97</v>
      </c>
      <c r="H913" s="1">
        <v>82.82</v>
      </c>
      <c r="I913" s="1" t="s">
        <v>80</v>
      </c>
      <c r="J913" s="13">
        <f>VALUE(MID(I913,1,3))</f>
        <v>226</v>
      </c>
      <c r="K913" s="13">
        <f>VALUE(MID(G913,5,2))</f>
        <v>2</v>
      </c>
    </row>
    <row r="914" spans="1:11">
      <c r="A914" s="7">
        <v>40077</v>
      </c>
      <c r="B914" s="1">
        <v>901.5</v>
      </c>
      <c r="C914" s="1" t="s">
        <v>7</v>
      </c>
      <c r="D914" s="13">
        <f>VALUE(MID(C914,9,3))</f>
        <v>311</v>
      </c>
      <c r="E914" s="14">
        <f>MONTH(A914)</f>
        <v>9</v>
      </c>
      <c r="G914" s="1" t="s">
        <v>97</v>
      </c>
      <c r="H914" s="1">
        <v>44</v>
      </c>
      <c r="I914" s="1" t="s">
        <v>100</v>
      </c>
      <c r="J914" s="13">
        <f>VALUE(MID(I914,1,3))</f>
        <v>226</v>
      </c>
      <c r="K914" s="13">
        <f>VALUE(MID(G914,5,2))</f>
        <v>2</v>
      </c>
    </row>
    <row r="915" spans="1:11">
      <c r="A915" s="7">
        <v>40077</v>
      </c>
      <c r="B915" s="1">
        <v>62.7</v>
      </c>
      <c r="C915" s="1" t="s">
        <v>13</v>
      </c>
      <c r="D915" s="13">
        <f>VALUE(MID(C915,9,3))</f>
        <v>311</v>
      </c>
      <c r="E915" s="14">
        <f>MONTH(A915)</f>
        <v>9</v>
      </c>
      <c r="G915" s="1" t="s">
        <v>97</v>
      </c>
      <c r="H915" s="1">
        <v>20</v>
      </c>
      <c r="I915" s="1" t="s">
        <v>80</v>
      </c>
      <c r="J915" s="13">
        <f>VALUE(MID(I915,1,3))</f>
        <v>226</v>
      </c>
      <c r="K915" s="13">
        <f>VALUE(MID(G915,5,2))</f>
        <v>2</v>
      </c>
    </row>
    <row r="916" spans="1:11">
      <c r="A916" s="7">
        <v>40077</v>
      </c>
      <c r="B916" s="1">
        <v>62.7</v>
      </c>
      <c r="C916" s="1" t="s">
        <v>13</v>
      </c>
      <c r="D916" s="13">
        <f>VALUE(MID(C916,9,3))</f>
        <v>311</v>
      </c>
      <c r="E916" s="14">
        <f>MONTH(A916)</f>
        <v>9</v>
      </c>
      <c r="G916" s="1" t="s">
        <v>97</v>
      </c>
      <c r="H916" s="1">
        <v>132</v>
      </c>
      <c r="I916" s="1" t="s">
        <v>80</v>
      </c>
      <c r="J916" s="13">
        <f>VALUE(MID(I916,1,3))</f>
        <v>226</v>
      </c>
      <c r="K916" s="13">
        <f>VALUE(MID(G916,5,2))</f>
        <v>2</v>
      </c>
    </row>
    <row r="917" spans="1:11">
      <c r="A917" s="7">
        <v>40077</v>
      </c>
      <c r="B917" s="1">
        <v>438.9</v>
      </c>
      <c r="C917" s="1" t="s">
        <v>3</v>
      </c>
      <c r="D917" s="13">
        <f>VALUE(MID(C917,9,3))</f>
        <v>311</v>
      </c>
      <c r="E917" s="14">
        <f>MONTH(A917)</f>
        <v>9</v>
      </c>
      <c r="G917" s="1" t="s">
        <v>97</v>
      </c>
      <c r="H917" s="1">
        <v>12.4</v>
      </c>
      <c r="I917" s="1" t="s">
        <v>80</v>
      </c>
      <c r="J917" s="13">
        <f>VALUE(MID(I917,1,3))</f>
        <v>226</v>
      </c>
      <c r="K917" s="13">
        <f>VALUE(MID(G917,5,2))</f>
        <v>2</v>
      </c>
    </row>
    <row r="918" spans="1:11">
      <c r="A918" s="7">
        <v>40077</v>
      </c>
      <c r="B918" s="1">
        <v>564.29999999999995</v>
      </c>
      <c r="C918" s="1" t="s">
        <v>3</v>
      </c>
      <c r="D918" s="13">
        <f>VALUE(MID(C918,9,3))</f>
        <v>311</v>
      </c>
      <c r="E918" s="14">
        <f>MONTH(A918)</f>
        <v>9</v>
      </c>
      <c r="G918" s="1" t="s">
        <v>97</v>
      </c>
      <c r="H918" s="1">
        <v>33</v>
      </c>
      <c r="I918" s="1" t="s">
        <v>80</v>
      </c>
      <c r="J918" s="13">
        <f>VALUE(MID(I918,1,3))</f>
        <v>226</v>
      </c>
      <c r="K918" s="13">
        <f>VALUE(MID(G918,5,2))</f>
        <v>2</v>
      </c>
    </row>
    <row r="919" spans="1:11">
      <c r="A919" s="7">
        <v>40077</v>
      </c>
      <c r="B919" s="1">
        <v>476.96</v>
      </c>
      <c r="C919" s="1" t="s">
        <v>5</v>
      </c>
      <c r="D919" s="13">
        <f>VALUE(MID(C919,9,3))</f>
        <v>311</v>
      </c>
      <c r="E919" s="14">
        <f>MONTH(A919)</f>
        <v>9</v>
      </c>
      <c r="G919" s="1" t="s">
        <v>97</v>
      </c>
      <c r="H919" s="1">
        <v>38.21</v>
      </c>
      <c r="I919" s="1" t="s">
        <v>80</v>
      </c>
      <c r="J919" s="13">
        <f>VALUE(MID(I919,1,3))</f>
        <v>226</v>
      </c>
      <c r="K919" s="13">
        <f>VALUE(MID(G919,5,2))</f>
        <v>2</v>
      </c>
    </row>
    <row r="920" spans="1:11">
      <c r="A920" s="7">
        <v>40077</v>
      </c>
      <c r="B920" s="1">
        <v>111.9</v>
      </c>
      <c r="C920" s="1" t="s">
        <v>6</v>
      </c>
      <c r="D920" s="13">
        <f>VALUE(MID(C920,9,3))</f>
        <v>311</v>
      </c>
      <c r="E920" s="14">
        <f>MONTH(A920)</f>
        <v>9</v>
      </c>
      <c r="G920" s="1" t="s">
        <v>97</v>
      </c>
      <c r="H920" s="1">
        <v>82.5</v>
      </c>
      <c r="I920" s="1" t="s">
        <v>80</v>
      </c>
      <c r="J920" s="13">
        <f>VALUE(MID(I920,1,3))</f>
        <v>226</v>
      </c>
      <c r="K920" s="13">
        <f>VALUE(MID(G920,5,2))</f>
        <v>2</v>
      </c>
    </row>
    <row r="921" spans="1:11">
      <c r="A921" s="7">
        <v>40077</v>
      </c>
      <c r="B921" s="1">
        <v>80</v>
      </c>
      <c r="C921" s="1" t="s">
        <v>18</v>
      </c>
      <c r="D921" s="13">
        <f>VALUE(MID(C921,9,3))</f>
        <v>311</v>
      </c>
      <c r="E921" s="14">
        <f>MONTH(A921)</f>
        <v>9</v>
      </c>
      <c r="G921" s="1" t="s">
        <v>97</v>
      </c>
      <c r="H921" s="1">
        <v>118.79</v>
      </c>
      <c r="I921" s="1" t="s">
        <v>80</v>
      </c>
      <c r="J921" s="13">
        <f>VALUE(MID(I921,1,3))</f>
        <v>226</v>
      </c>
      <c r="K921" s="13">
        <f>VALUE(MID(G921,5,2))</f>
        <v>2</v>
      </c>
    </row>
    <row r="922" spans="1:11">
      <c r="A922" s="7">
        <v>40077</v>
      </c>
      <c r="B922" s="1">
        <v>80</v>
      </c>
      <c r="C922" s="1" t="s">
        <v>18</v>
      </c>
      <c r="D922" s="13">
        <f>VALUE(MID(C922,9,3))</f>
        <v>311</v>
      </c>
      <c r="E922" s="14">
        <f>MONTH(A922)</f>
        <v>9</v>
      </c>
      <c r="G922" s="1" t="s">
        <v>97</v>
      </c>
      <c r="H922" s="1">
        <v>26.27</v>
      </c>
      <c r="I922" s="1" t="s">
        <v>80</v>
      </c>
      <c r="J922" s="13">
        <f>VALUE(MID(I922,1,3))</f>
        <v>226</v>
      </c>
      <c r="K922" s="13">
        <f>VALUE(MID(G922,5,2))</f>
        <v>2</v>
      </c>
    </row>
    <row r="923" spans="1:11">
      <c r="A923" s="7">
        <v>40107</v>
      </c>
      <c r="B923" s="1">
        <v>489.75</v>
      </c>
      <c r="C923" s="1" t="s">
        <v>8</v>
      </c>
      <c r="D923" s="13">
        <f>VALUE(MID(C923,9,3))</f>
        <v>311</v>
      </c>
      <c r="E923" s="14">
        <f>MONTH(A923)</f>
        <v>10</v>
      </c>
      <c r="G923" s="1" t="s">
        <v>97</v>
      </c>
      <c r="H923" s="1">
        <v>374.4</v>
      </c>
      <c r="I923" s="1" t="s">
        <v>102</v>
      </c>
      <c r="J923" s="13">
        <f>VALUE(MID(I923,1,3))</f>
        <v>226</v>
      </c>
      <c r="K923" s="13">
        <f>VALUE(MID(G923,5,2))</f>
        <v>2</v>
      </c>
    </row>
    <row r="924" spans="1:11">
      <c r="A924" s="7">
        <v>39835</v>
      </c>
      <c r="B924" s="1">
        <v>150</v>
      </c>
      <c r="C924" s="1" t="s">
        <v>41</v>
      </c>
      <c r="D924" s="13">
        <f>VALUE(MID(C924,9,3))</f>
        <v>311</v>
      </c>
      <c r="E924" s="14">
        <f>MONTH(A924)</f>
        <v>1</v>
      </c>
      <c r="G924" s="1" t="s">
        <v>97</v>
      </c>
      <c r="H924" s="1">
        <v>287.58999999999997</v>
      </c>
      <c r="I924" s="1" t="s">
        <v>102</v>
      </c>
      <c r="J924" s="13">
        <f>VALUE(MID(I924,1,3))</f>
        <v>226</v>
      </c>
      <c r="K924" s="13">
        <f>VALUE(MID(G924,5,2))</f>
        <v>2</v>
      </c>
    </row>
    <row r="925" spans="1:11">
      <c r="A925" s="7">
        <v>39955</v>
      </c>
      <c r="B925" s="1">
        <v>501.35</v>
      </c>
      <c r="C925" s="1" t="s">
        <v>12</v>
      </c>
      <c r="D925" s="13">
        <f>VALUE(MID(C925,9,3))</f>
        <v>311</v>
      </c>
      <c r="E925" s="14">
        <f>MONTH(A925)</f>
        <v>5</v>
      </c>
      <c r="G925" s="1" t="s">
        <v>97</v>
      </c>
      <c r="H925" s="1">
        <v>146.41999999999999</v>
      </c>
      <c r="I925" s="1" t="s">
        <v>80</v>
      </c>
      <c r="J925" s="13">
        <f>VALUE(MID(I925,1,3))</f>
        <v>226</v>
      </c>
      <c r="K925" s="13">
        <f>VALUE(MID(G925,5,2))</f>
        <v>2</v>
      </c>
    </row>
    <row r="926" spans="1:11">
      <c r="A926" s="7">
        <v>39955</v>
      </c>
      <c r="B926" s="1">
        <v>3428.51</v>
      </c>
      <c r="C926" s="1" t="s">
        <v>13</v>
      </c>
      <c r="D926" s="13">
        <f>VALUE(MID(C926,9,3))</f>
        <v>311</v>
      </c>
      <c r="E926" s="14">
        <f>MONTH(A926)</f>
        <v>5</v>
      </c>
      <c r="G926" s="1" t="s">
        <v>97</v>
      </c>
      <c r="H926" s="1">
        <v>536</v>
      </c>
      <c r="I926" s="1" t="s">
        <v>80</v>
      </c>
      <c r="J926" s="13">
        <f>VALUE(MID(I926,1,3))</f>
        <v>226</v>
      </c>
      <c r="K926" s="13">
        <f>VALUE(MID(G926,5,2))</f>
        <v>2</v>
      </c>
    </row>
    <row r="927" spans="1:11">
      <c r="A927" s="7">
        <v>39955</v>
      </c>
      <c r="B927" s="1">
        <v>1379.39</v>
      </c>
      <c r="C927" s="1" t="s">
        <v>3</v>
      </c>
      <c r="D927" s="13">
        <f>VALUE(MID(C927,9,3))</f>
        <v>311</v>
      </c>
      <c r="E927" s="14">
        <f>MONTH(A927)</f>
        <v>5</v>
      </c>
      <c r="G927" s="1" t="s">
        <v>97</v>
      </c>
      <c r="H927" s="1">
        <v>55.31</v>
      </c>
      <c r="I927" s="1" t="s">
        <v>80</v>
      </c>
      <c r="J927" s="13">
        <f>VALUE(MID(I927,1,3))</f>
        <v>226</v>
      </c>
      <c r="K927" s="13">
        <f>VALUE(MID(G927,5,2))</f>
        <v>2</v>
      </c>
    </row>
    <row r="928" spans="1:11">
      <c r="A928" s="7">
        <v>39955</v>
      </c>
      <c r="B928" s="1">
        <v>266.5</v>
      </c>
      <c r="C928" s="1" t="s">
        <v>28</v>
      </c>
      <c r="D928" s="13">
        <f>VALUE(MID(C928,9,3))</f>
        <v>311</v>
      </c>
      <c r="E928" s="14">
        <f>MONTH(A928)</f>
        <v>5</v>
      </c>
      <c r="G928" s="1" t="s">
        <v>97</v>
      </c>
      <c r="H928" s="1">
        <v>187.37</v>
      </c>
      <c r="I928" s="1" t="s">
        <v>80</v>
      </c>
      <c r="J928" s="13">
        <f>VALUE(MID(I928,1,3))</f>
        <v>226</v>
      </c>
      <c r="K928" s="13">
        <f>VALUE(MID(G928,5,2))</f>
        <v>2</v>
      </c>
    </row>
    <row r="929" spans="1:11">
      <c r="A929" s="7">
        <v>39955</v>
      </c>
      <c r="B929" s="1">
        <v>1762.11</v>
      </c>
      <c r="C929" s="1" t="s">
        <v>29</v>
      </c>
      <c r="D929" s="13">
        <f>VALUE(MID(C929,9,3))</f>
        <v>311</v>
      </c>
      <c r="E929" s="14">
        <f>MONTH(A929)</f>
        <v>5</v>
      </c>
      <c r="G929" s="1" t="s">
        <v>97</v>
      </c>
      <c r="H929" s="1">
        <v>412.15</v>
      </c>
      <c r="I929" s="1" t="s">
        <v>100</v>
      </c>
      <c r="J929" s="13">
        <f>VALUE(MID(I929,1,3))</f>
        <v>226</v>
      </c>
      <c r="K929" s="13">
        <f>VALUE(MID(G929,5,2))</f>
        <v>2</v>
      </c>
    </row>
    <row r="930" spans="1:11">
      <c r="A930" s="7">
        <v>39955</v>
      </c>
      <c r="B930" s="1">
        <v>200</v>
      </c>
      <c r="C930" s="1" t="s">
        <v>35</v>
      </c>
      <c r="D930" s="13">
        <f>VALUE(MID(C930,9,3))</f>
        <v>311</v>
      </c>
      <c r="E930" s="14">
        <f>MONTH(A930)</f>
        <v>5</v>
      </c>
      <c r="G930" s="1" t="s">
        <v>97</v>
      </c>
      <c r="H930" s="1">
        <v>138.32</v>
      </c>
      <c r="I930" s="1" t="s">
        <v>102</v>
      </c>
      <c r="J930" s="13">
        <f>VALUE(MID(I930,1,3))</f>
        <v>226</v>
      </c>
      <c r="K930" s="13">
        <f>VALUE(MID(G930,5,2))</f>
        <v>2</v>
      </c>
    </row>
    <row r="931" spans="1:11">
      <c r="A931" s="7">
        <v>39955</v>
      </c>
      <c r="B931" s="1">
        <v>800</v>
      </c>
      <c r="C931" s="1" t="s">
        <v>35</v>
      </c>
      <c r="D931" s="13">
        <f>VALUE(MID(C931,9,3))</f>
        <v>311</v>
      </c>
      <c r="E931" s="14">
        <f>MONTH(A931)</f>
        <v>5</v>
      </c>
      <c r="G931" s="1" t="s">
        <v>97</v>
      </c>
      <c r="H931" s="1">
        <v>141.44</v>
      </c>
      <c r="I931" s="1" t="s">
        <v>102</v>
      </c>
      <c r="J931" s="13">
        <f>VALUE(MID(I931,1,3))</f>
        <v>226</v>
      </c>
      <c r="K931" s="13">
        <f>VALUE(MID(G931,5,2))</f>
        <v>2</v>
      </c>
    </row>
    <row r="932" spans="1:11">
      <c r="A932" s="7">
        <v>40016</v>
      </c>
      <c r="B932" s="1">
        <v>374.94</v>
      </c>
      <c r="C932" s="1" t="s">
        <v>5</v>
      </c>
      <c r="D932" s="13">
        <f>VALUE(MID(C932,9,3))</f>
        <v>311</v>
      </c>
      <c r="E932" s="14">
        <f>MONTH(A932)</f>
        <v>7</v>
      </c>
      <c r="G932" s="1" t="s">
        <v>97</v>
      </c>
      <c r="H932" s="1">
        <v>53.64</v>
      </c>
      <c r="I932" s="1" t="s">
        <v>100</v>
      </c>
      <c r="J932" s="13">
        <f>VALUE(MID(I932,1,3))</f>
        <v>226</v>
      </c>
      <c r="K932" s="13">
        <f>VALUE(MID(G932,5,2))</f>
        <v>2</v>
      </c>
    </row>
    <row r="933" spans="1:11">
      <c r="A933" s="7">
        <v>40016</v>
      </c>
      <c r="B933" s="1">
        <v>355.81</v>
      </c>
      <c r="C933" s="1" t="s">
        <v>6</v>
      </c>
      <c r="D933" s="13">
        <f>VALUE(MID(C933,9,3))</f>
        <v>311</v>
      </c>
      <c r="E933" s="14">
        <f>MONTH(A933)</f>
        <v>7</v>
      </c>
      <c r="G933" s="1" t="s">
        <v>97</v>
      </c>
      <c r="H933" s="1">
        <v>16.8</v>
      </c>
      <c r="I933" s="1" t="s">
        <v>80</v>
      </c>
      <c r="J933" s="13">
        <f>VALUE(MID(I933,1,3))</f>
        <v>226</v>
      </c>
      <c r="K933" s="13">
        <f>VALUE(MID(G933,5,2))</f>
        <v>2</v>
      </c>
    </row>
    <row r="934" spans="1:11">
      <c r="A934" s="7">
        <v>40016</v>
      </c>
      <c r="B934" s="1">
        <v>519.82000000000005</v>
      </c>
      <c r="C934" s="1" t="s">
        <v>6</v>
      </c>
      <c r="D934" s="13">
        <f>VALUE(MID(C934,9,3))</f>
        <v>311</v>
      </c>
      <c r="E934" s="14">
        <f>MONTH(A934)</f>
        <v>7</v>
      </c>
      <c r="G934" s="1" t="s">
        <v>97</v>
      </c>
      <c r="H934" s="1">
        <v>561.6</v>
      </c>
      <c r="I934" s="1" t="s">
        <v>100</v>
      </c>
      <c r="J934" s="13">
        <f>VALUE(MID(I934,1,3))</f>
        <v>226</v>
      </c>
      <c r="K934" s="13">
        <f>VALUE(MID(G934,5,2))</f>
        <v>2</v>
      </c>
    </row>
    <row r="935" spans="1:11">
      <c r="A935" s="7">
        <v>40016</v>
      </c>
      <c r="B935" s="1">
        <v>440.71</v>
      </c>
      <c r="C935" s="1" t="s">
        <v>6</v>
      </c>
      <c r="D935" s="13">
        <f>VALUE(MID(C935,9,3))</f>
        <v>311</v>
      </c>
      <c r="E935" s="14">
        <f>MONTH(A935)</f>
        <v>7</v>
      </c>
      <c r="G935" s="1" t="s">
        <v>113</v>
      </c>
      <c r="H935" s="1">
        <v>4.95</v>
      </c>
      <c r="I935" s="1" t="s">
        <v>80</v>
      </c>
      <c r="J935" s="13">
        <f>VALUE(MID(I935,1,3))</f>
        <v>226</v>
      </c>
      <c r="K935" s="13">
        <f>VALUE(MID(G935,5,2))</f>
        <v>2</v>
      </c>
    </row>
    <row r="936" spans="1:11">
      <c r="A936" s="7">
        <v>40016</v>
      </c>
      <c r="B936" s="1">
        <v>300.83</v>
      </c>
      <c r="C936" s="1" t="s">
        <v>6</v>
      </c>
      <c r="D936" s="13">
        <f>VALUE(MID(C936,9,3))</f>
        <v>311</v>
      </c>
      <c r="E936" s="14">
        <f>MONTH(A936)</f>
        <v>7</v>
      </c>
      <c r="G936" s="1" t="s">
        <v>120</v>
      </c>
      <c r="H936" s="1">
        <v>155.9</v>
      </c>
      <c r="I936" s="1" t="s">
        <v>80</v>
      </c>
      <c r="J936" s="13">
        <f>VALUE(MID(I936,1,3))</f>
        <v>226</v>
      </c>
      <c r="K936" s="13">
        <f>VALUE(MID(G936,5,2))</f>
        <v>3</v>
      </c>
    </row>
    <row r="937" spans="1:11">
      <c r="A937" s="7">
        <v>40016</v>
      </c>
      <c r="B937" s="1">
        <v>216.91</v>
      </c>
      <c r="C937" s="1" t="s">
        <v>6</v>
      </c>
      <c r="D937" s="13">
        <f>VALUE(MID(C937,9,3))</f>
        <v>311</v>
      </c>
      <c r="E937" s="14">
        <f>MONTH(A937)</f>
        <v>7</v>
      </c>
      <c r="G937" s="1" t="s">
        <v>120</v>
      </c>
      <c r="H937" s="1">
        <v>22</v>
      </c>
      <c r="I937" s="1" t="s">
        <v>80</v>
      </c>
      <c r="J937" s="13">
        <f>VALUE(MID(I937,1,3))</f>
        <v>226</v>
      </c>
      <c r="K937" s="13">
        <f>VALUE(MID(G937,5,2))</f>
        <v>3</v>
      </c>
    </row>
    <row r="938" spans="1:11">
      <c r="A938" s="7">
        <v>40016</v>
      </c>
      <c r="B938" s="1">
        <v>414.46</v>
      </c>
      <c r="C938" s="1" t="s">
        <v>6</v>
      </c>
      <c r="D938" s="13">
        <f>VALUE(MID(C938,9,3))</f>
        <v>311</v>
      </c>
      <c r="E938" s="14">
        <f>MONTH(A938)</f>
        <v>7</v>
      </c>
      <c r="G938" s="1" t="s">
        <v>120</v>
      </c>
      <c r="H938" s="1">
        <v>18.75</v>
      </c>
      <c r="I938" s="1" t="s">
        <v>80</v>
      </c>
      <c r="J938" s="13">
        <f>VALUE(MID(I938,1,3))</f>
        <v>226</v>
      </c>
      <c r="K938" s="13">
        <f>VALUE(MID(G938,5,2))</f>
        <v>3</v>
      </c>
    </row>
    <row r="939" spans="1:11">
      <c r="A939" s="7">
        <v>40016</v>
      </c>
      <c r="B939" s="1">
        <v>809.56</v>
      </c>
      <c r="C939" s="1" t="s">
        <v>6</v>
      </c>
      <c r="D939" s="13">
        <f>VALUE(MID(C939,9,3))</f>
        <v>311</v>
      </c>
      <c r="E939" s="14">
        <f>MONTH(A939)</f>
        <v>7</v>
      </c>
      <c r="G939" s="1" t="s">
        <v>120</v>
      </c>
      <c r="H939" s="1">
        <v>67.2</v>
      </c>
      <c r="I939" s="1" t="s">
        <v>80</v>
      </c>
      <c r="J939" s="13">
        <f>VALUE(MID(I939,1,3))</f>
        <v>226</v>
      </c>
      <c r="K939" s="13">
        <f>VALUE(MID(G939,5,2))</f>
        <v>3</v>
      </c>
    </row>
    <row r="940" spans="1:11">
      <c r="A940" s="7">
        <v>40016</v>
      </c>
      <c r="B940" s="1">
        <v>404.66</v>
      </c>
      <c r="C940" s="1" t="s">
        <v>6</v>
      </c>
      <c r="D940" s="13">
        <f>VALUE(MID(C940,9,3))</f>
        <v>311</v>
      </c>
      <c r="E940" s="14">
        <f>MONTH(A940)</f>
        <v>7</v>
      </c>
      <c r="G940" s="1" t="s">
        <v>120</v>
      </c>
      <c r="H940" s="1">
        <v>4.25</v>
      </c>
      <c r="I940" s="1" t="s">
        <v>80</v>
      </c>
      <c r="J940" s="13">
        <f>VALUE(MID(I940,1,3))</f>
        <v>226</v>
      </c>
      <c r="K940" s="13">
        <f>VALUE(MID(G940,5,2))</f>
        <v>3</v>
      </c>
    </row>
    <row r="941" spans="1:11">
      <c r="A941" s="7">
        <v>40016</v>
      </c>
      <c r="B941" s="1">
        <v>374.95</v>
      </c>
      <c r="C941" s="1" t="s">
        <v>6</v>
      </c>
      <c r="D941" s="13">
        <f>VALUE(MID(C941,9,3))</f>
        <v>311</v>
      </c>
      <c r="E941" s="14">
        <f>MONTH(A941)</f>
        <v>7</v>
      </c>
      <c r="G941" s="1" t="s">
        <v>120</v>
      </c>
      <c r="H941" s="1">
        <v>177.7</v>
      </c>
      <c r="I941" s="1" t="s">
        <v>102</v>
      </c>
      <c r="J941" s="13">
        <f>VALUE(MID(I941,1,3))</f>
        <v>226</v>
      </c>
      <c r="K941" s="13">
        <f>VALUE(MID(G941,5,2))</f>
        <v>3</v>
      </c>
    </row>
    <row r="942" spans="1:11">
      <c r="A942" s="7">
        <v>40016</v>
      </c>
      <c r="B942" s="1">
        <v>216.91</v>
      </c>
      <c r="C942" s="1" t="s">
        <v>6</v>
      </c>
      <c r="D942" s="13">
        <f>VALUE(MID(C942,9,3))</f>
        <v>311</v>
      </c>
      <c r="E942" s="14">
        <f>MONTH(A942)</f>
        <v>7</v>
      </c>
      <c r="G942" s="1" t="s">
        <v>120</v>
      </c>
      <c r="H942" s="1">
        <v>845.39</v>
      </c>
      <c r="I942" s="1" t="s">
        <v>80</v>
      </c>
      <c r="J942" s="13">
        <f>VALUE(MID(I942,1,3))</f>
        <v>226</v>
      </c>
      <c r="K942" s="13">
        <f>VALUE(MID(G942,5,2))</f>
        <v>3</v>
      </c>
    </row>
    <row r="943" spans="1:11">
      <c r="A943" s="7">
        <v>40016</v>
      </c>
      <c r="B943" s="1">
        <v>328.81</v>
      </c>
      <c r="C943" s="1" t="s">
        <v>6</v>
      </c>
      <c r="D943" s="13">
        <f>VALUE(MID(C943,9,3))</f>
        <v>311</v>
      </c>
      <c r="E943" s="14">
        <f>MONTH(A943)</f>
        <v>7</v>
      </c>
      <c r="G943" s="1" t="s">
        <v>120</v>
      </c>
      <c r="H943" s="1">
        <v>128</v>
      </c>
      <c r="I943" s="1" t="s">
        <v>80</v>
      </c>
      <c r="J943" s="13">
        <f>VALUE(MID(I943,1,3))</f>
        <v>226</v>
      </c>
      <c r="K943" s="13">
        <f>VALUE(MID(G943,5,2))</f>
        <v>3</v>
      </c>
    </row>
    <row r="944" spans="1:11">
      <c r="A944" s="7">
        <v>40016</v>
      </c>
      <c r="B944" s="1">
        <v>1062.43</v>
      </c>
      <c r="C944" s="1" t="s">
        <v>6</v>
      </c>
      <c r="D944" s="13">
        <f>VALUE(MID(C944,9,3))</f>
        <v>311</v>
      </c>
      <c r="E944" s="14">
        <f>MONTH(A944)</f>
        <v>7</v>
      </c>
      <c r="G944" s="1" t="s">
        <v>120</v>
      </c>
      <c r="H944" s="1">
        <v>59.97</v>
      </c>
      <c r="I944" s="1" t="s">
        <v>80</v>
      </c>
      <c r="J944" s="13">
        <f>VALUE(MID(I944,1,3))</f>
        <v>226</v>
      </c>
      <c r="K944" s="13">
        <f>VALUE(MID(G944,5,2))</f>
        <v>3</v>
      </c>
    </row>
    <row r="945" spans="1:11">
      <c r="A945" s="7">
        <v>40016</v>
      </c>
      <c r="B945" s="1">
        <v>414.46</v>
      </c>
      <c r="C945" s="1" t="s">
        <v>6</v>
      </c>
      <c r="D945" s="13">
        <f>VALUE(MID(C945,9,3))</f>
        <v>311</v>
      </c>
      <c r="E945" s="14">
        <f>MONTH(A945)</f>
        <v>7</v>
      </c>
      <c r="G945" s="1" t="s">
        <v>120</v>
      </c>
      <c r="H945" s="1">
        <v>34.840000000000003</v>
      </c>
      <c r="I945" s="1" t="s">
        <v>100</v>
      </c>
      <c r="J945" s="13">
        <f>VALUE(MID(I945,1,3))</f>
        <v>226</v>
      </c>
      <c r="K945" s="13">
        <f>VALUE(MID(G945,5,2))</f>
        <v>3</v>
      </c>
    </row>
    <row r="946" spans="1:11">
      <c r="A946" s="7">
        <v>40016</v>
      </c>
      <c r="B946" s="1">
        <v>621.82000000000005</v>
      </c>
      <c r="C946" s="1" t="s">
        <v>6</v>
      </c>
      <c r="D946" s="13">
        <f>VALUE(MID(C946,9,3))</f>
        <v>311</v>
      </c>
      <c r="E946" s="14">
        <f>MONTH(A946)</f>
        <v>7</v>
      </c>
      <c r="G946" s="1" t="s">
        <v>120</v>
      </c>
      <c r="H946" s="1">
        <v>59.7</v>
      </c>
      <c r="I946" s="1" t="s">
        <v>80</v>
      </c>
      <c r="J946" s="13">
        <f>VALUE(MID(I946,1,3))</f>
        <v>226</v>
      </c>
      <c r="K946" s="13">
        <f>VALUE(MID(G946,5,2))</f>
        <v>3</v>
      </c>
    </row>
    <row r="947" spans="1:11">
      <c r="A947" s="7">
        <v>40016</v>
      </c>
      <c r="B947" s="1">
        <v>735.44</v>
      </c>
      <c r="C947" s="1" t="s">
        <v>6</v>
      </c>
      <c r="D947" s="13">
        <f>VALUE(MID(C947,9,3))</f>
        <v>311</v>
      </c>
      <c r="E947" s="14">
        <f>MONTH(A947)</f>
        <v>7</v>
      </c>
      <c r="G947" s="1" t="s">
        <v>120</v>
      </c>
      <c r="H947" s="1">
        <v>329.47</v>
      </c>
      <c r="I947" s="1" t="s">
        <v>80</v>
      </c>
      <c r="J947" s="13">
        <f>VALUE(MID(I947,1,3))</f>
        <v>226</v>
      </c>
      <c r="K947" s="13">
        <f>VALUE(MID(G947,5,2))</f>
        <v>3</v>
      </c>
    </row>
    <row r="948" spans="1:11">
      <c r="A948" s="7">
        <v>40078</v>
      </c>
      <c r="B948" s="1">
        <v>858.98</v>
      </c>
      <c r="C948" s="1" t="s">
        <v>7</v>
      </c>
      <c r="D948" s="13">
        <f>VALUE(MID(C948,9,3))</f>
        <v>311</v>
      </c>
      <c r="E948" s="14">
        <f>MONTH(A948)</f>
        <v>9</v>
      </c>
      <c r="G948" s="1" t="s">
        <v>120</v>
      </c>
      <c r="H948" s="1">
        <v>233.15</v>
      </c>
      <c r="I948" s="1" t="s">
        <v>80</v>
      </c>
      <c r="J948" s="13">
        <f>VALUE(MID(I948,1,3))</f>
        <v>226</v>
      </c>
      <c r="K948" s="13">
        <f>VALUE(MID(G948,5,2))</f>
        <v>3</v>
      </c>
    </row>
    <row r="949" spans="1:11">
      <c r="A949" s="7">
        <v>40078</v>
      </c>
      <c r="B949" s="1">
        <v>282.14999999999998</v>
      </c>
      <c r="C949" s="1" t="s">
        <v>13</v>
      </c>
      <c r="D949" s="13">
        <f>VALUE(MID(C949,9,3))</f>
        <v>311</v>
      </c>
      <c r="E949" s="14">
        <f>MONTH(A949)</f>
        <v>9</v>
      </c>
      <c r="G949" s="1" t="s">
        <v>120</v>
      </c>
      <c r="H949" s="1">
        <v>96.79</v>
      </c>
      <c r="I949" s="1" t="s">
        <v>80</v>
      </c>
      <c r="J949" s="13">
        <f>VALUE(MID(I949,1,3))</f>
        <v>226</v>
      </c>
      <c r="K949" s="13">
        <f>VALUE(MID(G949,5,2))</f>
        <v>3</v>
      </c>
    </row>
    <row r="950" spans="1:11">
      <c r="A950" s="7">
        <v>40078</v>
      </c>
      <c r="B950" s="1">
        <v>141.08000000000001</v>
      </c>
      <c r="C950" s="1" t="s">
        <v>13</v>
      </c>
      <c r="D950" s="13">
        <f>VALUE(MID(C950,9,3))</f>
        <v>311</v>
      </c>
      <c r="E950" s="14">
        <f>MONTH(A950)</f>
        <v>9</v>
      </c>
      <c r="G950" s="1" t="s">
        <v>120</v>
      </c>
      <c r="H950" s="1">
        <v>131.02000000000001</v>
      </c>
      <c r="I950" s="1" t="s">
        <v>100</v>
      </c>
      <c r="J950" s="13">
        <f>VALUE(MID(I950,1,3))</f>
        <v>226</v>
      </c>
      <c r="K950" s="13">
        <f>VALUE(MID(G950,5,2))</f>
        <v>3</v>
      </c>
    </row>
    <row r="951" spans="1:11">
      <c r="A951" s="7">
        <v>40078</v>
      </c>
      <c r="B951" s="1">
        <v>832.85</v>
      </c>
      <c r="C951" s="1" t="s">
        <v>5</v>
      </c>
      <c r="D951" s="13">
        <f>VALUE(MID(C951,9,3))</f>
        <v>311</v>
      </c>
      <c r="E951" s="14">
        <f>MONTH(A951)</f>
        <v>9</v>
      </c>
      <c r="G951" s="1" t="s">
        <v>120</v>
      </c>
      <c r="H951" s="1">
        <v>561</v>
      </c>
      <c r="I951" s="1" t="s">
        <v>100</v>
      </c>
      <c r="J951" s="13">
        <f>VALUE(MID(I951,1,3))</f>
        <v>226</v>
      </c>
      <c r="K951" s="13">
        <f>VALUE(MID(G951,5,2))</f>
        <v>3</v>
      </c>
    </row>
    <row r="952" spans="1:11">
      <c r="A952" s="7">
        <v>40078</v>
      </c>
      <c r="B952" s="1">
        <v>256.42</v>
      </c>
      <c r="C952" s="1" t="s">
        <v>6</v>
      </c>
      <c r="D952" s="13">
        <f>VALUE(MID(C952,9,3))</f>
        <v>311</v>
      </c>
      <c r="E952" s="14">
        <f>MONTH(A952)</f>
        <v>9</v>
      </c>
      <c r="G952" s="1" t="s">
        <v>120</v>
      </c>
      <c r="H952" s="1">
        <v>364</v>
      </c>
      <c r="I952" s="1" t="s">
        <v>100</v>
      </c>
      <c r="J952" s="13">
        <f>VALUE(MID(I952,1,3))</f>
        <v>226</v>
      </c>
      <c r="K952" s="13">
        <f>VALUE(MID(G952,5,2))</f>
        <v>3</v>
      </c>
    </row>
    <row r="953" spans="1:11">
      <c r="A953" s="7">
        <v>40078</v>
      </c>
      <c r="B953" s="1">
        <v>970</v>
      </c>
      <c r="C953" s="1" t="s">
        <v>39</v>
      </c>
      <c r="D953" s="13">
        <f>VALUE(MID(C953,9,3))</f>
        <v>311</v>
      </c>
      <c r="E953" s="14">
        <f>MONTH(A953)</f>
        <v>9</v>
      </c>
      <c r="G953" s="1" t="s">
        <v>120</v>
      </c>
      <c r="H953" s="1">
        <v>218.4</v>
      </c>
      <c r="I953" s="1" t="s">
        <v>100</v>
      </c>
      <c r="J953" s="13">
        <f>VALUE(MID(I953,1,3))</f>
        <v>226</v>
      </c>
      <c r="K953" s="13">
        <f>VALUE(MID(G953,5,2))</f>
        <v>3</v>
      </c>
    </row>
    <row r="954" spans="1:11">
      <c r="A954" s="7">
        <v>40078</v>
      </c>
      <c r="B954" s="1">
        <v>970</v>
      </c>
      <c r="C954" s="1" t="s">
        <v>39</v>
      </c>
      <c r="D954" s="13">
        <f>VALUE(MID(C954,9,3))</f>
        <v>311</v>
      </c>
      <c r="E954" s="14">
        <f>MONTH(A954)</f>
        <v>9</v>
      </c>
      <c r="G954" s="1" t="s">
        <v>129</v>
      </c>
      <c r="H954" s="1">
        <v>700</v>
      </c>
      <c r="I954" s="1" t="s">
        <v>80</v>
      </c>
      <c r="J954" s="13">
        <f>VALUE(MID(I954,1,3))</f>
        <v>226</v>
      </c>
      <c r="K954" s="13">
        <f>VALUE(MID(G954,5,2))</f>
        <v>3</v>
      </c>
    </row>
    <row r="955" spans="1:11">
      <c r="A955" s="7">
        <v>40078</v>
      </c>
      <c r="B955" s="1">
        <v>970</v>
      </c>
      <c r="C955" s="1" t="s">
        <v>39</v>
      </c>
      <c r="D955" s="13">
        <f>VALUE(MID(C955,9,3))</f>
        <v>311</v>
      </c>
      <c r="E955" s="14">
        <f>MONTH(A955)</f>
        <v>9</v>
      </c>
      <c r="G955" s="1" t="s">
        <v>130</v>
      </c>
      <c r="H955" s="1">
        <v>-546.26</v>
      </c>
      <c r="I955" s="1" t="s">
        <v>80</v>
      </c>
      <c r="J955" s="13">
        <f>VALUE(MID(I955,1,3))</f>
        <v>226</v>
      </c>
      <c r="K955" s="13">
        <f>VALUE(MID(G955,5,2))</f>
        <v>3</v>
      </c>
    </row>
    <row r="956" spans="1:11">
      <c r="A956" s="7">
        <v>40078</v>
      </c>
      <c r="B956" s="1">
        <v>111.9</v>
      </c>
      <c r="C956" s="1" t="s">
        <v>30</v>
      </c>
      <c r="D956" s="13">
        <f>VALUE(MID(C956,9,3))</f>
        <v>311</v>
      </c>
      <c r="E956" s="14">
        <f>MONTH(A956)</f>
        <v>9</v>
      </c>
      <c r="G956" s="1" t="s">
        <v>130</v>
      </c>
      <c r="H956" s="1">
        <v>30</v>
      </c>
      <c r="I956" s="1" t="s">
        <v>100</v>
      </c>
      <c r="J956" s="13">
        <f>VALUE(MID(I956,1,3))</f>
        <v>226</v>
      </c>
      <c r="K956" s="13">
        <f>VALUE(MID(G956,5,2))</f>
        <v>3</v>
      </c>
    </row>
    <row r="957" spans="1:11">
      <c r="A957" s="7">
        <v>40078</v>
      </c>
      <c r="B957" s="1">
        <v>111.9</v>
      </c>
      <c r="C957" s="1" t="s">
        <v>30</v>
      </c>
      <c r="D957" s="13">
        <f>VALUE(MID(C957,9,3))</f>
        <v>311</v>
      </c>
      <c r="E957" s="14">
        <f>MONTH(A957)</f>
        <v>9</v>
      </c>
      <c r="G957" s="1" t="s">
        <v>139</v>
      </c>
      <c r="H957" s="1">
        <v>330</v>
      </c>
      <c r="I957" s="1" t="s">
        <v>80</v>
      </c>
      <c r="J957" s="13">
        <f>VALUE(MID(I957,1,3))</f>
        <v>226</v>
      </c>
      <c r="K957" s="13">
        <f>VALUE(MID(G957,5,2))</f>
        <v>4</v>
      </c>
    </row>
    <row r="958" spans="1:11">
      <c r="A958" s="7">
        <v>40078</v>
      </c>
      <c r="B958" s="1">
        <v>300</v>
      </c>
      <c r="C958" s="1" t="s">
        <v>20</v>
      </c>
      <c r="D958" s="13">
        <f>VALUE(MID(C958,9,3))</f>
        <v>311</v>
      </c>
      <c r="E958" s="14">
        <f>MONTH(A958)</f>
        <v>9</v>
      </c>
      <c r="G958" s="1" t="s">
        <v>139</v>
      </c>
      <c r="H958" s="1">
        <v>492</v>
      </c>
      <c r="I958" s="1" t="s">
        <v>80</v>
      </c>
      <c r="J958" s="13">
        <f>VALUE(MID(I958,1,3))</f>
        <v>226</v>
      </c>
      <c r="K958" s="13">
        <f>VALUE(MID(G958,5,2))</f>
        <v>4</v>
      </c>
    </row>
    <row r="959" spans="1:11">
      <c r="A959" s="7">
        <v>40078</v>
      </c>
      <c r="B959" s="1">
        <v>300</v>
      </c>
      <c r="C959" s="1" t="s">
        <v>20</v>
      </c>
      <c r="D959" s="13">
        <f>VALUE(MID(C959,9,3))</f>
        <v>311</v>
      </c>
      <c r="E959" s="14">
        <f>MONTH(A959)</f>
        <v>9</v>
      </c>
      <c r="G959" s="1" t="s">
        <v>139</v>
      </c>
      <c r="H959" s="1">
        <v>900</v>
      </c>
      <c r="I959" s="1" t="s">
        <v>100</v>
      </c>
      <c r="J959" s="13">
        <f>VALUE(MID(I959,1,3))</f>
        <v>226</v>
      </c>
      <c r="K959" s="13">
        <f>VALUE(MID(G959,5,2))</f>
        <v>4</v>
      </c>
    </row>
    <row r="960" spans="1:11">
      <c r="A960" s="7">
        <v>40108</v>
      </c>
      <c r="B960" s="1">
        <v>820</v>
      </c>
      <c r="C960" s="1" t="s">
        <v>58</v>
      </c>
      <c r="D960" s="13">
        <f>VALUE(MID(C960,9,3))</f>
        <v>311</v>
      </c>
      <c r="E960" s="14">
        <f>MONTH(A960)</f>
        <v>10</v>
      </c>
      <c r="G960" s="1" t="s">
        <v>139</v>
      </c>
      <c r="H960" s="1">
        <v>13.75</v>
      </c>
      <c r="I960" s="1" t="s">
        <v>80</v>
      </c>
      <c r="J960" s="13">
        <f>VALUE(MID(I960,1,3))</f>
        <v>226</v>
      </c>
      <c r="K960" s="13">
        <f>VALUE(MID(G960,5,2))</f>
        <v>4</v>
      </c>
    </row>
    <row r="961" spans="1:11">
      <c r="A961" s="7">
        <v>39836</v>
      </c>
      <c r="B961" s="1">
        <v>1350</v>
      </c>
      <c r="C961" s="1" t="s">
        <v>27</v>
      </c>
      <c r="D961" s="13">
        <f>VALUE(MID(C961,9,3))</f>
        <v>311</v>
      </c>
      <c r="E961" s="14">
        <f>MONTH(A961)</f>
        <v>1</v>
      </c>
      <c r="G961" s="1" t="s">
        <v>139</v>
      </c>
      <c r="H961" s="1">
        <v>216</v>
      </c>
      <c r="I961" s="1" t="s">
        <v>80</v>
      </c>
      <c r="J961" s="13">
        <f>VALUE(MID(I961,1,3))</f>
        <v>226</v>
      </c>
      <c r="K961" s="13">
        <f>VALUE(MID(G961,5,2))</f>
        <v>4</v>
      </c>
    </row>
    <row r="962" spans="1:11">
      <c r="A962" s="7">
        <v>39836</v>
      </c>
      <c r="B962" s="1">
        <v>1350</v>
      </c>
      <c r="C962" s="1" t="s">
        <v>27</v>
      </c>
      <c r="D962" s="13">
        <f>VALUE(MID(C962,9,3))</f>
        <v>311</v>
      </c>
      <c r="E962" s="14">
        <f>MONTH(A962)</f>
        <v>1</v>
      </c>
      <c r="G962" s="1" t="s">
        <v>139</v>
      </c>
      <c r="H962" s="1">
        <v>90</v>
      </c>
      <c r="I962" s="1" t="s">
        <v>80</v>
      </c>
      <c r="J962" s="13">
        <f>VALUE(MID(I962,1,3))</f>
        <v>226</v>
      </c>
      <c r="K962" s="13">
        <f>VALUE(MID(G962,5,2))</f>
        <v>4</v>
      </c>
    </row>
    <row r="963" spans="1:11">
      <c r="A963" s="7">
        <v>39836</v>
      </c>
      <c r="B963" s="1">
        <v>1350</v>
      </c>
      <c r="C963" s="1" t="s">
        <v>27</v>
      </c>
      <c r="D963" s="13">
        <f>VALUE(MID(C963,9,3))</f>
        <v>311</v>
      </c>
      <c r="E963" s="14">
        <f>MONTH(A963)</f>
        <v>1</v>
      </c>
      <c r="G963" s="1" t="s">
        <v>139</v>
      </c>
      <c r="H963" s="1">
        <v>26</v>
      </c>
      <c r="I963" s="1" t="s">
        <v>80</v>
      </c>
      <c r="J963" s="13">
        <f>VALUE(MID(I963,1,3))</f>
        <v>226</v>
      </c>
      <c r="K963" s="13">
        <f>VALUE(MID(G963,5,2))</f>
        <v>4</v>
      </c>
    </row>
    <row r="964" spans="1:11">
      <c r="A964" s="7">
        <v>39836</v>
      </c>
      <c r="B964" s="1">
        <v>1350</v>
      </c>
      <c r="C964" s="1" t="s">
        <v>27</v>
      </c>
      <c r="D964" s="13">
        <f>VALUE(MID(C964,9,3))</f>
        <v>311</v>
      </c>
      <c r="E964" s="14">
        <f>MONTH(A964)</f>
        <v>1</v>
      </c>
      <c r="G964" s="1" t="s">
        <v>139</v>
      </c>
      <c r="H964" s="1">
        <v>520.23</v>
      </c>
      <c r="I964" s="1" t="s">
        <v>100</v>
      </c>
      <c r="J964" s="13">
        <f>VALUE(MID(I964,1,3))</f>
        <v>226</v>
      </c>
      <c r="K964" s="13">
        <f>VALUE(MID(G964,5,2))</f>
        <v>4</v>
      </c>
    </row>
    <row r="965" spans="1:11">
      <c r="A965" s="7">
        <v>39836</v>
      </c>
      <c r="B965" s="1">
        <v>1350</v>
      </c>
      <c r="C965" s="1" t="s">
        <v>27</v>
      </c>
      <c r="D965" s="13">
        <f>VALUE(MID(C965,9,3))</f>
        <v>311</v>
      </c>
      <c r="E965" s="14">
        <f>MONTH(A965)</f>
        <v>1</v>
      </c>
      <c r="G965" s="1" t="s">
        <v>139</v>
      </c>
      <c r="H965" s="1">
        <v>536</v>
      </c>
      <c r="I965" s="1" t="s">
        <v>100</v>
      </c>
      <c r="J965" s="13">
        <f>VALUE(MID(I965,1,3))</f>
        <v>226</v>
      </c>
      <c r="K965" s="13">
        <f>VALUE(MID(G965,5,2))</f>
        <v>4</v>
      </c>
    </row>
    <row r="966" spans="1:11">
      <c r="A966" s="7">
        <v>39836</v>
      </c>
      <c r="B966" s="1">
        <v>1350</v>
      </c>
      <c r="C966" s="1" t="s">
        <v>27</v>
      </c>
      <c r="D966" s="13">
        <f>VALUE(MID(C966,9,3))</f>
        <v>311</v>
      </c>
      <c r="E966" s="14">
        <f>MONTH(A966)</f>
        <v>1</v>
      </c>
      <c r="G966" s="1" t="s">
        <v>139</v>
      </c>
      <c r="H966" s="1">
        <v>576</v>
      </c>
      <c r="I966" s="1" t="s">
        <v>80</v>
      </c>
      <c r="J966" s="13">
        <f>VALUE(MID(I966,1,3))</f>
        <v>226</v>
      </c>
      <c r="K966" s="13">
        <f>VALUE(MID(G966,5,2))</f>
        <v>4</v>
      </c>
    </row>
    <row r="967" spans="1:11">
      <c r="A967" s="7">
        <v>39836</v>
      </c>
      <c r="B967" s="1">
        <v>150</v>
      </c>
      <c r="C967" s="1" t="s">
        <v>41</v>
      </c>
      <c r="D967" s="13">
        <f>VALUE(MID(C967,9,3))</f>
        <v>311</v>
      </c>
      <c r="E967" s="14">
        <f>MONTH(A967)</f>
        <v>1</v>
      </c>
      <c r="G967" s="1" t="s">
        <v>139</v>
      </c>
      <c r="H967" s="1">
        <v>29.1</v>
      </c>
      <c r="I967" s="1" t="s">
        <v>80</v>
      </c>
      <c r="J967" s="13">
        <f>VALUE(MID(I967,1,3))</f>
        <v>226</v>
      </c>
      <c r="K967" s="13">
        <f>VALUE(MID(G967,5,2))</f>
        <v>4</v>
      </c>
    </row>
    <row r="968" spans="1:11">
      <c r="A968" s="7">
        <v>39836</v>
      </c>
      <c r="B968" s="1">
        <v>150</v>
      </c>
      <c r="C968" s="1" t="s">
        <v>41</v>
      </c>
      <c r="D968" s="13">
        <f>VALUE(MID(C968,9,3))</f>
        <v>311</v>
      </c>
      <c r="E968" s="14">
        <f>MONTH(A968)</f>
        <v>1</v>
      </c>
      <c r="G968" s="1" t="s">
        <v>139</v>
      </c>
      <c r="H968" s="1">
        <v>427.84</v>
      </c>
      <c r="I968" s="1" t="s">
        <v>100</v>
      </c>
      <c r="J968" s="13">
        <f>VALUE(MID(I968,1,3))</f>
        <v>226</v>
      </c>
      <c r="K968" s="13">
        <f>VALUE(MID(G968,5,2))</f>
        <v>4</v>
      </c>
    </row>
    <row r="969" spans="1:11">
      <c r="A969" s="7">
        <v>39836</v>
      </c>
      <c r="B969" s="1">
        <v>60</v>
      </c>
      <c r="C969" s="1" t="s">
        <v>31</v>
      </c>
      <c r="D969" s="13">
        <f>VALUE(MID(C969,9,3))</f>
        <v>311</v>
      </c>
      <c r="E969" s="14">
        <f>MONTH(A969)</f>
        <v>1</v>
      </c>
      <c r="G969" s="1" t="s">
        <v>139</v>
      </c>
      <c r="H969" s="1">
        <v>168</v>
      </c>
      <c r="I969" s="1" t="s">
        <v>80</v>
      </c>
      <c r="J969" s="13">
        <f>VALUE(MID(I969,1,3))</f>
        <v>226</v>
      </c>
      <c r="K969" s="13">
        <f>VALUE(MID(G969,5,2))</f>
        <v>4</v>
      </c>
    </row>
    <row r="970" spans="1:11">
      <c r="A970" s="7">
        <v>39895</v>
      </c>
      <c r="B970" s="1">
        <v>75</v>
      </c>
      <c r="C970" s="1" t="s">
        <v>21</v>
      </c>
      <c r="D970" s="13">
        <f>VALUE(MID(C970,9,3))</f>
        <v>311</v>
      </c>
      <c r="E970" s="14">
        <f>MONTH(A970)</f>
        <v>3</v>
      </c>
      <c r="G970" s="1" t="s">
        <v>139</v>
      </c>
      <c r="H970" s="1">
        <v>315.45</v>
      </c>
      <c r="I970" s="1" t="s">
        <v>80</v>
      </c>
      <c r="J970" s="13">
        <f>VALUE(MID(I970,1,3))</f>
        <v>226</v>
      </c>
      <c r="K970" s="13">
        <f>VALUE(MID(G970,5,2))</f>
        <v>4</v>
      </c>
    </row>
    <row r="971" spans="1:11">
      <c r="A971" s="7">
        <v>39926</v>
      </c>
      <c r="B971" s="1">
        <v>200</v>
      </c>
      <c r="C971" s="1" t="s">
        <v>35</v>
      </c>
      <c r="D971" s="13">
        <f>VALUE(MID(C971,9,3))</f>
        <v>311</v>
      </c>
      <c r="E971" s="14">
        <f>MONTH(A971)</f>
        <v>4</v>
      </c>
      <c r="G971" s="1" t="s">
        <v>139</v>
      </c>
      <c r="H971" s="1">
        <v>106.08</v>
      </c>
      <c r="I971" s="1" t="s">
        <v>80</v>
      </c>
      <c r="J971" s="13">
        <f>VALUE(MID(I971,1,3))</f>
        <v>226</v>
      </c>
      <c r="K971" s="13">
        <f>VALUE(MID(G971,5,2))</f>
        <v>4</v>
      </c>
    </row>
    <row r="972" spans="1:11">
      <c r="A972" s="7">
        <v>40017</v>
      </c>
      <c r="B972" s="1">
        <v>414.46</v>
      </c>
      <c r="C972" s="1" t="s">
        <v>5</v>
      </c>
      <c r="D972" s="13">
        <f>VALUE(MID(C972,9,3))</f>
        <v>311</v>
      </c>
      <c r="E972" s="14">
        <f>MONTH(A972)</f>
        <v>7</v>
      </c>
      <c r="G972" s="1" t="s">
        <v>139</v>
      </c>
      <c r="H972" s="1">
        <v>276.77999999999997</v>
      </c>
      <c r="I972" s="1" t="s">
        <v>80</v>
      </c>
      <c r="J972" s="13">
        <f>VALUE(MID(I972,1,3))</f>
        <v>226</v>
      </c>
      <c r="K972" s="13">
        <f>VALUE(MID(G972,5,2))</f>
        <v>4</v>
      </c>
    </row>
    <row r="973" spans="1:11">
      <c r="A973" s="7">
        <v>40017</v>
      </c>
      <c r="B973" s="1">
        <v>295.93</v>
      </c>
      <c r="C973" s="1" t="s">
        <v>6</v>
      </c>
      <c r="D973" s="13">
        <f>VALUE(MID(C973,9,3))</f>
        <v>311</v>
      </c>
      <c r="E973" s="14">
        <f>MONTH(A973)</f>
        <v>7</v>
      </c>
      <c r="G973" s="1" t="s">
        <v>145</v>
      </c>
      <c r="H973" s="1">
        <v>82.5</v>
      </c>
      <c r="I973" s="1" t="s">
        <v>80</v>
      </c>
      <c r="J973" s="13">
        <f>VALUE(MID(I973,1,3))</f>
        <v>226</v>
      </c>
      <c r="K973" s="13">
        <f>VALUE(MID(G973,5,2))</f>
        <v>4</v>
      </c>
    </row>
    <row r="974" spans="1:11">
      <c r="A974" s="7">
        <v>40017</v>
      </c>
      <c r="B974" s="1">
        <v>743.71</v>
      </c>
      <c r="C974" s="1" t="s">
        <v>6</v>
      </c>
      <c r="D974" s="13">
        <f>VALUE(MID(C974,9,3))</f>
        <v>311</v>
      </c>
      <c r="E974" s="14">
        <f>MONTH(A974)</f>
        <v>7</v>
      </c>
      <c r="G974" s="1" t="s">
        <v>152</v>
      </c>
      <c r="H974" s="1">
        <v>5295</v>
      </c>
      <c r="I974" s="1" t="s">
        <v>155</v>
      </c>
      <c r="J974" s="13">
        <f>VALUE(MID(I974,1,3))</f>
        <v>226</v>
      </c>
      <c r="K974" s="13">
        <f>VALUE(MID(G974,5,2))</f>
        <v>5</v>
      </c>
    </row>
    <row r="975" spans="1:11">
      <c r="A975" s="7">
        <v>40017</v>
      </c>
      <c r="B975" s="1">
        <v>453.96</v>
      </c>
      <c r="C975" s="1" t="s">
        <v>6</v>
      </c>
      <c r="D975" s="13">
        <f>VALUE(MID(C975,9,3))</f>
        <v>311</v>
      </c>
      <c r="E975" s="14">
        <f>MONTH(A975)</f>
        <v>7</v>
      </c>
      <c r="G975" s="1" t="s">
        <v>152</v>
      </c>
      <c r="H975" s="1">
        <v>500</v>
      </c>
      <c r="I975" s="1" t="s">
        <v>155</v>
      </c>
      <c r="J975" s="13">
        <f>VALUE(MID(I975,1,3))</f>
        <v>226</v>
      </c>
      <c r="K975" s="13">
        <f>VALUE(MID(G975,5,2))</f>
        <v>5</v>
      </c>
    </row>
    <row r="976" spans="1:11">
      <c r="A976" s="7">
        <v>40017</v>
      </c>
      <c r="B976" s="1">
        <v>248.92</v>
      </c>
      <c r="C976" s="1" t="s">
        <v>6</v>
      </c>
      <c r="D976" s="13">
        <f>VALUE(MID(C976,9,3))</f>
        <v>311</v>
      </c>
      <c r="E976" s="14">
        <f>MONTH(A976)</f>
        <v>7</v>
      </c>
      <c r="G976" s="1" t="s">
        <v>152</v>
      </c>
      <c r="H976" s="1">
        <v>17.8</v>
      </c>
      <c r="I976" s="1" t="s">
        <v>100</v>
      </c>
      <c r="J976" s="13">
        <f>VALUE(MID(I976,1,3))</f>
        <v>226</v>
      </c>
      <c r="K976" s="13">
        <f>VALUE(MID(G976,5,2))</f>
        <v>5</v>
      </c>
    </row>
    <row r="977" spans="1:11">
      <c r="A977" s="7">
        <v>40017</v>
      </c>
      <c r="B977" s="1">
        <v>207.23</v>
      </c>
      <c r="C977" s="1" t="s">
        <v>6</v>
      </c>
      <c r="D977" s="13">
        <f>VALUE(MID(C977,9,3))</f>
        <v>311</v>
      </c>
      <c r="E977" s="14">
        <f>MONTH(A977)</f>
        <v>7</v>
      </c>
      <c r="G977" s="1" t="s">
        <v>152</v>
      </c>
      <c r="H977" s="1">
        <v>350</v>
      </c>
      <c r="I977" s="1" t="s">
        <v>80</v>
      </c>
      <c r="J977" s="13">
        <f>VALUE(MID(I977,1,3))</f>
        <v>226</v>
      </c>
      <c r="K977" s="13">
        <f>VALUE(MID(G977,5,2))</f>
        <v>5</v>
      </c>
    </row>
    <row r="978" spans="1:11">
      <c r="A978" s="7">
        <v>40017</v>
      </c>
      <c r="B978" s="1">
        <v>447.34</v>
      </c>
      <c r="C978" s="1" t="s">
        <v>6</v>
      </c>
      <c r="D978" s="13">
        <f>VALUE(MID(C978,9,3))</f>
        <v>311</v>
      </c>
      <c r="E978" s="14">
        <f>MONTH(A978)</f>
        <v>7</v>
      </c>
      <c r="G978" s="1" t="s">
        <v>152</v>
      </c>
      <c r="H978" s="1">
        <v>6.53</v>
      </c>
      <c r="I978" s="1" t="s">
        <v>80</v>
      </c>
      <c r="J978" s="13">
        <f>VALUE(MID(I978,1,3))</f>
        <v>226</v>
      </c>
      <c r="K978" s="13">
        <f>VALUE(MID(G978,5,2))</f>
        <v>5</v>
      </c>
    </row>
    <row r="979" spans="1:11">
      <c r="A979" s="7">
        <v>40017</v>
      </c>
      <c r="B979" s="1">
        <v>340.34</v>
      </c>
      <c r="C979" s="1" t="s">
        <v>6</v>
      </c>
      <c r="D979" s="13">
        <f>VALUE(MID(C979,9,3))</f>
        <v>311</v>
      </c>
      <c r="E979" s="14">
        <f>MONTH(A979)</f>
        <v>7</v>
      </c>
      <c r="G979" s="1" t="s">
        <v>152</v>
      </c>
      <c r="H979" s="1">
        <v>18.53</v>
      </c>
      <c r="I979" s="1" t="s">
        <v>80</v>
      </c>
      <c r="J979" s="13">
        <f>VALUE(MID(I979,1,3))</f>
        <v>226</v>
      </c>
      <c r="K979" s="13">
        <f>VALUE(MID(G979,5,2))</f>
        <v>5</v>
      </c>
    </row>
    <row r="980" spans="1:11">
      <c r="A980" s="7">
        <v>40017</v>
      </c>
      <c r="B980" s="1">
        <v>374.95</v>
      </c>
      <c r="C980" s="1" t="s">
        <v>6</v>
      </c>
      <c r="D980" s="13">
        <f>VALUE(MID(C980,9,3))</f>
        <v>311</v>
      </c>
      <c r="E980" s="14">
        <f>MONTH(A980)</f>
        <v>7</v>
      </c>
      <c r="G980" s="1" t="s">
        <v>152</v>
      </c>
      <c r="H980" s="1">
        <v>80.650000000000006</v>
      </c>
      <c r="I980" s="1" t="s">
        <v>80</v>
      </c>
      <c r="J980" s="13">
        <f>VALUE(MID(I980,1,3))</f>
        <v>226</v>
      </c>
      <c r="K980" s="13">
        <f>VALUE(MID(G980,5,2))</f>
        <v>5</v>
      </c>
    </row>
    <row r="981" spans="1:11">
      <c r="A981" s="7">
        <v>40017</v>
      </c>
      <c r="B981" s="1">
        <v>471.46</v>
      </c>
      <c r="C981" s="1" t="s">
        <v>6</v>
      </c>
      <c r="D981" s="13">
        <f>VALUE(MID(C981,9,3))</f>
        <v>311</v>
      </c>
      <c r="E981" s="14">
        <f>MONTH(A981)</f>
        <v>7</v>
      </c>
      <c r="G981" s="1" t="s">
        <v>152</v>
      </c>
      <c r="H981" s="1">
        <v>46.75</v>
      </c>
      <c r="I981" s="1" t="s">
        <v>80</v>
      </c>
      <c r="J981" s="13">
        <f>VALUE(MID(I981,1,3))</f>
        <v>226</v>
      </c>
      <c r="K981" s="13">
        <f>VALUE(MID(G981,5,2))</f>
        <v>5</v>
      </c>
    </row>
    <row r="982" spans="1:11">
      <c r="A982" s="7">
        <v>40017</v>
      </c>
      <c r="B982" s="1">
        <v>493.48</v>
      </c>
      <c r="C982" s="1" t="s">
        <v>6</v>
      </c>
      <c r="D982" s="13">
        <f>VALUE(MID(C982,9,3))</f>
        <v>311</v>
      </c>
      <c r="E982" s="14">
        <f>MONTH(A982)</f>
        <v>7</v>
      </c>
      <c r="G982" s="1" t="s">
        <v>152</v>
      </c>
      <c r="H982" s="1">
        <v>1638</v>
      </c>
      <c r="I982" s="1" t="s">
        <v>102</v>
      </c>
      <c r="J982" s="13">
        <f>VALUE(MID(I982,1,3))</f>
        <v>226</v>
      </c>
      <c r="K982" s="13">
        <f>VALUE(MID(G982,5,2))</f>
        <v>5</v>
      </c>
    </row>
    <row r="983" spans="1:11">
      <c r="A983" s="7">
        <v>40017</v>
      </c>
      <c r="B983" s="1">
        <v>691.03</v>
      </c>
      <c r="C983" s="1" t="s">
        <v>6</v>
      </c>
      <c r="D983" s="13">
        <f>VALUE(MID(C983,9,3))</f>
        <v>311</v>
      </c>
      <c r="E983" s="14">
        <f>MONTH(A983)</f>
        <v>7</v>
      </c>
      <c r="G983" s="1" t="s">
        <v>152</v>
      </c>
      <c r="H983" s="1">
        <v>535</v>
      </c>
      <c r="I983" s="1" t="s">
        <v>100</v>
      </c>
      <c r="J983" s="13">
        <f>VALUE(MID(I983,1,3))</f>
        <v>226</v>
      </c>
      <c r="K983" s="13">
        <f>VALUE(MID(G983,5,2))</f>
        <v>5</v>
      </c>
    </row>
    <row r="984" spans="1:11">
      <c r="A984" s="7">
        <v>40017</v>
      </c>
      <c r="B984" s="1">
        <v>414.46</v>
      </c>
      <c r="C984" s="1" t="s">
        <v>6</v>
      </c>
      <c r="D984" s="13">
        <f>VALUE(MID(C984,9,3))</f>
        <v>311</v>
      </c>
      <c r="E984" s="14">
        <f>MONTH(A984)</f>
        <v>7</v>
      </c>
      <c r="G984" s="1" t="s">
        <v>152</v>
      </c>
      <c r="H984" s="1">
        <v>50</v>
      </c>
      <c r="I984" s="1" t="s">
        <v>100</v>
      </c>
      <c r="J984" s="13">
        <f>VALUE(MID(I984,1,3))</f>
        <v>226</v>
      </c>
      <c r="K984" s="13">
        <f>VALUE(MID(G984,5,2))</f>
        <v>5</v>
      </c>
    </row>
    <row r="985" spans="1:11">
      <c r="A985" s="7">
        <v>40079</v>
      </c>
      <c r="B985" s="1">
        <v>215.5</v>
      </c>
      <c r="C985" s="1" t="s">
        <v>42</v>
      </c>
      <c r="D985" s="13">
        <f>VALUE(MID(C985,9,3))</f>
        <v>311</v>
      </c>
      <c r="E985" s="14">
        <f>MONTH(A985)</f>
        <v>9</v>
      </c>
      <c r="G985" s="1" t="s">
        <v>152</v>
      </c>
      <c r="H985" s="1">
        <v>437.84</v>
      </c>
      <c r="I985" s="1" t="s">
        <v>102</v>
      </c>
      <c r="J985" s="13">
        <f>VALUE(MID(I985,1,3))</f>
        <v>226</v>
      </c>
      <c r="K985" s="13">
        <f>VALUE(MID(G985,5,2))</f>
        <v>5</v>
      </c>
    </row>
    <row r="986" spans="1:11">
      <c r="A986" s="7">
        <v>40079</v>
      </c>
      <c r="B986" s="1">
        <v>360.71</v>
      </c>
      <c r="C986" s="1" t="s">
        <v>8</v>
      </c>
      <c r="D986" s="13">
        <f>VALUE(MID(C986,9,3))</f>
        <v>311</v>
      </c>
      <c r="E986" s="14">
        <f>MONTH(A986)</f>
        <v>9</v>
      </c>
      <c r="G986" s="1" t="s">
        <v>152</v>
      </c>
      <c r="H986" s="1">
        <v>608.17999999999995</v>
      </c>
      <c r="I986" s="1" t="s">
        <v>80</v>
      </c>
      <c r="J986" s="13">
        <f>VALUE(MID(I986,1,3))</f>
        <v>226</v>
      </c>
      <c r="K986" s="13">
        <f>VALUE(MID(G986,5,2))</f>
        <v>5</v>
      </c>
    </row>
    <row r="987" spans="1:11">
      <c r="A987" s="7">
        <v>40079</v>
      </c>
      <c r="B987" s="1">
        <v>846.45</v>
      </c>
      <c r="C987" s="1" t="s">
        <v>13</v>
      </c>
      <c r="D987" s="13">
        <f>VALUE(MID(C987,9,3))</f>
        <v>311</v>
      </c>
      <c r="E987" s="14">
        <f>MONTH(A987)</f>
        <v>9</v>
      </c>
      <c r="G987" s="1" t="s">
        <v>152</v>
      </c>
      <c r="H987" s="1">
        <v>49.67</v>
      </c>
      <c r="I987" s="1" t="s">
        <v>80</v>
      </c>
      <c r="J987" s="13">
        <f>VALUE(MID(I987,1,3))</f>
        <v>226</v>
      </c>
      <c r="K987" s="13">
        <f>VALUE(MID(G987,5,2))</f>
        <v>5</v>
      </c>
    </row>
    <row r="988" spans="1:11">
      <c r="A988" s="7">
        <v>40079</v>
      </c>
      <c r="B988" s="1">
        <v>125.4</v>
      </c>
      <c r="C988" s="1" t="s">
        <v>13</v>
      </c>
      <c r="D988" s="13">
        <f>VALUE(MID(C988,9,3))</f>
        <v>311</v>
      </c>
      <c r="E988" s="14">
        <f>MONTH(A988)</f>
        <v>9</v>
      </c>
      <c r="G988" s="1" t="s">
        <v>152</v>
      </c>
      <c r="H988" s="1">
        <v>504</v>
      </c>
      <c r="I988" s="1" t="s">
        <v>80</v>
      </c>
      <c r="J988" s="13">
        <f>VALUE(MID(I988,1,3))</f>
        <v>226</v>
      </c>
      <c r="K988" s="13">
        <f>VALUE(MID(G988,5,2))</f>
        <v>5</v>
      </c>
    </row>
    <row r="989" spans="1:11">
      <c r="A989" s="7">
        <v>40079</v>
      </c>
      <c r="B989" s="1">
        <v>111.9</v>
      </c>
      <c r="C989" s="1" t="s">
        <v>30</v>
      </c>
      <c r="D989" s="13">
        <f>VALUE(MID(C989,9,3))</f>
        <v>311</v>
      </c>
      <c r="E989" s="14">
        <f>MONTH(A989)</f>
        <v>9</v>
      </c>
      <c r="G989" s="1" t="s">
        <v>152</v>
      </c>
      <c r="H989" s="1">
        <v>184.6</v>
      </c>
      <c r="I989" s="1" t="s">
        <v>80</v>
      </c>
      <c r="J989" s="13">
        <f>VALUE(MID(I989,1,3))</f>
        <v>226</v>
      </c>
      <c r="K989" s="13">
        <f>VALUE(MID(G989,5,2))</f>
        <v>5</v>
      </c>
    </row>
    <row r="990" spans="1:11">
      <c r="A990" s="7">
        <v>40079</v>
      </c>
      <c r="B990" s="1">
        <v>111.9</v>
      </c>
      <c r="C990" s="1" t="s">
        <v>30</v>
      </c>
      <c r="D990" s="13">
        <f>VALUE(MID(C990,9,3))</f>
        <v>311</v>
      </c>
      <c r="E990" s="14">
        <f>MONTH(A990)</f>
        <v>9</v>
      </c>
      <c r="G990" s="1" t="s">
        <v>152</v>
      </c>
      <c r="H990" s="1">
        <v>142.6</v>
      </c>
      <c r="I990" s="1" t="s">
        <v>80</v>
      </c>
      <c r="J990" s="13">
        <f>VALUE(MID(I990,1,3))</f>
        <v>226</v>
      </c>
      <c r="K990" s="13">
        <f>VALUE(MID(G990,5,2))</f>
        <v>5</v>
      </c>
    </row>
    <row r="991" spans="1:11">
      <c r="A991" s="7">
        <v>40079</v>
      </c>
      <c r="B991" s="1">
        <v>111.9</v>
      </c>
      <c r="C991" s="1" t="s">
        <v>30</v>
      </c>
      <c r="D991" s="13">
        <f>VALUE(MID(C991,9,3))</f>
        <v>311</v>
      </c>
      <c r="E991" s="14">
        <f>MONTH(A991)</f>
        <v>9</v>
      </c>
      <c r="G991" s="1" t="s">
        <v>152</v>
      </c>
      <c r="H991" s="1">
        <v>471</v>
      </c>
      <c r="I991" s="1" t="s">
        <v>80</v>
      </c>
      <c r="J991" s="13">
        <f>VALUE(MID(I991,1,3))</f>
        <v>226</v>
      </c>
      <c r="K991" s="13">
        <f>VALUE(MID(G991,5,2))</f>
        <v>5</v>
      </c>
    </row>
    <row r="992" spans="1:11">
      <c r="A992" s="7">
        <v>40079</v>
      </c>
      <c r="B992" s="1">
        <v>300</v>
      </c>
      <c r="C992" s="1" t="s">
        <v>20</v>
      </c>
      <c r="D992" s="13">
        <f>VALUE(MID(C992,9,3))</f>
        <v>311</v>
      </c>
      <c r="E992" s="14">
        <f>MONTH(A992)</f>
        <v>9</v>
      </c>
      <c r="G992" s="1" t="s">
        <v>152</v>
      </c>
      <c r="H992" s="1">
        <v>191.37</v>
      </c>
      <c r="I992" s="1" t="s">
        <v>80</v>
      </c>
      <c r="J992" s="13">
        <f>VALUE(MID(I992,1,3))</f>
        <v>226</v>
      </c>
      <c r="K992" s="13">
        <f>VALUE(MID(G992,5,2))</f>
        <v>5</v>
      </c>
    </row>
    <row r="993" spans="1:11">
      <c r="A993" s="7">
        <v>40079</v>
      </c>
      <c r="B993" s="1">
        <v>300</v>
      </c>
      <c r="C993" s="1" t="s">
        <v>20</v>
      </c>
      <c r="D993" s="13">
        <f>VALUE(MID(C993,9,3))</f>
        <v>311</v>
      </c>
      <c r="E993" s="14">
        <f>MONTH(A993)</f>
        <v>9</v>
      </c>
      <c r="G993" s="1" t="s">
        <v>152</v>
      </c>
      <c r="H993" s="1">
        <v>66.14</v>
      </c>
      <c r="I993" s="1" t="s">
        <v>80</v>
      </c>
      <c r="J993" s="13">
        <f>VALUE(MID(I993,1,3))</f>
        <v>226</v>
      </c>
      <c r="K993" s="13">
        <f>VALUE(MID(G993,5,2))</f>
        <v>5</v>
      </c>
    </row>
    <row r="994" spans="1:11">
      <c r="A994" s="7">
        <v>40140</v>
      </c>
      <c r="B994" s="1">
        <v>489.75</v>
      </c>
      <c r="C994" s="1" t="s">
        <v>8</v>
      </c>
      <c r="D994" s="13">
        <f>VALUE(MID(C994,9,3))</f>
        <v>311</v>
      </c>
      <c r="E994" s="14">
        <f>MONTH(A994)</f>
        <v>11</v>
      </c>
      <c r="G994" s="1" t="s">
        <v>152</v>
      </c>
      <c r="H994" s="1">
        <v>100</v>
      </c>
      <c r="I994" s="1" t="s">
        <v>100</v>
      </c>
      <c r="J994" s="13">
        <f>VALUE(MID(I994,1,3))</f>
        <v>226</v>
      </c>
      <c r="K994" s="13">
        <f>VALUE(MID(G994,5,2))</f>
        <v>5</v>
      </c>
    </row>
    <row r="995" spans="1:11">
      <c r="A995" s="7">
        <v>39868</v>
      </c>
      <c r="B995" s="1">
        <v>909.15</v>
      </c>
      <c r="C995" s="1" t="s">
        <v>3</v>
      </c>
      <c r="D995" s="13">
        <f>VALUE(MID(C995,9,3))</f>
        <v>311</v>
      </c>
      <c r="E995" s="14">
        <f>MONTH(A995)</f>
        <v>2</v>
      </c>
      <c r="G995" s="1" t="s">
        <v>152</v>
      </c>
      <c r="H995" s="1">
        <v>435.9</v>
      </c>
      <c r="I995" s="1" t="s">
        <v>100</v>
      </c>
      <c r="J995" s="13">
        <f>VALUE(MID(I995,1,3))</f>
        <v>226</v>
      </c>
      <c r="K995" s="13">
        <f>VALUE(MID(G995,5,2))</f>
        <v>5</v>
      </c>
    </row>
    <row r="996" spans="1:11">
      <c r="A996" s="7">
        <v>39868</v>
      </c>
      <c r="B996" s="1">
        <v>256.42</v>
      </c>
      <c r="C996" s="1" t="s">
        <v>29</v>
      </c>
      <c r="D996" s="13">
        <f>VALUE(MID(C996,9,3))</f>
        <v>311</v>
      </c>
      <c r="E996" s="14">
        <f>MONTH(A996)</f>
        <v>2</v>
      </c>
      <c r="G996" s="1" t="s">
        <v>152</v>
      </c>
      <c r="H996" s="1">
        <v>24.8</v>
      </c>
      <c r="I996" s="1" t="s">
        <v>80</v>
      </c>
      <c r="J996" s="13">
        <f>VALUE(MID(I996,1,3))</f>
        <v>226</v>
      </c>
      <c r="K996" s="13">
        <f>VALUE(MID(G996,5,2))</f>
        <v>5</v>
      </c>
    </row>
    <row r="997" spans="1:11">
      <c r="A997" s="7">
        <v>39868</v>
      </c>
      <c r="B997" s="1">
        <v>526.36</v>
      </c>
      <c r="C997" s="1" t="s">
        <v>29</v>
      </c>
      <c r="D997" s="13">
        <f>VALUE(MID(C997,9,3))</f>
        <v>311</v>
      </c>
      <c r="E997" s="14">
        <f>MONTH(A997)</f>
        <v>2</v>
      </c>
      <c r="G997" s="1" t="s">
        <v>152</v>
      </c>
      <c r="H997" s="1">
        <v>23.6</v>
      </c>
      <c r="I997" s="1" t="s">
        <v>80</v>
      </c>
      <c r="J997" s="13">
        <f>VALUE(MID(I997,1,3))</f>
        <v>226</v>
      </c>
      <c r="K997" s="13">
        <f>VALUE(MID(G997,5,2))</f>
        <v>5</v>
      </c>
    </row>
    <row r="998" spans="1:11">
      <c r="A998" s="7">
        <v>39868</v>
      </c>
      <c r="B998" s="1">
        <v>296.02999999999997</v>
      </c>
      <c r="C998" s="1" t="s">
        <v>29</v>
      </c>
      <c r="D998" s="13">
        <f>VALUE(MID(C998,9,3))</f>
        <v>311</v>
      </c>
      <c r="E998" s="14">
        <f>MONTH(A998)</f>
        <v>2</v>
      </c>
      <c r="G998" s="1" t="s">
        <v>152</v>
      </c>
      <c r="H998" s="1">
        <v>28.43</v>
      </c>
      <c r="I998" s="1" t="s">
        <v>80</v>
      </c>
      <c r="J998" s="13">
        <f>VALUE(MID(I998,1,3))</f>
        <v>226</v>
      </c>
      <c r="K998" s="13">
        <f>VALUE(MID(G998,5,2))</f>
        <v>5</v>
      </c>
    </row>
    <row r="999" spans="1:11">
      <c r="A999" s="7">
        <v>39868</v>
      </c>
      <c r="B999" s="1">
        <v>414.46</v>
      </c>
      <c r="C999" s="1" t="s">
        <v>29</v>
      </c>
      <c r="D999" s="13">
        <f>VALUE(MID(C999,9,3))</f>
        <v>311</v>
      </c>
      <c r="E999" s="14">
        <f>MONTH(A999)</f>
        <v>2</v>
      </c>
      <c r="G999" s="1" t="s">
        <v>152</v>
      </c>
      <c r="H999" s="1">
        <v>157.96</v>
      </c>
      <c r="I999" s="1" t="s">
        <v>80</v>
      </c>
      <c r="J999" s="13">
        <f>VALUE(MID(I999,1,3))</f>
        <v>226</v>
      </c>
      <c r="K999" s="13">
        <f>VALUE(MID(G999,5,2))</f>
        <v>5</v>
      </c>
    </row>
    <row r="1000" spans="1:11">
      <c r="A1000" s="7">
        <v>39868</v>
      </c>
      <c r="B1000" s="1">
        <v>603.74</v>
      </c>
      <c r="C1000" s="1" t="s">
        <v>29</v>
      </c>
      <c r="D1000" s="13">
        <f>VALUE(MID(C1000,9,3))</f>
        <v>311</v>
      </c>
      <c r="E1000" s="14">
        <f>MONTH(A1000)</f>
        <v>2</v>
      </c>
      <c r="G1000" s="1" t="s">
        <v>152</v>
      </c>
      <c r="H1000" s="1">
        <v>110.85</v>
      </c>
      <c r="I1000" s="1" t="s">
        <v>80</v>
      </c>
      <c r="J1000" s="13">
        <f>VALUE(MID(I1000,1,3))</f>
        <v>226</v>
      </c>
      <c r="K1000" s="13">
        <f>VALUE(MID(G1000,5,2))</f>
        <v>5</v>
      </c>
    </row>
    <row r="1001" spans="1:11">
      <c r="A1001" s="7">
        <v>39868</v>
      </c>
      <c r="B1001" s="1">
        <v>295.93</v>
      </c>
      <c r="C1001" s="1" t="s">
        <v>29</v>
      </c>
      <c r="D1001" s="13">
        <f>VALUE(MID(C1001,9,3))</f>
        <v>311</v>
      </c>
      <c r="E1001" s="14">
        <f>MONTH(A1001)</f>
        <v>2</v>
      </c>
      <c r="G1001" s="1" t="s">
        <v>152</v>
      </c>
      <c r="H1001" s="1">
        <v>1168.44</v>
      </c>
      <c r="I1001" s="1" t="s">
        <v>102</v>
      </c>
      <c r="J1001" s="13">
        <f>VALUE(MID(I1001,1,3))</f>
        <v>226</v>
      </c>
      <c r="K1001" s="13">
        <f>VALUE(MID(G1001,5,2))</f>
        <v>5</v>
      </c>
    </row>
    <row r="1002" spans="1:11">
      <c r="A1002" s="7">
        <v>39868</v>
      </c>
      <c r="B1002" s="1">
        <v>368.32</v>
      </c>
      <c r="C1002" s="1" t="s">
        <v>29</v>
      </c>
      <c r="D1002" s="13">
        <f>VALUE(MID(C1002,9,3))</f>
        <v>311</v>
      </c>
      <c r="E1002" s="14">
        <f>MONTH(A1002)</f>
        <v>2</v>
      </c>
      <c r="G1002" s="1" t="s">
        <v>152</v>
      </c>
      <c r="H1002" s="1">
        <v>1040</v>
      </c>
      <c r="I1002" s="1" t="s">
        <v>102</v>
      </c>
      <c r="J1002" s="13">
        <f>VALUE(MID(I1002,1,3))</f>
        <v>226</v>
      </c>
      <c r="K1002" s="13">
        <f>VALUE(MID(G1002,5,2))</f>
        <v>5</v>
      </c>
    </row>
    <row r="1003" spans="1:11">
      <c r="A1003" s="7">
        <v>39868</v>
      </c>
      <c r="B1003" s="1">
        <v>532.99</v>
      </c>
      <c r="C1003" s="1" t="s">
        <v>29</v>
      </c>
      <c r="D1003" s="13">
        <f>VALUE(MID(C1003,9,3))</f>
        <v>311</v>
      </c>
      <c r="E1003" s="14">
        <f>MONTH(A1003)</f>
        <v>2</v>
      </c>
      <c r="G1003" s="1" t="s">
        <v>152</v>
      </c>
      <c r="H1003" s="1">
        <v>108</v>
      </c>
      <c r="I1003" s="1" t="s">
        <v>80</v>
      </c>
      <c r="J1003" s="13">
        <f>VALUE(MID(I1003,1,3))</f>
        <v>226</v>
      </c>
      <c r="K1003" s="13">
        <f>VALUE(MID(G1003,5,2))</f>
        <v>5</v>
      </c>
    </row>
    <row r="1004" spans="1:11">
      <c r="A1004" s="7">
        <v>39868</v>
      </c>
      <c r="B1004" s="1">
        <v>818.23</v>
      </c>
      <c r="C1004" s="1" t="s">
        <v>29</v>
      </c>
      <c r="D1004" s="13">
        <f>VALUE(MID(C1004,9,3))</f>
        <v>311</v>
      </c>
      <c r="E1004" s="14">
        <f>MONTH(A1004)</f>
        <v>2</v>
      </c>
      <c r="G1004" s="1" t="s">
        <v>152</v>
      </c>
      <c r="H1004" s="1">
        <v>162</v>
      </c>
      <c r="I1004" s="1" t="s">
        <v>80</v>
      </c>
      <c r="J1004" s="13">
        <f>VALUE(MID(I1004,1,3))</f>
        <v>226</v>
      </c>
      <c r="K1004" s="13">
        <f>VALUE(MID(G1004,5,2))</f>
        <v>5</v>
      </c>
    </row>
    <row r="1005" spans="1:11">
      <c r="A1005" s="7">
        <v>39896</v>
      </c>
      <c r="B1005" s="1">
        <v>940.5</v>
      </c>
      <c r="C1005" s="1" t="s">
        <v>3</v>
      </c>
      <c r="D1005" s="13">
        <f>VALUE(MID(C1005,9,3))</f>
        <v>311</v>
      </c>
      <c r="E1005" s="14">
        <f>MONTH(A1005)</f>
        <v>3</v>
      </c>
      <c r="G1005" s="1" t="s">
        <v>152</v>
      </c>
      <c r="H1005" s="1">
        <v>152.88</v>
      </c>
      <c r="I1005" s="1" t="s">
        <v>155</v>
      </c>
      <c r="J1005" s="13">
        <f>VALUE(MID(I1005,1,3))</f>
        <v>226</v>
      </c>
      <c r="K1005" s="13">
        <f>VALUE(MID(G1005,5,2))</f>
        <v>5</v>
      </c>
    </row>
    <row r="1006" spans="1:11">
      <c r="A1006" s="7">
        <v>39896</v>
      </c>
      <c r="B1006" s="1">
        <v>7.5</v>
      </c>
      <c r="C1006" s="1" t="s">
        <v>29</v>
      </c>
      <c r="D1006" s="13">
        <f>VALUE(MID(C1006,9,3))</f>
        <v>311</v>
      </c>
      <c r="E1006" s="14">
        <f>MONTH(A1006)</f>
        <v>3</v>
      </c>
      <c r="G1006" s="1" t="s">
        <v>152</v>
      </c>
      <c r="H1006" s="1">
        <v>936</v>
      </c>
      <c r="I1006" s="1" t="s">
        <v>155</v>
      </c>
      <c r="J1006" s="13">
        <f>VALUE(MID(I1006,1,3))</f>
        <v>226</v>
      </c>
      <c r="K1006" s="13">
        <f>VALUE(MID(G1006,5,2))</f>
        <v>5</v>
      </c>
    </row>
    <row r="1007" spans="1:11">
      <c r="A1007" s="7">
        <v>39927</v>
      </c>
      <c r="B1007" s="1">
        <v>9.15</v>
      </c>
      <c r="C1007" s="1" t="s">
        <v>3</v>
      </c>
      <c r="D1007" s="13">
        <f>VALUE(MID(C1007,9,3))</f>
        <v>311</v>
      </c>
      <c r="E1007" s="14">
        <f>MONTH(A1007)</f>
        <v>4</v>
      </c>
      <c r="G1007" s="1" t="s">
        <v>152</v>
      </c>
      <c r="H1007" s="1">
        <v>3068</v>
      </c>
      <c r="I1007" s="1" t="s">
        <v>155</v>
      </c>
      <c r="J1007" s="13">
        <f>VALUE(MID(I1007,1,3))</f>
        <v>226</v>
      </c>
      <c r="K1007" s="13">
        <f>VALUE(MID(G1007,5,2))</f>
        <v>5</v>
      </c>
    </row>
    <row r="1008" spans="1:11">
      <c r="A1008" s="7">
        <v>39927</v>
      </c>
      <c r="B1008" s="1">
        <v>200</v>
      </c>
      <c r="C1008" s="1" t="s">
        <v>35</v>
      </c>
      <c r="D1008" s="13">
        <f>VALUE(MID(C1008,9,3))</f>
        <v>311</v>
      </c>
      <c r="E1008" s="14">
        <f>MONTH(A1008)</f>
        <v>4</v>
      </c>
      <c r="G1008" s="1" t="s">
        <v>167</v>
      </c>
      <c r="H1008" s="1">
        <v>106.3</v>
      </c>
      <c r="I1008" s="1" t="s">
        <v>80</v>
      </c>
      <c r="J1008" s="13">
        <f>VALUE(MID(I1008,1,3))</f>
        <v>226</v>
      </c>
      <c r="K1008" s="13">
        <f>VALUE(MID(G1008,5,2))</f>
        <v>6</v>
      </c>
    </row>
    <row r="1009" spans="1:11">
      <c r="A1009" s="7">
        <v>39927</v>
      </c>
      <c r="B1009" s="1">
        <v>200</v>
      </c>
      <c r="C1009" s="1" t="s">
        <v>35</v>
      </c>
      <c r="D1009" s="13">
        <f>VALUE(MID(C1009,9,3))</f>
        <v>311</v>
      </c>
      <c r="E1009" s="14">
        <f>MONTH(A1009)</f>
        <v>4</v>
      </c>
      <c r="G1009" s="1" t="s">
        <v>167</v>
      </c>
      <c r="H1009" s="1">
        <v>65.25</v>
      </c>
      <c r="I1009" s="1" t="s">
        <v>80</v>
      </c>
      <c r="J1009" s="13">
        <f>VALUE(MID(I1009,1,3))</f>
        <v>226</v>
      </c>
      <c r="K1009" s="13">
        <f>VALUE(MID(G1009,5,2))</f>
        <v>6</v>
      </c>
    </row>
    <row r="1010" spans="1:11">
      <c r="A1010" s="7">
        <v>39927</v>
      </c>
      <c r="B1010" s="1">
        <v>200</v>
      </c>
      <c r="C1010" s="1" t="s">
        <v>35</v>
      </c>
      <c r="D1010" s="13">
        <f>VALUE(MID(C1010,9,3))</f>
        <v>311</v>
      </c>
      <c r="E1010" s="14">
        <f>MONTH(A1010)</f>
        <v>4</v>
      </c>
      <c r="G1010" s="1" t="s">
        <v>167</v>
      </c>
      <c r="H1010" s="1">
        <v>55.9</v>
      </c>
      <c r="I1010" s="1" t="s">
        <v>100</v>
      </c>
      <c r="J1010" s="13">
        <f>VALUE(MID(I1010,1,3))</f>
        <v>226</v>
      </c>
      <c r="K1010" s="13">
        <f>VALUE(MID(G1010,5,2))</f>
        <v>6</v>
      </c>
    </row>
    <row r="1011" spans="1:11">
      <c r="A1011" s="7">
        <v>40018</v>
      </c>
      <c r="B1011" s="1">
        <v>940.5</v>
      </c>
      <c r="C1011" s="1" t="s">
        <v>13</v>
      </c>
      <c r="D1011" s="13">
        <f>VALUE(MID(C1011,9,3))</f>
        <v>311</v>
      </c>
      <c r="E1011" s="14">
        <f>MONTH(A1011)</f>
        <v>7</v>
      </c>
      <c r="G1011" s="1" t="s">
        <v>167</v>
      </c>
      <c r="H1011" s="1">
        <v>63.75</v>
      </c>
      <c r="I1011" s="1" t="s">
        <v>80</v>
      </c>
      <c r="J1011" s="13">
        <f>VALUE(MID(I1011,1,3))</f>
        <v>226</v>
      </c>
      <c r="K1011" s="13">
        <f>VALUE(MID(G1011,5,2))</f>
        <v>6</v>
      </c>
    </row>
    <row r="1012" spans="1:11">
      <c r="A1012" s="7">
        <v>40018</v>
      </c>
      <c r="B1012" s="1">
        <v>1024.03</v>
      </c>
      <c r="C1012" s="1" t="s">
        <v>6</v>
      </c>
      <c r="D1012" s="13">
        <f>VALUE(MID(C1012,9,3))</f>
        <v>311</v>
      </c>
      <c r="E1012" s="14">
        <f>MONTH(A1012)</f>
        <v>7</v>
      </c>
      <c r="G1012" s="1" t="s">
        <v>167</v>
      </c>
      <c r="H1012" s="1">
        <v>7.8</v>
      </c>
      <c r="I1012" s="1" t="s">
        <v>80</v>
      </c>
      <c r="J1012" s="13">
        <f>VALUE(MID(I1012,1,3))</f>
        <v>226</v>
      </c>
      <c r="K1012" s="13">
        <f>VALUE(MID(G1012,5,2))</f>
        <v>6</v>
      </c>
    </row>
    <row r="1013" spans="1:11">
      <c r="A1013" s="7">
        <v>40018</v>
      </c>
      <c r="B1013" s="1">
        <v>594.42999999999995</v>
      </c>
      <c r="C1013" s="1" t="s">
        <v>6</v>
      </c>
      <c r="D1013" s="13">
        <f>VALUE(MID(C1013,9,3))</f>
        <v>311</v>
      </c>
      <c r="E1013" s="14">
        <f>MONTH(A1013)</f>
        <v>7</v>
      </c>
      <c r="G1013" s="1" t="s">
        <v>167</v>
      </c>
      <c r="H1013" s="1">
        <v>99.84</v>
      </c>
      <c r="I1013" s="1" t="s">
        <v>155</v>
      </c>
      <c r="J1013" s="13">
        <f>VALUE(MID(I1013,1,3))</f>
        <v>226</v>
      </c>
      <c r="K1013" s="13">
        <f>VALUE(MID(G1013,5,2))</f>
        <v>6</v>
      </c>
    </row>
    <row r="1014" spans="1:11">
      <c r="A1014" s="7">
        <v>40018</v>
      </c>
      <c r="B1014" s="1">
        <v>335.44</v>
      </c>
      <c r="C1014" s="1" t="s">
        <v>6</v>
      </c>
      <c r="D1014" s="13">
        <f>VALUE(MID(C1014,9,3))</f>
        <v>311</v>
      </c>
      <c r="E1014" s="14">
        <f>MONTH(A1014)</f>
        <v>7</v>
      </c>
      <c r="G1014" s="1" t="s">
        <v>167</v>
      </c>
      <c r="H1014" s="1">
        <v>866.94</v>
      </c>
      <c r="I1014" s="1" t="s">
        <v>102</v>
      </c>
      <c r="J1014" s="13">
        <f>VALUE(MID(I1014,1,3))</f>
        <v>226</v>
      </c>
      <c r="K1014" s="13">
        <f>VALUE(MID(G1014,5,2))</f>
        <v>6</v>
      </c>
    </row>
    <row r="1015" spans="1:11">
      <c r="A1015" s="7">
        <v>40018</v>
      </c>
      <c r="B1015" s="1">
        <v>248.92</v>
      </c>
      <c r="C1015" s="1" t="s">
        <v>6</v>
      </c>
      <c r="D1015" s="13">
        <f>VALUE(MID(C1015,9,3))</f>
        <v>311</v>
      </c>
      <c r="E1015" s="14">
        <f>MONTH(A1015)</f>
        <v>7</v>
      </c>
      <c r="G1015" s="1" t="s">
        <v>167</v>
      </c>
      <c r="H1015" s="1">
        <v>146.5</v>
      </c>
      <c r="I1015" s="1" t="s">
        <v>100</v>
      </c>
      <c r="J1015" s="13">
        <f>VALUE(MID(I1015,1,3))</f>
        <v>226</v>
      </c>
      <c r="K1015" s="13">
        <f>VALUE(MID(G1015,5,2))</f>
        <v>6</v>
      </c>
    </row>
    <row r="1016" spans="1:11">
      <c r="A1016" s="7">
        <v>40018</v>
      </c>
      <c r="B1016" s="1">
        <v>713.98</v>
      </c>
      <c r="C1016" s="1" t="s">
        <v>6</v>
      </c>
      <c r="D1016" s="13">
        <f>VALUE(MID(C1016,9,3))</f>
        <v>311</v>
      </c>
      <c r="E1016" s="14">
        <f>MONTH(A1016)</f>
        <v>7</v>
      </c>
      <c r="G1016" s="1" t="s">
        <v>167</v>
      </c>
      <c r="H1016" s="1">
        <v>1932.96</v>
      </c>
      <c r="I1016" s="1" t="s">
        <v>102</v>
      </c>
      <c r="J1016" s="13">
        <f>VALUE(MID(I1016,1,3))</f>
        <v>226</v>
      </c>
      <c r="K1016" s="13">
        <f>VALUE(MID(G1016,5,2))</f>
        <v>6</v>
      </c>
    </row>
    <row r="1017" spans="1:11">
      <c r="A1017" s="7">
        <v>40018</v>
      </c>
      <c r="B1017" s="1">
        <v>374.95</v>
      </c>
      <c r="C1017" s="1" t="s">
        <v>6</v>
      </c>
      <c r="D1017" s="13">
        <f>VALUE(MID(C1017,9,3))</f>
        <v>311</v>
      </c>
      <c r="E1017" s="14">
        <f>MONTH(A1017)</f>
        <v>7</v>
      </c>
      <c r="G1017" s="1" t="s">
        <v>167</v>
      </c>
      <c r="H1017" s="1">
        <v>1021.02</v>
      </c>
      <c r="I1017" s="1" t="s">
        <v>102</v>
      </c>
      <c r="J1017" s="13">
        <f>VALUE(MID(I1017,1,3))</f>
        <v>226</v>
      </c>
      <c r="K1017" s="13">
        <f>VALUE(MID(G1017,5,2))</f>
        <v>6</v>
      </c>
    </row>
    <row r="1018" spans="1:11">
      <c r="A1018" s="7">
        <v>40018</v>
      </c>
      <c r="B1018" s="1">
        <v>493.48</v>
      </c>
      <c r="C1018" s="1" t="s">
        <v>6</v>
      </c>
      <c r="D1018" s="13">
        <f>VALUE(MID(C1018,9,3))</f>
        <v>311</v>
      </c>
      <c r="E1018" s="14">
        <f>MONTH(A1018)</f>
        <v>7</v>
      </c>
      <c r="G1018" s="1" t="s">
        <v>167</v>
      </c>
      <c r="H1018" s="1">
        <v>477.36</v>
      </c>
      <c r="I1018" s="1" t="s">
        <v>102</v>
      </c>
      <c r="J1018" s="13">
        <f>VALUE(MID(I1018,1,3))</f>
        <v>226</v>
      </c>
      <c r="K1018" s="13">
        <f>VALUE(MID(G1018,5,2))</f>
        <v>6</v>
      </c>
    </row>
    <row r="1019" spans="1:11">
      <c r="A1019" s="7">
        <v>40018</v>
      </c>
      <c r="B1019" s="1">
        <v>314.68</v>
      </c>
      <c r="C1019" s="1" t="s">
        <v>6</v>
      </c>
      <c r="D1019" s="13">
        <f>VALUE(MID(C1019,9,3))</f>
        <v>311</v>
      </c>
      <c r="E1019" s="14">
        <f>MONTH(A1019)</f>
        <v>7</v>
      </c>
      <c r="G1019" s="1" t="s">
        <v>167</v>
      </c>
      <c r="H1019" s="1">
        <v>273.64</v>
      </c>
      <c r="I1019" s="1" t="s">
        <v>80</v>
      </c>
      <c r="J1019" s="13">
        <f>VALUE(MID(I1019,1,3))</f>
        <v>226</v>
      </c>
      <c r="K1019" s="13">
        <f>VALUE(MID(G1019,5,2))</f>
        <v>6</v>
      </c>
    </row>
    <row r="1020" spans="1:11">
      <c r="A1020" s="7">
        <v>40018</v>
      </c>
      <c r="B1020" s="1">
        <v>414.46</v>
      </c>
      <c r="C1020" s="1" t="s">
        <v>6</v>
      </c>
      <c r="D1020" s="13">
        <f>VALUE(MID(C1020,9,3))</f>
        <v>311</v>
      </c>
      <c r="E1020" s="14">
        <f>MONTH(A1020)</f>
        <v>7</v>
      </c>
      <c r="G1020" s="1" t="s">
        <v>167</v>
      </c>
      <c r="H1020" s="1">
        <v>166</v>
      </c>
      <c r="I1020" s="1" t="s">
        <v>80</v>
      </c>
      <c r="J1020" s="13">
        <f>VALUE(MID(I1020,1,3))</f>
        <v>226</v>
      </c>
      <c r="K1020" s="13">
        <f>VALUE(MID(G1020,5,2))</f>
        <v>6</v>
      </c>
    </row>
    <row r="1021" spans="1:11">
      <c r="A1021" s="7">
        <v>40080</v>
      </c>
      <c r="B1021" s="1">
        <v>970</v>
      </c>
      <c r="C1021" s="1" t="s">
        <v>39</v>
      </c>
      <c r="D1021" s="13">
        <f>VALUE(MID(C1021,9,3))</f>
        <v>311</v>
      </c>
      <c r="E1021" s="14">
        <f>MONTH(A1021)</f>
        <v>9</v>
      </c>
      <c r="G1021" s="1" t="s">
        <v>167</v>
      </c>
      <c r="H1021" s="1">
        <v>9.5500000000000007</v>
      </c>
      <c r="I1021" s="1" t="s">
        <v>100</v>
      </c>
      <c r="J1021" s="13">
        <f>VALUE(MID(I1021,1,3))</f>
        <v>226</v>
      </c>
      <c r="K1021" s="13">
        <f>VALUE(MID(G1021,5,2))</f>
        <v>6</v>
      </c>
    </row>
    <row r="1022" spans="1:11">
      <c r="A1022" s="7">
        <v>40080</v>
      </c>
      <c r="B1022" s="1">
        <v>970</v>
      </c>
      <c r="C1022" s="1" t="s">
        <v>39</v>
      </c>
      <c r="D1022" s="13">
        <f>VALUE(MID(C1022,9,3))</f>
        <v>311</v>
      </c>
      <c r="E1022" s="14">
        <f>MONTH(A1022)</f>
        <v>9</v>
      </c>
      <c r="G1022" s="1" t="s">
        <v>167</v>
      </c>
      <c r="H1022" s="1">
        <v>100</v>
      </c>
      <c r="I1022" s="1" t="s">
        <v>80</v>
      </c>
      <c r="J1022" s="13">
        <f>VALUE(MID(I1022,1,3))</f>
        <v>226</v>
      </c>
      <c r="K1022" s="13">
        <f>VALUE(MID(G1022,5,2))</f>
        <v>6</v>
      </c>
    </row>
    <row r="1023" spans="1:11">
      <c r="A1023" s="7">
        <v>40080</v>
      </c>
      <c r="B1023" s="1">
        <v>63</v>
      </c>
      <c r="C1023" s="1" t="s">
        <v>18</v>
      </c>
      <c r="D1023" s="13">
        <f>VALUE(MID(C1023,9,3))</f>
        <v>311</v>
      </c>
      <c r="E1023" s="14">
        <f>MONTH(A1023)</f>
        <v>9</v>
      </c>
      <c r="G1023" s="1" t="s">
        <v>167</v>
      </c>
      <c r="H1023" s="1">
        <v>526.29</v>
      </c>
      <c r="I1023" s="1" t="s">
        <v>102</v>
      </c>
      <c r="J1023" s="13">
        <f>VALUE(MID(I1023,1,3))</f>
        <v>226</v>
      </c>
      <c r="K1023" s="13">
        <f>VALUE(MID(G1023,5,2))</f>
        <v>6</v>
      </c>
    </row>
    <row r="1024" spans="1:11">
      <c r="A1024" s="7">
        <v>40080</v>
      </c>
      <c r="B1024" s="1">
        <v>65</v>
      </c>
      <c r="C1024" s="1" t="s">
        <v>18</v>
      </c>
      <c r="D1024" s="13">
        <f>VALUE(MID(C1024,9,3))</f>
        <v>311</v>
      </c>
      <c r="E1024" s="14">
        <f>MONTH(A1024)</f>
        <v>9</v>
      </c>
      <c r="G1024" s="1" t="s">
        <v>167</v>
      </c>
      <c r="H1024" s="1">
        <v>206.78</v>
      </c>
      <c r="I1024" s="1" t="s">
        <v>155</v>
      </c>
      <c r="J1024" s="13">
        <f>VALUE(MID(I1024,1,3))</f>
        <v>226</v>
      </c>
      <c r="K1024" s="13">
        <f>VALUE(MID(G1024,5,2))</f>
        <v>6</v>
      </c>
    </row>
    <row r="1025" spans="1:11">
      <c r="A1025" s="7">
        <v>40080</v>
      </c>
      <c r="B1025" s="1">
        <v>65</v>
      </c>
      <c r="C1025" s="1" t="s">
        <v>18</v>
      </c>
      <c r="D1025" s="13">
        <f>VALUE(MID(C1025,9,3))</f>
        <v>311</v>
      </c>
      <c r="E1025" s="14">
        <f>MONTH(A1025)</f>
        <v>9</v>
      </c>
      <c r="G1025" s="1" t="s">
        <v>167</v>
      </c>
      <c r="H1025" s="1">
        <v>650</v>
      </c>
      <c r="I1025" s="1" t="s">
        <v>100</v>
      </c>
      <c r="J1025" s="13">
        <f>VALUE(MID(I1025,1,3))</f>
        <v>226</v>
      </c>
      <c r="K1025" s="13">
        <f>VALUE(MID(G1025,5,2))</f>
        <v>6</v>
      </c>
    </row>
    <row r="1026" spans="1:11">
      <c r="A1026" s="7">
        <v>40080</v>
      </c>
      <c r="B1026" s="1">
        <v>80</v>
      </c>
      <c r="C1026" s="1" t="s">
        <v>18</v>
      </c>
      <c r="D1026" s="13">
        <f>VALUE(MID(C1026,9,3))</f>
        <v>311</v>
      </c>
      <c r="E1026" s="14">
        <f>MONTH(A1026)</f>
        <v>9</v>
      </c>
      <c r="G1026" s="1" t="s">
        <v>167</v>
      </c>
      <c r="H1026" s="1">
        <v>377.52</v>
      </c>
      <c r="I1026" s="1" t="s">
        <v>155</v>
      </c>
      <c r="J1026" s="13">
        <f>VALUE(MID(I1026,1,3))</f>
        <v>226</v>
      </c>
      <c r="K1026" s="13">
        <f>VALUE(MID(G1026,5,2))</f>
        <v>6</v>
      </c>
    </row>
    <row r="1027" spans="1:11">
      <c r="A1027" s="7">
        <v>40080</v>
      </c>
      <c r="B1027" s="1">
        <v>80</v>
      </c>
      <c r="C1027" s="1" t="s">
        <v>18</v>
      </c>
      <c r="D1027" s="13">
        <f>VALUE(MID(C1027,9,3))</f>
        <v>311</v>
      </c>
      <c r="E1027" s="14">
        <f>MONTH(A1027)</f>
        <v>9</v>
      </c>
      <c r="G1027" s="1" t="s">
        <v>167</v>
      </c>
      <c r="H1027" s="1">
        <v>191.69</v>
      </c>
      <c r="I1027" s="1" t="s">
        <v>80</v>
      </c>
      <c r="J1027" s="13">
        <f>VALUE(MID(I1027,1,3))</f>
        <v>226</v>
      </c>
      <c r="K1027" s="13">
        <f>VALUE(MID(G1027,5,2))</f>
        <v>6</v>
      </c>
    </row>
    <row r="1028" spans="1:11">
      <c r="A1028" s="7">
        <v>40080</v>
      </c>
      <c r="B1028" s="1">
        <v>65</v>
      </c>
      <c r="C1028" s="1" t="s">
        <v>18</v>
      </c>
      <c r="D1028" s="13">
        <f>VALUE(MID(C1028,9,3))</f>
        <v>311</v>
      </c>
      <c r="E1028" s="14">
        <f>MONTH(A1028)</f>
        <v>9</v>
      </c>
      <c r="G1028" s="1" t="s">
        <v>167</v>
      </c>
      <c r="H1028" s="1">
        <v>11.15</v>
      </c>
      <c r="I1028" s="1" t="s">
        <v>80</v>
      </c>
      <c r="J1028" s="13">
        <f>VALUE(MID(I1028,1,3))</f>
        <v>226</v>
      </c>
      <c r="K1028" s="13">
        <f>VALUE(MID(G1028,5,2))</f>
        <v>6</v>
      </c>
    </row>
    <row r="1029" spans="1:11">
      <c r="A1029" s="7">
        <v>40080</v>
      </c>
      <c r="B1029" s="1">
        <v>111.9</v>
      </c>
      <c r="C1029" s="1" t="s">
        <v>30</v>
      </c>
      <c r="D1029" s="13">
        <f>VALUE(MID(C1029,9,3))</f>
        <v>311</v>
      </c>
      <c r="E1029" s="14">
        <f>MONTH(A1029)</f>
        <v>9</v>
      </c>
      <c r="G1029" s="1" t="s">
        <v>167</v>
      </c>
      <c r="H1029" s="1">
        <v>19.920000000000002</v>
      </c>
      <c r="I1029" s="1" t="s">
        <v>155</v>
      </c>
      <c r="J1029" s="13">
        <f>VALUE(MID(I1029,1,3))</f>
        <v>226</v>
      </c>
      <c r="K1029" s="13">
        <f>VALUE(MID(G1029,5,2))</f>
        <v>6</v>
      </c>
    </row>
    <row r="1030" spans="1:11">
      <c r="A1030" s="7">
        <v>40080</v>
      </c>
      <c r="B1030" s="1">
        <v>111.9</v>
      </c>
      <c r="C1030" s="1" t="s">
        <v>30</v>
      </c>
      <c r="D1030" s="13">
        <f>VALUE(MID(C1030,9,3))</f>
        <v>311</v>
      </c>
      <c r="E1030" s="14">
        <f>MONTH(A1030)</f>
        <v>9</v>
      </c>
      <c r="G1030" s="1" t="s">
        <v>167</v>
      </c>
      <c r="H1030" s="1">
        <v>561.6</v>
      </c>
      <c r="I1030" s="1" t="s">
        <v>102</v>
      </c>
      <c r="J1030" s="13">
        <f>VALUE(MID(I1030,1,3))</f>
        <v>226</v>
      </c>
      <c r="K1030" s="13">
        <f>VALUE(MID(G1030,5,2))</f>
        <v>6</v>
      </c>
    </row>
    <row r="1031" spans="1:11">
      <c r="A1031" s="7">
        <v>40080</v>
      </c>
      <c r="B1031" s="1">
        <v>111.9</v>
      </c>
      <c r="C1031" s="1" t="s">
        <v>30</v>
      </c>
      <c r="D1031" s="13">
        <f>VALUE(MID(C1031,9,3))</f>
        <v>311</v>
      </c>
      <c r="E1031" s="14">
        <f>MONTH(A1031)</f>
        <v>9</v>
      </c>
      <c r="G1031" s="1" t="s">
        <v>167</v>
      </c>
      <c r="H1031" s="1">
        <v>561.6</v>
      </c>
      <c r="I1031" s="1" t="s">
        <v>100</v>
      </c>
      <c r="J1031" s="13">
        <f>VALUE(MID(I1031,1,3))</f>
        <v>226</v>
      </c>
      <c r="K1031" s="13">
        <f>VALUE(MID(G1031,5,2))</f>
        <v>6</v>
      </c>
    </row>
    <row r="1032" spans="1:11">
      <c r="A1032" s="7">
        <v>40080</v>
      </c>
      <c r="B1032" s="1">
        <v>300</v>
      </c>
      <c r="C1032" s="1" t="s">
        <v>20</v>
      </c>
      <c r="D1032" s="13">
        <f>VALUE(MID(C1032,9,3))</f>
        <v>311</v>
      </c>
      <c r="E1032" s="14">
        <f>MONTH(A1032)</f>
        <v>9</v>
      </c>
      <c r="G1032" s="1" t="s">
        <v>170</v>
      </c>
      <c r="H1032" s="1">
        <v>138.4</v>
      </c>
      <c r="I1032" s="1" t="s">
        <v>100</v>
      </c>
      <c r="J1032" s="13">
        <f>VALUE(MID(I1032,1,3))</f>
        <v>226</v>
      </c>
      <c r="K1032" s="13">
        <f>VALUE(MID(G1032,5,2))</f>
        <v>6</v>
      </c>
    </row>
    <row r="1033" spans="1:11">
      <c r="A1033" s="7">
        <v>40080</v>
      </c>
      <c r="B1033" s="1">
        <v>300</v>
      </c>
      <c r="C1033" s="1" t="s">
        <v>20</v>
      </c>
      <c r="D1033" s="13">
        <f>VALUE(MID(C1033,9,3))</f>
        <v>311</v>
      </c>
      <c r="E1033" s="14">
        <f>MONTH(A1033)</f>
        <v>9</v>
      </c>
      <c r="G1033" s="1" t="s">
        <v>170</v>
      </c>
      <c r="H1033" s="1">
        <v>117</v>
      </c>
      <c r="I1033" s="1" t="s">
        <v>100</v>
      </c>
      <c r="J1033" s="13">
        <f>VALUE(MID(I1033,1,3))</f>
        <v>226</v>
      </c>
      <c r="K1033" s="13">
        <f>VALUE(MID(G1033,5,2))</f>
        <v>6</v>
      </c>
    </row>
    <row r="1034" spans="1:11">
      <c r="A1034" s="7">
        <v>40080</v>
      </c>
      <c r="B1034" s="1">
        <v>300</v>
      </c>
      <c r="C1034" s="1" t="s">
        <v>20</v>
      </c>
      <c r="D1034" s="13">
        <f>VALUE(MID(C1034,9,3))</f>
        <v>311</v>
      </c>
      <c r="E1034" s="14">
        <f>MONTH(A1034)</f>
        <v>9</v>
      </c>
      <c r="G1034" s="1" t="s">
        <v>175</v>
      </c>
      <c r="H1034" s="1">
        <v>24</v>
      </c>
      <c r="I1034" s="1" t="s">
        <v>100</v>
      </c>
      <c r="J1034" s="13">
        <f>VALUE(MID(I1034,1,3))</f>
        <v>226</v>
      </c>
      <c r="K1034" s="13">
        <f>VALUE(MID(G1034,5,2))</f>
        <v>7</v>
      </c>
    </row>
    <row r="1035" spans="1:11">
      <c r="A1035" s="7">
        <v>39869</v>
      </c>
      <c r="B1035" s="1">
        <v>312.68</v>
      </c>
      <c r="C1035" s="1" t="s">
        <v>13</v>
      </c>
      <c r="D1035" s="13">
        <f>VALUE(MID(C1035,9,3))</f>
        <v>311</v>
      </c>
      <c r="E1035" s="14">
        <f>MONTH(A1035)</f>
        <v>2</v>
      </c>
      <c r="G1035" s="1" t="s">
        <v>175</v>
      </c>
      <c r="H1035" s="1">
        <v>200</v>
      </c>
      <c r="I1035" s="1" t="s">
        <v>100</v>
      </c>
      <c r="J1035" s="13">
        <f>VALUE(MID(I1035,1,3))</f>
        <v>226</v>
      </c>
      <c r="K1035" s="13">
        <f>VALUE(MID(G1035,5,2))</f>
        <v>7</v>
      </c>
    </row>
    <row r="1036" spans="1:11">
      <c r="A1036" s="7">
        <v>39869</v>
      </c>
      <c r="B1036" s="1">
        <v>374.95</v>
      </c>
      <c r="C1036" s="1" t="s">
        <v>29</v>
      </c>
      <c r="D1036" s="13">
        <f>VALUE(MID(C1036,9,3))</f>
        <v>311</v>
      </c>
      <c r="E1036" s="14">
        <f>MONTH(A1036)</f>
        <v>2</v>
      </c>
      <c r="G1036" s="1" t="s">
        <v>175</v>
      </c>
      <c r="H1036" s="1">
        <v>138</v>
      </c>
      <c r="I1036" s="1" t="s">
        <v>100</v>
      </c>
      <c r="J1036" s="13">
        <f>VALUE(MID(I1036,1,3))</f>
        <v>226</v>
      </c>
      <c r="K1036" s="13">
        <f>VALUE(MID(G1036,5,2))</f>
        <v>7</v>
      </c>
    </row>
    <row r="1037" spans="1:11">
      <c r="A1037" s="7">
        <v>39869</v>
      </c>
      <c r="B1037" s="1">
        <v>612.02</v>
      </c>
      <c r="C1037" s="1" t="s">
        <v>29</v>
      </c>
      <c r="D1037" s="13">
        <f>VALUE(MID(C1037,9,3))</f>
        <v>311</v>
      </c>
      <c r="E1037" s="14">
        <f>MONTH(A1037)</f>
        <v>2</v>
      </c>
      <c r="G1037" s="1" t="s">
        <v>175</v>
      </c>
      <c r="H1037" s="1">
        <v>627.12</v>
      </c>
      <c r="I1037" s="1" t="s">
        <v>102</v>
      </c>
      <c r="J1037" s="13">
        <f>VALUE(MID(I1037,1,3))</f>
        <v>226</v>
      </c>
      <c r="K1037" s="13">
        <f>VALUE(MID(G1037,5,2))</f>
        <v>7</v>
      </c>
    </row>
    <row r="1038" spans="1:11">
      <c r="A1038" s="7">
        <v>39869</v>
      </c>
      <c r="B1038" s="1">
        <v>567.59</v>
      </c>
      <c r="C1038" s="1" t="s">
        <v>29</v>
      </c>
      <c r="D1038" s="13">
        <f>VALUE(MID(C1038,9,3))</f>
        <v>311</v>
      </c>
      <c r="E1038" s="14">
        <f>MONTH(A1038)</f>
        <v>2</v>
      </c>
      <c r="G1038" s="1" t="s">
        <v>175</v>
      </c>
      <c r="H1038" s="1">
        <v>45.1</v>
      </c>
      <c r="I1038" s="1" t="s">
        <v>155</v>
      </c>
      <c r="J1038" s="13">
        <f>VALUE(MID(I1038,1,3))</f>
        <v>226</v>
      </c>
      <c r="K1038" s="13">
        <f>VALUE(MID(G1038,5,2))</f>
        <v>7</v>
      </c>
    </row>
    <row r="1039" spans="1:11">
      <c r="A1039" s="7">
        <v>39869</v>
      </c>
      <c r="B1039" s="1">
        <v>200.64</v>
      </c>
      <c r="C1039" s="1" t="s">
        <v>29</v>
      </c>
      <c r="D1039" s="13">
        <f>VALUE(MID(C1039,9,3))</f>
        <v>311</v>
      </c>
      <c r="E1039" s="14">
        <f>MONTH(A1039)</f>
        <v>2</v>
      </c>
      <c r="G1039" s="1" t="s">
        <v>175</v>
      </c>
      <c r="H1039" s="1">
        <v>118.3</v>
      </c>
      <c r="I1039" s="1" t="s">
        <v>80</v>
      </c>
      <c r="J1039" s="13">
        <f>VALUE(MID(I1039,1,3))</f>
        <v>226</v>
      </c>
      <c r="K1039" s="13">
        <f>VALUE(MID(G1039,5,2))</f>
        <v>7</v>
      </c>
    </row>
    <row r="1040" spans="1:11">
      <c r="A1040" s="7">
        <v>39869</v>
      </c>
      <c r="B1040" s="1">
        <v>414.46</v>
      </c>
      <c r="C1040" s="1" t="s">
        <v>29</v>
      </c>
      <c r="D1040" s="13">
        <f>VALUE(MID(C1040,9,3))</f>
        <v>311</v>
      </c>
      <c r="E1040" s="14">
        <f>MONTH(A1040)</f>
        <v>2</v>
      </c>
      <c r="G1040" s="1" t="s">
        <v>175</v>
      </c>
      <c r="H1040" s="1">
        <v>520</v>
      </c>
      <c r="I1040" s="1" t="s">
        <v>100</v>
      </c>
      <c r="J1040" s="13">
        <f>VALUE(MID(I1040,1,3))</f>
        <v>226</v>
      </c>
      <c r="K1040" s="13">
        <f>VALUE(MID(G1040,5,2))</f>
        <v>7</v>
      </c>
    </row>
    <row r="1041" spans="1:11">
      <c r="A1041" s="7">
        <v>39897</v>
      </c>
      <c r="B1041" s="1">
        <v>75</v>
      </c>
      <c r="C1041" s="1" t="s">
        <v>21</v>
      </c>
      <c r="D1041" s="13">
        <f>VALUE(MID(C1041,9,3))</f>
        <v>311</v>
      </c>
      <c r="E1041" s="14">
        <f>MONTH(A1041)</f>
        <v>3</v>
      </c>
      <c r="G1041" s="1" t="s">
        <v>175</v>
      </c>
      <c r="H1041" s="1">
        <v>140</v>
      </c>
      <c r="I1041" s="1" t="s">
        <v>100</v>
      </c>
      <c r="J1041" s="13">
        <f>VALUE(MID(I1041,1,3))</f>
        <v>226</v>
      </c>
      <c r="K1041" s="13">
        <f>VALUE(MID(G1041,5,2))</f>
        <v>7</v>
      </c>
    </row>
    <row r="1042" spans="1:11">
      <c r="A1042" s="7">
        <v>40050</v>
      </c>
      <c r="B1042" s="1">
        <v>470.25</v>
      </c>
      <c r="C1042" s="1" t="s">
        <v>13</v>
      </c>
      <c r="D1042" s="13">
        <f>VALUE(MID(C1042,9,3))</f>
        <v>311</v>
      </c>
      <c r="E1042" s="14">
        <f>MONTH(A1042)</f>
        <v>8</v>
      </c>
      <c r="G1042" s="1" t="s">
        <v>175</v>
      </c>
      <c r="H1042" s="1">
        <v>2000</v>
      </c>
      <c r="I1042" s="1" t="s">
        <v>80</v>
      </c>
      <c r="J1042" s="13">
        <f>VALUE(MID(I1042,1,3))</f>
        <v>226</v>
      </c>
      <c r="K1042" s="13">
        <f>VALUE(MID(G1042,5,2))</f>
        <v>7</v>
      </c>
    </row>
    <row r="1043" spans="1:11">
      <c r="A1043" s="7">
        <v>40081</v>
      </c>
      <c r="B1043" s="1">
        <v>15.67</v>
      </c>
      <c r="C1043" s="1" t="s">
        <v>13</v>
      </c>
      <c r="D1043" s="13">
        <f>VALUE(MID(C1043,9,3))</f>
        <v>311</v>
      </c>
      <c r="E1043" s="14">
        <f>MONTH(A1043)</f>
        <v>9</v>
      </c>
      <c r="G1043" s="1" t="s">
        <v>187</v>
      </c>
      <c r="H1043" s="1">
        <v>500</v>
      </c>
      <c r="I1043" s="1" t="s">
        <v>100</v>
      </c>
      <c r="J1043" s="13">
        <f>VALUE(MID(I1043,1,3))</f>
        <v>226</v>
      </c>
      <c r="K1043" s="13">
        <f>VALUE(MID(G1043,5,2))</f>
        <v>9</v>
      </c>
    </row>
    <row r="1044" spans="1:11">
      <c r="A1044" s="7">
        <v>40081</v>
      </c>
      <c r="B1044" s="1">
        <v>243.29</v>
      </c>
      <c r="C1044" s="1" t="s">
        <v>13</v>
      </c>
      <c r="D1044" s="13">
        <f>VALUE(MID(C1044,9,3))</f>
        <v>311</v>
      </c>
      <c r="E1044" s="14">
        <f>MONTH(A1044)</f>
        <v>9</v>
      </c>
      <c r="G1044" s="1" t="s">
        <v>187</v>
      </c>
      <c r="H1044" s="1">
        <v>296.16000000000003</v>
      </c>
      <c r="I1044" s="1" t="s">
        <v>102</v>
      </c>
      <c r="J1044" s="13">
        <f>VALUE(MID(I1044,1,3))</f>
        <v>226</v>
      </c>
      <c r="K1044" s="13">
        <f>VALUE(MID(G1044,5,2))</f>
        <v>9</v>
      </c>
    </row>
    <row r="1045" spans="1:11">
      <c r="A1045" s="7">
        <v>40081</v>
      </c>
      <c r="B1045" s="1">
        <v>158.04</v>
      </c>
      <c r="C1045" s="1" t="s">
        <v>6</v>
      </c>
      <c r="D1045" s="13">
        <f>VALUE(MID(C1045,9,3))</f>
        <v>311</v>
      </c>
      <c r="E1045" s="14">
        <f>MONTH(A1045)</f>
        <v>9</v>
      </c>
      <c r="G1045" s="1" t="s">
        <v>187</v>
      </c>
      <c r="H1045" s="1">
        <v>675</v>
      </c>
      <c r="I1045" s="1" t="s">
        <v>155</v>
      </c>
      <c r="J1045" s="13">
        <f>VALUE(MID(I1045,1,3))</f>
        <v>226</v>
      </c>
      <c r="K1045" s="13">
        <f>VALUE(MID(G1045,5,2))</f>
        <v>9</v>
      </c>
    </row>
    <row r="1046" spans="1:11">
      <c r="A1046" s="7">
        <v>40081</v>
      </c>
      <c r="B1046" s="1">
        <v>80</v>
      </c>
      <c r="C1046" s="1" t="s">
        <v>18</v>
      </c>
      <c r="D1046" s="13">
        <f>VALUE(MID(C1046,9,3))</f>
        <v>311</v>
      </c>
      <c r="E1046" s="14">
        <f>MONTH(A1046)</f>
        <v>9</v>
      </c>
      <c r="G1046" s="1" t="s">
        <v>192</v>
      </c>
      <c r="H1046" s="1">
        <v>30</v>
      </c>
      <c r="I1046" s="1" t="s">
        <v>100</v>
      </c>
      <c r="J1046" s="13">
        <f>VALUE(MID(I1046,1,3))</f>
        <v>226</v>
      </c>
      <c r="K1046" s="13">
        <f>VALUE(MID(G1046,5,2))</f>
        <v>9</v>
      </c>
    </row>
    <row r="1047" spans="1:11">
      <c r="A1047" s="7">
        <v>40081</v>
      </c>
      <c r="B1047" s="1">
        <v>2</v>
      </c>
      <c r="C1047" s="1" t="s">
        <v>18</v>
      </c>
      <c r="D1047" s="13">
        <f>VALUE(MID(C1047,9,3))</f>
        <v>311</v>
      </c>
      <c r="E1047" s="14">
        <f>MONTH(A1047)</f>
        <v>9</v>
      </c>
      <c r="G1047" s="1" t="s">
        <v>192</v>
      </c>
      <c r="H1047" s="1">
        <v>23.5</v>
      </c>
      <c r="I1047" s="1" t="s">
        <v>80</v>
      </c>
      <c r="J1047" s="13">
        <f>VALUE(MID(I1047,1,3))</f>
        <v>226</v>
      </c>
      <c r="K1047" s="13">
        <f>VALUE(MID(G1047,5,2))</f>
        <v>9</v>
      </c>
    </row>
    <row r="1048" spans="1:11">
      <c r="A1048" s="7">
        <v>40081</v>
      </c>
      <c r="B1048" s="1">
        <v>80</v>
      </c>
      <c r="C1048" s="1" t="s">
        <v>18</v>
      </c>
      <c r="D1048" s="13">
        <f>VALUE(MID(C1048,9,3))</f>
        <v>311</v>
      </c>
      <c r="E1048" s="14">
        <f>MONTH(A1048)</f>
        <v>9</v>
      </c>
      <c r="G1048" s="1" t="s">
        <v>192</v>
      </c>
      <c r="H1048" s="1">
        <v>23.33</v>
      </c>
      <c r="I1048" s="1" t="s">
        <v>80</v>
      </c>
      <c r="J1048" s="13">
        <f>VALUE(MID(I1048,1,3))</f>
        <v>226</v>
      </c>
      <c r="K1048" s="13">
        <f>VALUE(MID(G1048,5,2))</f>
        <v>9</v>
      </c>
    </row>
    <row r="1049" spans="1:11">
      <c r="A1049" s="7">
        <v>40081</v>
      </c>
      <c r="B1049" s="1">
        <v>300</v>
      </c>
      <c r="C1049" s="1" t="s">
        <v>20</v>
      </c>
      <c r="D1049" s="13">
        <f>VALUE(MID(C1049,9,3))</f>
        <v>311</v>
      </c>
      <c r="E1049" s="14">
        <f>MONTH(A1049)</f>
        <v>9</v>
      </c>
      <c r="G1049" s="1" t="s">
        <v>192</v>
      </c>
      <c r="H1049" s="1">
        <v>79.72</v>
      </c>
      <c r="I1049" s="1" t="s">
        <v>100</v>
      </c>
      <c r="J1049" s="13">
        <f>VALUE(MID(I1049,1,3))</f>
        <v>226</v>
      </c>
      <c r="K1049" s="13">
        <f>VALUE(MID(G1049,5,2))</f>
        <v>9</v>
      </c>
    </row>
    <row r="1050" spans="1:11">
      <c r="A1050" s="7">
        <v>40081</v>
      </c>
      <c r="B1050" s="1">
        <v>300</v>
      </c>
      <c r="C1050" s="1" t="s">
        <v>20</v>
      </c>
      <c r="D1050" s="13">
        <f>VALUE(MID(C1050,9,3))</f>
        <v>311</v>
      </c>
      <c r="E1050" s="14">
        <f>MONTH(A1050)</f>
        <v>9</v>
      </c>
      <c r="G1050" s="1" t="s">
        <v>203</v>
      </c>
      <c r="H1050" s="1">
        <v>280.27999999999997</v>
      </c>
      <c r="I1050" s="1" t="s">
        <v>102</v>
      </c>
      <c r="J1050" s="13">
        <f>VALUE(MID(I1050,1,3))</f>
        <v>226</v>
      </c>
      <c r="K1050" s="13">
        <f>VALUE(MID(G1050,5,2))</f>
        <v>10</v>
      </c>
    </row>
    <row r="1051" spans="1:11">
      <c r="A1051" s="7">
        <v>40081</v>
      </c>
      <c r="B1051" s="1">
        <v>300</v>
      </c>
      <c r="C1051" s="1" t="s">
        <v>20</v>
      </c>
      <c r="D1051" s="13">
        <f>VALUE(MID(C1051,9,3))</f>
        <v>311</v>
      </c>
      <c r="E1051" s="14">
        <f>MONTH(A1051)</f>
        <v>9</v>
      </c>
      <c r="G1051" s="1" t="s">
        <v>203</v>
      </c>
      <c r="H1051" s="1">
        <v>364</v>
      </c>
      <c r="I1051" s="1" t="s">
        <v>102</v>
      </c>
      <c r="J1051" s="13">
        <f>VALUE(MID(I1051,1,3))</f>
        <v>226</v>
      </c>
      <c r="K1051" s="13">
        <f>VALUE(MID(G1051,5,2))</f>
        <v>10</v>
      </c>
    </row>
    <row r="1052" spans="1:11">
      <c r="A1052" s="7">
        <v>40081</v>
      </c>
      <c r="B1052" s="1">
        <v>300</v>
      </c>
      <c r="C1052" s="1" t="s">
        <v>20</v>
      </c>
      <c r="D1052" s="13">
        <f>VALUE(MID(C1052,9,3))</f>
        <v>311</v>
      </c>
      <c r="E1052" s="14">
        <f>MONTH(A1052)</f>
        <v>9</v>
      </c>
      <c r="G1052" s="1" t="s">
        <v>203</v>
      </c>
      <c r="H1052" s="1">
        <v>520</v>
      </c>
      <c r="I1052" s="1" t="s">
        <v>102</v>
      </c>
      <c r="J1052" s="13">
        <f>VALUE(MID(I1052,1,3))</f>
        <v>226</v>
      </c>
      <c r="K1052" s="13">
        <f>VALUE(MID(G1052,5,2))</f>
        <v>10</v>
      </c>
    </row>
    <row r="1053" spans="1:11">
      <c r="A1053" s="7">
        <v>40081</v>
      </c>
      <c r="B1053" s="1">
        <v>300</v>
      </c>
      <c r="C1053" s="1" t="s">
        <v>20</v>
      </c>
      <c r="D1053" s="13">
        <f>VALUE(MID(C1053,9,3))</f>
        <v>311</v>
      </c>
      <c r="E1053" s="14">
        <f>MONTH(A1053)</f>
        <v>9</v>
      </c>
      <c r="G1053" s="1" t="s">
        <v>203</v>
      </c>
      <c r="H1053" s="1">
        <v>285</v>
      </c>
      <c r="I1053" s="1" t="s">
        <v>100</v>
      </c>
      <c r="J1053" s="13">
        <f>VALUE(MID(I1053,1,3))</f>
        <v>226</v>
      </c>
      <c r="K1053" s="13">
        <f>VALUE(MID(G1053,5,2))</f>
        <v>10</v>
      </c>
    </row>
    <row r="1054" spans="1:11">
      <c r="A1054" s="7">
        <v>40142</v>
      </c>
      <c r="B1054" s="1">
        <v>482.66</v>
      </c>
      <c r="C1054" s="1" t="s">
        <v>7</v>
      </c>
      <c r="D1054" s="13">
        <f>VALUE(MID(C1054,9,3))</f>
        <v>311</v>
      </c>
      <c r="E1054" s="14">
        <f>MONTH(A1054)</f>
        <v>11</v>
      </c>
      <c r="G1054" s="1" t="s">
        <v>203</v>
      </c>
      <c r="H1054" s="1">
        <v>220</v>
      </c>
      <c r="I1054" s="1" t="s">
        <v>100</v>
      </c>
      <c r="J1054" s="13">
        <f>VALUE(MID(I1054,1,3))</f>
        <v>226</v>
      </c>
      <c r="K1054" s="13">
        <f>VALUE(MID(G1054,5,2))</f>
        <v>10</v>
      </c>
    </row>
    <row r="1055" spans="1:11">
      <c r="A1055" s="7">
        <v>39839</v>
      </c>
      <c r="B1055" s="1">
        <v>1053.0999999999999</v>
      </c>
      <c r="C1055" s="1" t="s">
        <v>28</v>
      </c>
      <c r="D1055" s="13">
        <f>VALUE(MID(C1055,9,3))</f>
        <v>311</v>
      </c>
      <c r="E1055" s="14">
        <f>MONTH(A1055)</f>
        <v>1</v>
      </c>
      <c r="G1055" s="1" t="s">
        <v>209</v>
      </c>
      <c r="H1055" s="1">
        <v>216.75</v>
      </c>
      <c r="I1055" s="1" t="s">
        <v>100</v>
      </c>
      <c r="J1055" s="13">
        <f>VALUE(MID(I1055,1,3))</f>
        <v>226</v>
      </c>
      <c r="K1055" s="13">
        <f>VALUE(MID(G1055,5,2))</f>
        <v>11</v>
      </c>
    </row>
    <row r="1056" spans="1:11">
      <c r="A1056" s="7">
        <v>39839</v>
      </c>
      <c r="B1056" s="1">
        <v>437.44</v>
      </c>
      <c r="C1056" s="1" t="s">
        <v>28</v>
      </c>
      <c r="D1056" s="13">
        <f>VALUE(MID(C1056,9,3))</f>
        <v>311</v>
      </c>
      <c r="E1056" s="14">
        <f>MONTH(A1056)</f>
        <v>1</v>
      </c>
      <c r="G1056" s="1" t="s">
        <v>209</v>
      </c>
      <c r="H1056" s="1">
        <v>82.8</v>
      </c>
      <c r="I1056" s="1" t="s">
        <v>100</v>
      </c>
      <c r="J1056" s="13">
        <f>VALUE(MID(I1056,1,3))</f>
        <v>226</v>
      </c>
      <c r="K1056" s="13">
        <f>VALUE(MID(G1056,5,2))</f>
        <v>11</v>
      </c>
    </row>
    <row r="1057" spans="1:11">
      <c r="A1057" s="7">
        <v>39839</v>
      </c>
      <c r="B1057" s="1">
        <v>360</v>
      </c>
      <c r="C1057" s="1" t="s">
        <v>22</v>
      </c>
      <c r="D1057" s="13">
        <f>VALUE(MID(C1057,9,3))</f>
        <v>311</v>
      </c>
      <c r="E1057" s="14">
        <f>MONTH(A1057)</f>
        <v>1</v>
      </c>
      <c r="G1057" s="1" t="s">
        <v>209</v>
      </c>
      <c r="H1057" s="1">
        <v>161.5</v>
      </c>
      <c r="I1057" s="1" t="s">
        <v>80</v>
      </c>
      <c r="J1057" s="13">
        <f>VALUE(MID(I1057,1,3))</f>
        <v>226</v>
      </c>
      <c r="K1057" s="13">
        <f>VALUE(MID(G1057,5,2))</f>
        <v>11</v>
      </c>
    </row>
    <row r="1058" spans="1:11">
      <c r="A1058" s="7">
        <v>39839</v>
      </c>
      <c r="B1058" s="1">
        <v>360</v>
      </c>
      <c r="C1058" s="1" t="s">
        <v>22</v>
      </c>
      <c r="D1058" s="13">
        <f>VALUE(MID(C1058,9,3))</f>
        <v>311</v>
      </c>
      <c r="E1058" s="14">
        <f>MONTH(A1058)</f>
        <v>1</v>
      </c>
      <c r="G1058" s="1" t="s">
        <v>210</v>
      </c>
      <c r="H1058" s="1">
        <v>350</v>
      </c>
      <c r="I1058" s="1" t="s">
        <v>80</v>
      </c>
      <c r="J1058" s="13">
        <f>VALUE(MID(I1058,1,3))</f>
        <v>226</v>
      </c>
      <c r="K1058" s="13">
        <f>VALUE(MID(G1058,5,2))</f>
        <v>11</v>
      </c>
    </row>
    <row r="1059" spans="1:11">
      <c r="A1059" s="7">
        <v>39839</v>
      </c>
      <c r="B1059" s="1">
        <v>150</v>
      </c>
      <c r="C1059" s="1" t="s">
        <v>41</v>
      </c>
      <c r="D1059" s="13">
        <f>VALUE(MID(C1059,9,3))</f>
        <v>311</v>
      </c>
      <c r="E1059" s="14">
        <f>MONTH(A1059)</f>
        <v>1</v>
      </c>
      <c r="G1059" s="1" t="s">
        <v>210</v>
      </c>
      <c r="H1059" s="1">
        <v>300</v>
      </c>
      <c r="I1059" s="1" t="s">
        <v>100</v>
      </c>
      <c r="J1059" s="13">
        <f>VALUE(MID(I1059,1,3))</f>
        <v>226</v>
      </c>
      <c r="K1059" s="13">
        <f>VALUE(MID(G1059,5,2))</f>
        <v>11</v>
      </c>
    </row>
    <row r="1060" spans="1:11">
      <c r="A1060" s="7">
        <v>39870</v>
      </c>
      <c r="B1060" s="1">
        <v>1034.55</v>
      </c>
      <c r="C1060" s="1" t="s">
        <v>3</v>
      </c>
      <c r="D1060" s="13">
        <f>VALUE(MID(C1060,9,3))</f>
        <v>311</v>
      </c>
      <c r="E1060" s="14">
        <f>MONTH(A1060)</f>
        <v>2</v>
      </c>
      <c r="G1060" s="1" t="s">
        <v>210</v>
      </c>
      <c r="H1060" s="1">
        <v>140</v>
      </c>
      <c r="I1060" s="1" t="s">
        <v>80</v>
      </c>
      <c r="J1060" s="13">
        <f>VALUE(MID(I1060,1,3))</f>
        <v>226</v>
      </c>
      <c r="K1060" s="13">
        <f>VALUE(MID(G1060,5,2))</f>
        <v>11</v>
      </c>
    </row>
    <row r="1061" spans="1:11">
      <c r="A1061" s="7">
        <v>39870</v>
      </c>
      <c r="B1061" s="1">
        <v>644.89</v>
      </c>
      <c r="C1061" s="1" t="s">
        <v>29</v>
      </c>
      <c r="D1061" s="13">
        <f>VALUE(MID(C1061,9,3))</f>
        <v>311</v>
      </c>
      <c r="E1061" s="14">
        <f>MONTH(A1061)</f>
        <v>2</v>
      </c>
      <c r="G1061" s="1" t="s">
        <v>210</v>
      </c>
      <c r="H1061" s="1">
        <v>43.51</v>
      </c>
      <c r="I1061" s="1" t="s">
        <v>80</v>
      </c>
      <c r="J1061" s="13">
        <f>VALUE(MID(I1061,1,3))</f>
        <v>226</v>
      </c>
      <c r="K1061" s="13">
        <f>VALUE(MID(G1061,5,2))</f>
        <v>11</v>
      </c>
    </row>
    <row r="1062" spans="1:11">
      <c r="A1062" s="7">
        <v>39870</v>
      </c>
      <c r="B1062" s="1">
        <v>335.44</v>
      </c>
      <c r="C1062" s="1" t="s">
        <v>29</v>
      </c>
      <c r="D1062" s="13">
        <f>VALUE(MID(C1062,9,3))</f>
        <v>311</v>
      </c>
      <c r="E1062" s="14">
        <f>MONTH(A1062)</f>
        <v>2</v>
      </c>
      <c r="G1062" s="1" t="s">
        <v>210</v>
      </c>
      <c r="H1062" s="1">
        <v>936</v>
      </c>
      <c r="I1062" s="1" t="s">
        <v>155</v>
      </c>
      <c r="J1062" s="13">
        <f>VALUE(MID(I1062,1,3))</f>
        <v>226</v>
      </c>
      <c r="K1062" s="13">
        <f>VALUE(MID(G1062,5,2))</f>
        <v>11</v>
      </c>
    </row>
    <row r="1063" spans="1:11">
      <c r="A1063" s="7">
        <v>39870</v>
      </c>
      <c r="B1063" s="1">
        <v>770.05</v>
      </c>
      <c r="C1063" s="1" t="s">
        <v>29</v>
      </c>
      <c r="D1063" s="13">
        <f>VALUE(MID(C1063,9,3))</f>
        <v>311</v>
      </c>
      <c r="E1063" s="14">
        <f>MONTH(A1063)</f>
        <v>2</v>
      </c>
      <c r="G1063" s="1" t="s">
        <v>210</v>
      </c>
      <c r="H1063" s="1">
        <v>34.840000000000003</v>
      </c>
      <c r="I1063" s="1" t="s">
        <v>100</v>
      </c>
      <c r="J1063" s="13">
        <f>VALUE(MID(I1063,1,3))</f>
        <v>226</v>
      </c>
      <c r="K1063" s="13">
        <f>VALUE(MID(G1063,5,2))</f>
        <v>11</v>
      </c>
    </row>
    <row r="1064" spans="1:11">
      <c r="A1064" s="7">
        <v>39870</v>
      </c>
      <c r="B1064" s="1">
        <v>207.23</v>
      </c>
      <c r="C1064" s="1" t="s">
        <v>29</v>
      </c>
      <c r="D1064" s="13">
        <f>VALUE(MID(C1064,9,3))</f>
        <v>311</v>
      </c>
      <c r="E1064" s="14">
        <f>MONTH(A1064)</f>
        <v>2</v>
      </c>
      <c r="G1064" s="1" t="s">
        <v>210</v>
      </c>
      <c r="H1064" s="1">
        <v>959.2</v>
      </c>
      <c r="I1064" s="1" t="s">
        <v>155</v>
      </c>
      <c r="J1064" s="13">
        <f>VALUE(MID(I1064,1,3))</f>
        <v>226</v>
      </c>
      <c r="K1064" s="13">
        <f>VALUE(MID(G1064,5,2))</f>
        <v>11</v>
      </c>
    </row>
    <row r="1065" spans="1:11">
      <c r="A1065" s="7">
        <v>39870</v>
      </c>
      <c r="B1065" s="1">
        <v>414.46</v>
      </c>
      <c r="C1065" s="1" t="s">
        <v>29</v>
      </c>
      <c r="D1065" s="13">
        <f>VALUE(MID(C1065,9,3))</f>
        <v>311</v>
      </c>
      <c r="E1065" s="14">
        <f>MONTH(A1065)</f>
        <v>2</v>
      </c>
      <c r="G1065" s="1" t="s">
        <v>210</v>
      </c>
      <c r="H1065" s="1">
        <v>158.1</v>
      </c>
      <c r="I1065" s="1" t="s">
        <v>80</v>
      </c>
      <c r="J1065" s="13">
        <f>VALUE(MID(I1065,1,3))</f>
        <v>226</v>
      </c>
      <c r="K1065" s="13">
        <f>VALUE(MID(G1065,5,2))</f>
        <v>11</v>
      </c>
    </row>
    <row r="1066" spans="1:11">
      <c r="A1066" s="7">
        <v>39870</v>
      </c>
      <c r="B1066" s="1">
        <v>378.13</v>
      </c>
      <c r="C1066" s="1" t="s">
        <v>29</v>
      </c>
      <c r="D1066" s="13">
        <f>VALUE(MID(C1066,9,3))</f>
        <v>311</v>
      </c>
      <c r="E1066" s="14">
        <f>MONTH(A1066)</f>
        <v>2</v>
      </c>
      <c r="G1066" s="1" t="s">
        <v>210</v>
      </c>
      <c r="H1066" s="1">
        <v>174.12</v>
      </c>
      <c r="I1066" s="1" t="s">
        <v>80</v>
      </c>
      <c r="J1066" s="13">
        <f>VALUE(MID(I1066,1,3))</f>
        <v>226</v>
      </c>
      <c r="K1066" s="13">
        <f>VALUE(MID(G1066,5,2))</f>
        <v>11</v>
      </c>
    </row>
    <row r="1067" spans="1:11">
      <c r="A1067" s="7">
        <v>39870</v>
      </c>
      <c r="B1067" s="1">
        <v>3200</v>
      </c>
      <c r="C1067" s="1" t="s">
        <v>27</v>
      </c>
      <c r="D1067" s="13">
        <f>VALUE(MID(C1067,9,3))</f>
        <v>311</v>
      </c>
      <c r="E1067" s="14">
        <f>MONTH(A1067)</f>
        <v>2</v>
      </c>
      <c r="G1067" s="1" t="s">
        <v>210</v>
      </c>
      <c r="H1067" s="1">
        <v>30</v>
      </c>
      <c r="I1067" s="1" t="s">
        <v>100</v>
      </c>
      <c r="J1067" s="13">
        <f>VALUE(MID(I1067,1,3))</f>
        <v>226</v>
      </c>
      <c r="K1067" s="13">
        <f>VALUE(MID(G1067,5,2))</f>
        <v>11</v>
      </c>
    </row>
    <row r="1068" spans="1:11">
      <c r="A1068" s="7">
        <v>39870</v>
      </c>
      <c r="B1068" s="1">
        <v>75</v>
      </c>
      <c r="C1068" s="1" t="s">
        <v>21</v>
      </c>
      <c r="D1068" s="13">
        <f>VALUE(MID(C1068,9,3))</f>
        <v>311</v>
      </c>
      <c r="E1068" s="14">
        <f>MONTH(A1068)</f>
        <v>2</v>
      </c>
      <c r="G1068" s="1" t="s">
        <v>210</v>
      </c>
      <c r="H1068" s="1">
        <v>440</v>
      </c>
      <c r="I1068" s="1" t="s">
        <v>155</v>
      </c>
      <c r="J1068" s="13">
        <f>VALUE(MID(I1068,1,3))</f>
        <v>226</v>
      </c>
      <c r="K1068" s="13">
        <f>VALUE(MID(G1068,5,2))</f>
        <v>11</v>
      </c>
    </row>
    <row r="1069" spans="1:11">
      <c r="A1069" s="7">
        <v>39898</v>
      </c>
      <c r="B1069" s="1">
        <v>-75</v>
      </c>
      <c r="C1069" s="1" t="s">
        <v>21</v>
      </c>
      <c r="D1069" s="13">
        <f>VALUE(MID(C1069,9,3))</f>
        <v>311</v>
      </c>
      <c r="E1069" s="14">
        <f>MONTH(A1069)</f>
        <v>3</v>
      </c>
      <c r="G1069" s="1" t="s">
        <v>210</v>
      </c>
      <c r="H1069" s="1">
        <v>101.92</v>
      </c>
      <c r="I1069" s="1" t="s">
        <v>155</v>
      </c>
      <c r="J1069" s="13">
        <f>VALUE(MID(I1069,1,3))</f>
        <v>226</v>
      </c>
      <c r="K1069" s="13">
        <f>VALUE(MID(G1069,5,2))</f>
        <v>11</v>
      </c>
    </row>
    <row r="1070" spans="1:11">
      <c r="A1070" s="7">
        <v>39898</v>
      </c>
      <c r="B1070" s="1">
        <v>-75</v>
      </c>
      <c r="C1070" s="1" t="s">
        <v>21</v>
      </c>
      <c r="D1070" s="13">
        <f>VALUE(MID(C1070,9,3))</f>
        <v>311</v>
      </c>
      <c r="E1070" s="14">
        <f>MONTH(A1070)</f>
        <v>3</v>
      </c>
      <c r="G1070" s="1" t="s">
        <v>210</v>
      </c>
      <c r="H1070" s="1">
        <v>22.88</v>
      </c>
      <c r="I1070" s="1" t="s">
        <v>100</v>
      </c>
      <c r="J1070" s="13">
        <f>VALUE(MID(I1070,1,3))</f>
        <v>226</v>
      </c>
      <c r="K1070" s="13">
        <f>VALUE(MID(G1070,5,2))</f>
        <v>11</v>
      </c>
    </row>
    <row r="1071" spans="1:11">
      <c r="A1071" s="7">
        <v>39898</v>
      </c>
      <c r="B1071" s="1">
        <v>-75</v>
      </c>
      <c r="C1071" s="1" t="s">
        <v>21</v>
      </c>
      <c r="D1071" s="13">
        <f>VALUE(MID(C1071,9,3))</f>
        <v>311</v>
      </c>
      <c r="E1071" s="14">
        <f>MONTH(A1071)</f>
        <v>3</v>
      </c>
      <c r="G1071" s="1" t="s">
        <v>210</v>
      </c>
      <c r="H1071" s="1">
        <v>910</v>
      </c>
      <c r="I1071" s="1" t="s">
        <v>100</v>
      </c>
      <c r="J1071" s="13">
        <f>VALUE(MID(I1071,1,3))</f>
        <v>226</v>
      </c>
      <c r="K1071" s="13">
        <f>VALUE(MID(G1071,5,2))</f>
        <v>11</v>
      </c>
    </row>
    <row r="1072" spans="1:11">
      <c r="A1072" s="7">
        <v>39898</v>
      </c>
      <c r="B1072" s="1">
        <v>3500</v>
      </c>
      <c r="C1072" s="1" t="s">
        <v>60</v>
      </c>
      <c r="D1072" s="13">
        <f>VALUE(MID(C1072,9,3))</f>
        <v>311</v>
      </c>
      <c r="E1072" s="14">
        <f>MONTH(A1072)</f>
        <v>3</v>
      </c>
      <c r="G1072" s="1" t="s">
        <v>210</v>
      </c>
      <c r="H1072" s="1">
        <v>624</v>
      </c>
      <c r="I1072" s="1" t="s">
        <v>100</v>
      </c>
      <c r="J1072" s="13">
        <f>VALUE(MID(I1072,1,3))</f>
        <v>226</v>
      </c>
      <c r="K1072" s="13">
        <f>VALUE(MID(G1072,5,2))</f>
        <v>11</v>
      </c>
    </row>
    <row r="1073" spans="1:11">
      <c r="A1073" s="7">
        <v>39990</v>
      </c>
      <c r="B1073" s="1">
        <v>58.5</v>
      </c>
      <c r="C1073" s="1" t="s">
        <v>29</v>
      </c>
      <c r="D1073" s="13">
        <f>VALUE(MID(C1073,9,3))</f>
        <v>311</v>
      </c>
      <c r="E1073" s="14">
        <f>MONTH(A1073)</f>
        <v>6</v>
      </c>
      <c r="G1073" s="1" t="s">
        <v>210</v>
      </c>
      <c r="H1073" s="1">
        <v>416</v>
      </c>
      <c r="I1073" s="1" t="s">
        <v>100</v>
      </c>
      <c r="J1073" s="13">
        <f>VALUE(MID(I1073,1,3))</f>
        <v>226</v>
      </c>
      <c r="K1073" s="13">
        <f>VALUE(MID(G1073,5,2))</f>
        <v>11</v>
      </c>
    </row>
    <row r="1074" spans="1:11">
      <c r="A1074" s="7">
        <v>40112</v>
      </c>
      <c r="B1074" s="1">
        <v>250.8</v>
      </c>
      <c r="C1074" s="1" t="s">
        <v>3</v>
      </c>
      <c r="D1074" s="13">
        <f>VALUE(MID(C1074,9,3))</f>
        <v>311</v>
      </c>
      <c r="E1074" s="14">
        <f>MONTH(A1074)</f>
        <v>10</v>
      </c>
      <c r="G1074" s="1" t="s">
        <v>210</v>
      </c>
      <c r="H1074" s="1">
        <v>22.98</v>
      </c>
      <c r="I1074" s="1" t="s">
        <v>100</v>
      </c>
      <c r="J1074" s="13">
        <f>VALUE(MID(I1074,1,3))</f>
        <v>226</v>
      </c>
      <c r="K1074" s="13">
        <f>VALUE(MID(G1074,5,2))</f>
        <v>11</v>
      </c>
    </row>
    <row r="1075" spans="1:11">
      <c r="A1075" s="7">
        <v>39840</v>
      </c>
      <c r="B1075" s="1">
        <v>590</v>
      </c>
      <c r="C1075" s="1" t="s">
        <v>12</v>
      </c>
      <c r="D1075" s="13">
        <f>VALUE(MID(C1075,9,3))</f>
        <v>311</v>
      </c>
      <c r="E1075" s="14">
        <f>MONTH(A1075)</f>
        <v>1</v>
      </c>
      <c r="G1075" s="1" t="s">
        <v>210</v>
      </c>
      <c r="H1075" s="1">
        <v>48</v>
      </c>
      <c r="I1075" s="1" t="s">
        <v>155</v>
      </c>
      <c r="J1075" s="13">
        <f>VALUE(MID(I1075,1,3))</f>
        <v>226</v>
      </c>
      <c r="K1075" s="13">
        <f>VALUE(MID(G1075,5,2))</f>
        <v>11</v>
      </c>
    </row>
    <row r="1076" spans="1:11">
      <c r="A1076" s="7">
        <v>39840</v>
      </c>
      <c r="B1076" s="1">
        <v>266.5</v>
      </c>
      <c r="C1076" s="1" t="s">
        <v>28</v>
      </c>
      <c r="D1076" s="13">
        <f>VALUE(MID(C1076,9,3))</f>
        <v>311</v>
      </c>
      <c r="E1076" s="14">
        <f>MONTH(A1076)</f>
        <v>1</v>
      </c>
      <c r="G1076" s="1" t="s">
        <v>219</v>
      </c>
      <c r="H1076" s="1">
        <v>117</v>
      </c>
      <c r="I1076" s="1" t="s">
        <v>100</v>
      </c>
      <c r="J1076" s="13">
        <f>VALUE(MID(I1076,1,3))</f>
        <v>226</v>
      </c>
      <c r="K1076" s="13">
        <f>VALUE(MID(G1076,5,2))</f>
        <v>12</v>
      </c>
    </row>
    <row r="1077" spans="1:11">
      <c r="A1077" s="7">
        <v>39840</v>
      </c>
      <c r="B1077" s="1">
        <v>75</v>
      </c>
      <c r="C1077" s="1" t="s">
        <v>21</v>
      </c>
      <c r="D1077" s="13">
        <f>VALUE(MID(C1077,9,3))</f>
        <v>311</v>
      </c>
      <c r="E1077" s="14">
        <f>MONTH(A1077)</f>
        <v>1</v>
      </c>
      <c r="G1077" s="1" t="s">
        <v>219</v>
      </c>
      <c r="H1077" s="1">
        <v>416</v>
      </c>
      <c r="I1077" s="1" t="s">
        <v>100</v>
      </c>
      <c r="J1077" s="13">
        <f>VALUE(MID(I1077,1,3))</f>
        <v>226</v>
      </c>
      <c r="K1077" s="13">
        <f>VALUE(MID(G1077,5,2))</f>
        <v>12</v>
      </c>
    </row>
    <row r="1078" spans="1:11">
      <c r="A1078" s="7">
        <v>39840</v>
      </c>
      <c r="B1078" s="1">
        <v>150</v>
      </c>
      <c r="C1078" s="1" t="s">
        <v>41</v>
      </c>
      <c r="D1078" s="13">
        <f>VALUE(MID(C1078,9,3))</f>
        <v>311</v>
      </c>
      <c r="E1078" s="14">
        <f>MONTH(A1078)</f>
        <v>1</v>
      </c>
      <c r="G1078" s="1" t="s">
        <v>223</v>
      </c>
      <c r="H1078" s="1">
        <v>8.8000000000000007</v>
      </c>
      <c r="I1078" s="1" t="s">
        <v>100</v>
      </c>
      <c r="J1078" s="13">
        <f>VALUE(MID(I1078,1,3))</f>
        <v>226</v>
      </c>
      <c r="K1078" s="13">
        <f>VALUE(MID(G1078,5,2))</f>
        <v>12</v>
      </c>
    </row>
    <row r="1079" spans="1:11">
      <c r="A1079" s="7">
        <v>40205</v>
      </c>
      <c r="B1079" s="1">
        <v>244.88</v>
      </c>
      <c r="C1079" s="1" t="s">
        <v>7</v>
      </c>
      <c r="D1079" s="13">
        <f>VALUE(MID(C1079,9,3))</f>
        <v>311</v>
      </c>
      <c r="E1079" s="14">
        <f>MONTH(A1079)</f>
        <v>1</v>
      </c>
      <c r="G1079" s="1" t="s">
        <v>223</v>
      </c>
      <c r="H1079" s="1">
        <v>1.92</v>
      </c>
      <c r="I1079" s="1" t="s">
        <v>155</v>
      </c>
      <c r="J1079" s="13">
        <f>VALUE(MID(I1079,1,3))</f>
        <v>226</v>
      </c>
      <c r="K1079" s="13">
        <f>VALUE(MID(G1079,5,2))</f>
        <v>12</v>
      </c>
    </row>
    <row r="1080" spans="1:11">
      <c r="A1080" s="7">
        <v>40205</v>
      </c>
      <c r="B1080" s="1">
        <v>244.87</v>
      </c>
      <c r="C1080" s="1" t="s">
        <v>7</v>
      </c>
      <c r="D1080" s="13">
        <f>VALUE(MID(C1080,9,3))</f>
        <v>311</v>
      </c>
      <c r="E1080" s="14">
        <f>MONTH(A1080)</f>
        <v>1</v>
      </c>
      <c r="G1080" s="1" t="s">
        <v>223</v>
      </c>
      <c r="H1080" s="1">
        <v>12</v>
      </c>
      <c r="I1080" s="1" t="s">
        <v>100</v>
      </c>
      <c r="J1080" s="13">
        <f>VALUE(MID(I1080,1,3))</f>
        <v>226</v>
      </c>
      <c r="K1080" s="13">
        <f>VALUE(MID(G1080,5,2))</f>
        <v>12</v>
      </c>
    </row>
    <row r="1081" spans="1:11">
      <c r="A1081" s="7">
        <v>39871</v>
      </c>
      <c r="B1081" s="1">
        <v>651.51</v>
      </c>
      <c r="C1081" s="1" t="s">
        <v>28</v>
      </c>
      <c r="D1081" s="13">
        <f>VALUE(MID(C1081,9,3))</f>
        <v>311</v>
      </c>
      <c r="E1081" s="14">
        <f>MONTH(A1081)</f>
        <v>2</v>
      </c>
      <c r="G1081" s="1" t="s">
        <v>226</v>
      </c>
      <c r="H1081" s="1">
        <v>18.899999999999999</v>
      </c>
      <c r="I1081" s="1" t="s">
        <v>80</v>
      </c>
      <c r="J1081" s="13">
        <f>VALUE(MID(I1081,1,3))</f>
        <v>226</v>
      </c>
      <c r="K1081" s="13">
        <f>VALUE(MID(G1081,5,2))</f>
        <v>1</v>
      </c>
    </row>
    <row r="1082" spans="1:11">
      <c r="A1082" s="7">
        <v>39871</v>
      </c>
      <c r="B1082" s="1">
        <v>467.14</v>
      </c>
      <c r="C1082" s="1" t="s">
        <v>29</v>
      </c>
      <c r="D1082" s="13">
        <f>VALUE(MID(C1082,9,3))</f>
        <v>311</v>
      </c>
      <c r="E1082" s="14">
        <f>MONTH(A1082)</f>
        <v>2</v>
      </c>
      <c r="G1082" s="1" t="s">
        <v>226</v>
      </c>
      <c r="H1082" s="1">
        <v>260</v>
      </c>
      <c r="I1082" s="1" t="s">
        <v>100</v>
      </c>
      <c r="J1082" s="13">
        <f>VALUE(MID(I1082,1,3))</f>
        <v>226</v>
      </c>
      <c r="K1082" s="13">
        <f>VALUE(MID(G1082,5,2))</f>
        <v>1</v>
      </c>
    </row>
    <row r="1083" spans="1:11">
      <c r="A1083" s="7">
        <v>39871</v>
      </c>
      <c r="B1083" s="1">
        <v>202.78</v>
      </c>
      <c r="C1083" s="1" t="s">
        <v>29</v>
      </c>
      <c r="D1083" s="13">
        <f>VALUE(MID(C1083,9,3))</f>
        <v>311</v>
      </c>
      <c r="E1083" s="14">
        <f>MONTH(A1083)</f>
        <v>2</v>
      </c>
      <c r="G1083" s="1" t="s">
        <v>226</v>
      </c>
      <c r="H1083" s="1">
        <v>591.03</v>
      </c>
      <c r="I1083" s="1" t="s">
        <v>80</v>
      </c>
      <c r="J1083" s="13">
        <f>VALUE(MID(I1083,1,3))</f>
        <v>226</v>
      </c>
      <c r="K1083" s="13">
        <f>VALUE(MID(G1083,5,2))</f>
        <v>1</v>
      </c>
    </row>
    <row r="1084" spans="1:11">
      <c r="A1084" s="7">
        <v>39871</v>
      </c>
      <c r="B1084" s="1">
        <v>755.73</v>
      </c>
      <c r="C1084" s="1" t="s">
        <v>29</v>
      </c>
      <c r="D1084" s="13">
        <f>VALUE(MID(C1084,9,3))</f>
        <v>311</v>
      </c>
      <c r="E1084" s="14">
        <f>MONTH(A1084)</f>
        <v>2</v>
      </c>
      <c r="G1084" s="1" t="s">
        <v>226</v>
      </c>
      <c r="H1084" s="1">
        <v>179.24</v>
      </c>
      <c r="I1084" s="1" t="s">
        <v>80</v>
      </c>
      <c r="J1084" s="13">
        <f>VALUE(MID(I1084,1,3))</f>
        <v>226</v>
      </c>
      <c r="K1084" s="13">
        <f>VALUE(MID(G1084,5,2))</f>
        <v>1</v>
      </c>
    </row>
    <row r="1085" spans="1:11">
      <c r="A1085" s="7">
        <v>39871</v>
      </c>
      <c r="B1085" s="1">
        <v>950</v>
      </c>
      <c r="C1085" s="1" t="s">
        <v>29</v>
      </c>
      <c r="D1085" s="13">
        <f>VALUE(MID(C1085,9,3))</f>
        <v>311</v>
      </c>
      <c r="E1085" s="14">
        <f>MONTH(A1085)</f>
        <v>2</v>
      </c>
      <c r="G1085" s="1" t="s">
        <v>226</v>
      </c>
      <c r="H1085" s="1">
        <v>32.65</v>
      </c>
      <c r="I1085" s="1" t="s">
        <v>80</v>
      </c>
      <c r="J1085" s="13">
        <f>VALUE(MID(I1085,1,3))</f>
        <v>226</v>
      </c>
      <c r="K1085" s="13">
        <f>VALUE(MID(G1085,5,2))</f>
        <v>1</v>
      </c>
    </row>
    <row r="1086" spans="1:11">
      <c r="A1086" s="7">
        <v>39871</v>
      </c>
      <c r="B1086" s="1">
        <v>216.91</v>
      </c>
      <c r="C1086" s="1" t="s">
        <v>29</v>
      </c>
      <c r="D1086" s="13">
        <f>VALUE(MID(C1086,9,3))</f>
        <v>311</v>
      </c>
      <c r="E1086" s="14">
        <f>MONTH(A1086)</f>
        <v>2</v>
      </c>
      <c r="G1086" s="1" t="s">
        <v>226</v>
      </c>
      <c r="H1086" s="1">
        <v>36.64</v>
      </c>
      <c r="I1086" s="1" t="s">
        <v>80</v>
      </c>
      <c r="J1086" s="13">
        <f>VALUE(MID(I1086,1,3))</f>
        <v>226</v>
      </c>
      <c r="K1086" s="13">
        <f>VALUE(MID(G1086,5,2))</f>
        <v>1</v>
      </c>
    </row>
    <row r="1087" spans="1:11">
      <c r="A1087" s="7">
        <v>39871</v>
      </c>
      <c r="B1087" s="1">
        <v>514.82000000000005</v>
      </c>
      <c r="C1087" s="1" t="s">
        <v>29</v>
      </c>
      <c r="D1087" s="13">
        <f>VALUE(MID(C1087,9,3))</f>
        <v>311</v>
      </c>
      <c r="E1087" s="14">
        <f>MONTH(A1087)</f>
        <v>2</v>
      </c>
      <c r="G1087" s="1" t="s">
        <v>226</v>
      </c>
      <c r="H1087" s="1">
        <v>520</v>
      </c>
      <c r="I1087" s="1" t="s">
        <v>100</v>
      </c>
      <c r="J1087" s="13">
        <f>VALUE(MID(I1087,1,3))</f>
        <v>226</v>
      </c>
      <c r="K1087" s="13">
        <f>VALUE(MID(G1087,5,2))</f>
        <v>1</v>
      </c>
    </row>
    <row r="1088" spans="1:11">
      <c r="A1088" s="7">
        <v>39871</v>
      </c>
      <c r="B1088" s="1">
        <v>202.78</v>
      </c>
      <c r="C1088" s="1" t="s">
        <v>29</v>
      </c>
      <c r="D1088" s="13">
        <f>VALUE(MID(C1088,9,3))</f>
        <v>311</v>
      </c>
      <c r="E1088" s="14">
        <f>MONTH(A1088)</f>
        <v>2</v>
      </c>
      <c r="G1088" s="1" t="s">
        <v>226</v>
      </c>
      <c r="H1088" s="1">
        <v>468</v>
      </c>
      <c r="I1088" s="1" t="s">
        <v>102</v>
      </c>
      <c r="J1088" s="13">
        <f>VALUE(MID(I1088,1,3))</f>
        <v>226</v>
      </c>
      <c r="K1088" s="13">
        <f>VALUE(MID(G1088,5,2))</f>
        <v>1</v>
      </c>
    </row>
    <row r="1089" spans="1:11">
      <c r="A1089" s="7">
        <v>39871</v>
      </c>
      <c r="B1089" s="1">
        <v>258.73</v>
      </c>
      <c r="C1089" s="1" t="s">
        <v>29</v>
      </c>
      <c r="D1089" s="13">
        <f>VALUE(MID(C1089,9,3))</f>
        <v>311</v>
      </c>
      <c r="E1089" s="14">
        <f>MONTH(A1089)</f>
        <v>2</v>
      </c>
      <c r="G1089" s="1" t="s">
        <v>73</v>
      </c>
      <c r="H1089" s="1">
        <v>429.5</v>
      </c>
      <c r="I1089" s="1" t="s">
        <v>76</v>
      </c>
      <c r="J1089" s="13">
        <f>VALUE(MID(I1089,1,3))</f>
        <v>227</v>
      </c>
      <c r="K1089" s="13">
        <f>VALUE(MID(G1089,5,2))</f>
        <v>1</v>
      </c>
    </row>
    <row r="1090" spans="1:11">
      <c r="A1090" s="7">
        <v>39871</v>
      </c>
      <c r="B1090" s="1">
        <v>144.4</v>
      </c>
      <c r="C1090" s="1" t="s">
        <v>30</v>
      </c>
      <c r="D1090" s="13">
        <f>VALUE(MID(C1090,9,3))</f>
        <v>311</v>
      </c>
      <c r="E1090" s="14">
        <f>MONTH(A1090)</f>
        <v>2</v>
      </c>
      <c r="G1090" s="1" t="s">
        <v>73</v>
      </c>
      <c r="H1090" s="1">
        <v>459</v>
      </c>
      <c r="I1090" s="1" t="s">
        <v>76</v>
      </c>
      <c r="J1090" s="13">
        <f>VALUE(MID(I1090,1,3))</f>
        <v>227</v>
      </c>
      <c r="K1090" s="13">
        <f>VALUE(MID(G1090,5,2))</f>
        <v>1</v>
      </c>
    </row>
    <row r="1091" spans="1:11">
      <c r="A1091" s="7">
        <v>39871</v>
      </c>
      <c r="B1091" s="1">
        <v>111.9</v>
      </c>
      <c r="C1091" s="1" t="s">
        <v>30</v>
      </c>
      <c r="D1091" s="13">
        <f>VALUE(MID(C1091,9,3))</f>
        <v>311</v>
      </c>
      <c r="E1091" s="14">
        <f>MONTH(A1091)</f>
        <v>2</v>
      </c>
      <c r="G1091" s="1" t="s">
        <v>73</v>
      </c>
      <c r="H1091" s="1">
        <v>500</v>
      </c>
      <c r="I1091" s="1" t="s">
        <v>76</v>
      </c>
      <c r="J1091" s="13">
        <f>VALUE(MID(I1091,1,3))</f>
        <v>227</v>
      </c>
      <c r="K1091" s="13">
        <f>VALUE(MID(G1091,5,2))</f>
        <v>1</v>
      </c>
    </row>
    <row r="1092" spans="1:11">
      <c r="A1092" s="7">
        <v>39871</v>
      </c>
      <c r="B1092" s="1">
        <v>75</v>
      </c>
      <c r="C1092" s="1" t="s">
        <v>21</v>
      </c>
      <c r="D1092" s="13">
        <f>VALUE(MID(C1092,9,3))</f>
        <v>311</v>
      </c>
      <c r="E1092" s="14">
        <f>MONTH(A1092)</f>
        <v>2</v>
      </c>
      <c r="G1092" s="1" t="s">
        <v>73</v>
      </c>
      <c r="H1092" s="1">
        <v>1334.5</v>
      </c>
      <c r="I1092" s="1" t="s">
        <v>76</v>
      </c>
      <c r="J1092" s="13">
        <f>VALUE(MID(I1092,1,3))</f>
        <v>227</v>
      </c>
      <c r="K1092" s="13">
        <f>VALUE(MID(G1092,5,2))</f>
        <v>1</v>
      </c>
    </row>
    <row r="1093" spans="1:11">
      <c r="A1093" s="7">
        <v>39930</v>
      </c>
      <c r="B1093" s="1">
        <v>200</v>
      </c>
      <c r="C1093" s="1" t="s">
        <v>35</v>
      </c>
      <c r="D1093" s="13">
        <f>VALUE(MID(C1093,9,3))</f>
        <v>311</v>
      </c>
      <c r="E1093" s="14">
        <f>MONTH(A1093)</f>
        <v>4</v>
      </c>
      <c r="G1093" s="1" t="s">
        <v>73</v>
      </c>
      <c r="H1093" s="1">
        <v>60</v>
      </c>
      <c r="I1093" s="1" t="s">
        <v>78</v>
      </c>
      <c r="J1093" s="13">
        <f>VALUE(MID(I1093,1,3))</f>
        <v>227</v>
      </c>
      <c r="K1093" s="13">
        <f>VALUE(MID(G1093,5,2))</f>
        <v>1</v>
      </c>
    </row>
    <row r="1094" spans="1:11">
      <c r="A1094" s="7">
        <v>40021</v>
      </c>
      <c r="B1094" s="1">
        <v>401.29</v>
      </c>
      <c r="C1094" s="1" t="s">
        <v>6</v>
      </c>
      <c r="D1094" s="13">
        <f>VALUE(MID(C1094,9,3))</f>
        <v>311</v>
      </c>
      <c r="E1094" s="14">
        <f>MONTH(A1094)</f>
        <v>7</v>
      </c>
      <c r="G1094" s="1" t="s">
        <v>73</v>
      </c>
      <c r="H1094" s="1">
        <v>475</v>
      </c>
      <c r="I1094" s="1" t="s">
        <v>78</v>
      </c>
      <c r="J1094" s="13">
        <f>VALUE(MID(I1094,1,3))</f>
        <v>227</v>
      </c>
      <c r="K1094" s="13">
        <f>VALUE(MID(G1094,5,2))</f>
        <v>1</v>
      </c>
    </row>
    <row r="1095" spans="1:11">
      <c r="A1095" s="7">
        <v>40021</v>
      </c>
      <c r="B1095" s="1">
        <v>414.46</v>
      </c>
      <c r="C1095" s="1" t="s">
        <v>6</v>
      </c>
      <c r="D1095" s="13">
        <f>VALUE(MID(C1095,9,3))</f>
        <v>311</v>
      </c>
      <c r="E1095" s="14">
        <f>MONTH(A1095)</f>
        <v>7</v>
      </c>
      <c r="G1095" s="1" t="s">
        <v>73</v>
      </c>
      <c r="H1095" s="1">
        <v>175</v>
      </c>
      <c r="I1095" s="1" t="s">
        <v>78</v>
      </c>
      <c r="J1095" s="13">
        <f>VALUE(MID(I1095,1,3))</f>
        <v>227</v>
      </c>
      <c r="K1095" s="13">
        <f>VALUE(MID(G1095,5,2))</f>
        <v>1</v>
      </c>
    </row>
    <row r="1096" spans="1:11">
      <c r="A1096" s="7">
        <v>40113</v>
      </c>
      <c r="B1096" s="1">
        <v>489.75</v>
      </c>
      <c r="C1096" s="1" t="s">
        <v>7</v>
      </c>
      <c r="D1096" s="13">
        <f>VALUE(MID(C1096,9,3))</f>
        <v>311</v>
      </c>
      <c r="E1096" s="14">
        <f>MONTH(A1096)</f>
        <v>10</v>
      </c>
      <c r="G1096" s="1" t="s">
        <v>73</v>
      </c>
      <c r="H1096" s="1">
        <v>865</v>
      </c>
      <c r="I1096" s="1" t="s">
        <v>78</v>
      </c>
      <c r="J1096" s="13">
        <f>VALUE(MID(I1096,1,3))</f>
        <v>227</v>
      </c>
      <c r="K1096" s="13">
        <f>VALUE(MID(G1096,5,2))</f>
        <v>1</v>
      </c>
    </row>
    <row r="1097" spans="1:11">
      <c r="A1097" s="7">
        <v>40144</v>
      </c>
      <c r="B1097" s="1">
        <v>489.75</v>
      </c>
      <c r="C1097" s="1" t="s">
        <v>7</v>
      </c>
      <c r="D1097" s="13">
        <f>VALUE(MID(C1097,9,3))</f>
        <v>311</v>
      </c>
      <c r="E1097" s="14">
        <f>MONTH(A1097)</f>
        <v>11</v>
      </c>
      <c r="G1097" s="1" t="s">
        <v>73</v>
      </c>
      <c r="H1097" s="1">
        <v>104</v>
      </c>
      <c r="I1097" s="1" t="s">
        <v>76</v>
      </c>
      <c r="J1097" s="13">
        <f>VALUE(MID(I1097,1,3))</f>
        <v>227</v>
      </c>
      <c r="K1097" s="13">
        <f>VALUE(MID(G1097,5,2))</f>
        <v>1</v>
      </c>
    </row>
    <row r="1098" spans="1:11">
      <c r="A1098" s="7">
        <v>40144</v>
      </c>
      <c r="B1098" s="1">
        <v>489.75</v>
      </c>
      <c r="C1098" s="1" t="s">
        <v>7</v>
      </c>
      <c r="D1098" s="13">
        <f>VALUE(MID(C1098,9,3))</f>
        <v>311</v>
      </c>
      <c r="E1098" s="14">
        <f>MONTH(A1098)</f>
        <v>11</v>
      </c>
      <c r="G1098" s="1" t="s">
        <v>73</v>
      </c>
      <c r="H1098" s="1">
        <v>312</v>
      </c>
      <c r="I1098" s="1" t="s">
        <v>76</v>
      </c>
      <c r="J1098" s="13">
        <f>VALUE(MID(I1098,1,3))</f>
        <v>227</v>
      </c>
      <c r="K1098" s="13">
        <f>VALUE(MID(G1098,5,2))</f>
        <v>1</v>
      </c>
    </row>
    <row r="1099" spans="1:11">
      <c r="A1099" s="7">
        <v>40144</v>
      </c>
      <c r="B1099" s="1">
        <v>489.75</v>
      </c>
      <c r="C1099" s="1" t="s">
        <v>9</v>
      </c>
      <c r="D1099" s="13">
        <f>VALUE(MID(C1099,9,3))</f>
        <v>311</v>
      </c>
      <c r="E1099" s="14">
        <f>MONTH(A1099)</f>
        <v>11</v>
      </c>
      <c r="G1099" s="1" t="s">
        <v>97</v>
      </c>
      <c r="H1099" s="1">
        <v>429.5</v>
      </c>
      <c r="I1099" s="1" t="s">
        <v>76</v>
      </c>
      <c r="J1099" s="13">
        <f>VALUE(MID(I1099,1,3))</f>
        <v>227</v>
      </c>
      <c r="K1099" s="13">
        <f>VALUE(MID(G1099,5,2))</f>
        <v>2</v>
      </c>
    </row>
    <row r="1100" spans="1:11">
      <c r="A1100" s="7">
        <v>40144</v>
      </c>
      <c r="B1100" s="1">
        <v>489.75</v>
      </c>
      <c r="C1100" s="1" t="s">
        <v>9</v>
      </c>
      <c r="D1100" s="13">
        <f>VALUE(MID(C1100,9,3))</f>
        <v>311</v>
      </c>
      <c r="E1100" s="14">
        <f>MONTH(A1100)</f>
        <v>11</v>
      </c>
      <c r="G1100" s="1" t="s">
        <v>97</v>
      </c>
      <c r="H1100" s="1">
        <v>500</v>
      </c>
      <c r="I1100" s="1" t="s">
        <v>76</v>
      </c>
      <c r="J1100" s="13">
        <f>VALUE(MID(I1100,1,3))</f>
        <v>227</v>
      </c>
      <c r="K1100" s="13">
        <f>VALUE(MID(G1100,5,2))</f>
        <v>2</v>
      </c>
    </row>
    <row r="1101" spans="1:11">
      <c r="A1101" s="7">
        <v>40144</v>
      </c>
      <c r="B1101" s="1">
        <v>575</v>
      </c>
      <c r="C1101" s="1" t="s">
        <v>17</v>
      </c>
      <c r="D1101" s="13">
        <f>VALUE(MID(C1101,9,3))</f>
        <v>311</v>
      </c>
      <c r="E1101" s="14">
        <f>MONTH(A1101)</f>
        <v>11</v>
      </c>
      <c r="G1101" s="1" t="s">
        <v>97</v>
      </c>
      <c r="H1101" s="1">
        <v>25049.3</v>
      </c>
      <c r="I1101" s="1" t="s">
        <v>98</v>
      </c>
      <c r="J1101" s="13">
        <f>VALUE(MID(I1101,1,3))</f>
        <v>227</v>
      </c>
      <c r="K1101" s="13">
        <f>VALUE(MID(G1101,5,2))</f>
        <v>2</v>
      </c>
    </row>
    <row r="1102" spans="1:11">
      <c r="A1102" s="7">
        <v>39841</v>
      </c>
      <c r="B1102" s="1">
        <v>184.66</v>
      </c>
      <c r="C1102" s="1" t="s">
        <v>13</v>
      </c>
      <c r="D1102" s="13">
        <f>VALUE(MID(C1102,9,3))</f>
        <v>311</v>
      </c>
      <c r="E1102" s="14">
        <f>MONTH(A1102)</f>
        <v>1</v>
      </c>
      <c r="G1102" s="1" t="s">
        <v>97</v>
      </c>
      <c r="H1102" s="1">
        <v>208</v>
      </c>
      <c r="I1102" s="1" t="s">
        <v>76</v>
      </c>
      <c r="J1102" s="13">
        <f>VALUE(MID(I1102,1,3))</f>
        <v>227</v>
      </c>
      <c r="K1102" s="13">
        <f>VALUE(MID(G1102,5,2))</f>
        <v>2</v>
      </c>
    </row>
    <row r="1103" spans="1:11">
      <c r="A1103" s="7">
        <v>39841</v>
      </c>
      <c r="B1103" s="1">
        <v>376.2</v>
      </c>
      <c r="C1103" s="1" t="s">
        <v>13</v>
      </c>
      <c r="D1103" s="13">
        <f>VALUE(MID(C1103,9,3))</f>
        <v>311</v>
      </c>
      <c r="E1103" s="14">
        <f>MONTH(A1103)</f>
        <v>1</v>
      </c>
      <c r="G1103" s="1" t="s">
        <v>97</v>
      </c>
      <c r="H1103" s="1">
        <v>249.6</v>
      </c>
      <c r="I1103" s="1" t="s">
        <v>76</v>
      </c>
      <c r="J1103" s="13">
        <f>VALUE(MID(I1103,1,3))</f>
        <v>227</v>
      </c>
      <c r="K1103" s="13">
        <f>VALUE(MID(G1103,5,2))</f>
        <v>2</v>
      </c>
    </row>
    <row r="1104" spans="1:11">
      <c r="A1104" s="7">
        <v>39841</v>
      </c>
      <c r="B1104" s="1">
        <v>318.92</v>
      </c>
      <c r="C1104" s="1" t="s">
        <v>28</v>
      </c>
      <c r="D1104" s="13">
        <f>VALUE(MID(C1104,9,3))</f>
        <v>311</v>
      </c>
      <c r="E1104" s="14">
        <f>MONTH(A1104)</f>
        <v>1</v>
      </c>
      <c r="G1104" s="1" t="s">
        <v>97</v>
      </c>
      <c r="H1104" s="1">
        <v>3055.48</v>
      </c>
      <c r="I1104" s="1" t="s">
        <v>101</v>
      </c>
      <c r="J1104" s="13">
        <f>VALUE(MID(I1104,1,3))</f>
        <v>227</v>
      </c>
      <c r="K1104" s="13">
        <f>VALUE(MID(G1104,5,2))</f>
        <v>2</v>
      </c>
    </row>
    <row r="1105" spans="1:11">
      <c r="A1105" s="7">
        <v>39841</v>
      </c>
      <c r="B1105" s="1">
        <v>150</v>
      </c>
      <c r="C1105" s="1" t="s">
        <v>41</v>
      </c>
      <c r="D1105" s="13">
        <f>VALUE(MID(C1105,9,3))</f>
        <v>311</v>
      </c>
      <c r="E1105" s="14">
        <f>MONTH(A1105)</f>
        <v>1</v>
      </c>
      <c r="G1105" s="1" t="s">
        <v>97</v>
      </c>
      <c r="H1105" s="1">
        <v>341.07</v>
      </c>
      <c r="I1105" s="1" t="s">
        <v>103</v>
      </c>
      <c r="J1105" s="13">
        <f>VALUE(MID(I1105,1,3))</f>
        <v>227</v>
      </c>
      <c r="K1105" s="13">
        <f>VALUE(MID(G1105,5,2))</f>
        <v>2</v>
      </c>
    </row>
    <row r="1106" spans="1:11">
      <c r="A1106" s="7">
        <v>39841</v>
      </c>
      <c r="B1106" s="1">
        <v>150</v>
      </c>
      <c r="C1106" s="1" t="s">
        <v>41</v>
      </c>
      <c r="D1106" s="13">
        <f>VALUE(MID(C1106,9,3))</f>
        <v>311</v>
      </c>
      <c r="E1106" s="14">
        <f>MONTH(A1106)</f>
        <v>1</v>
      </c>
      <c r="G1106" s="1" t="s">
        <v>97</v>
      </c>
      <c r="H1106" s="1">
        <v>39.24</v>
      </c>
      <c r="I1106" s="1" t="s">
        <v>103</v>
      </c>
      <c r="J1106" s="13">
        <f>VALUE(MID(I1106,1,3))</f>
        <v>227</v>
      </c>
      <c r="K1106" s="13">
        <f>VALUE(MID(G1106,5,2))</f>
        <v>2</v>
      </c>
    </row>
    <row r="1107" spans="1:11">
      <c r="A1107" s="7">
        <v>39931</v>
      </c>
      <c r="B1107" s="1">
        <v>200</v>
      </c>
      <c r="C1107" s="1" t="s">
        <v>35</v>
      </c>
      <c r="D1107" s="13">
        <f>VALUE(MID(C1107,9,3))</f>
        <v>311</v>
      </c>
      <c r="E1107" s="14">
        <f>MONTH(A1107)</f>
        <v>4</v>
      </c>
      <c r="G1107" s="1" t="s">
        <v>97</v>
      </c>
      <c r="H1107" s="1">
        <v>434.98</v>
      </c>
      <c r="I1107" s="1" t="s">
        <v>98</v>
      </c>
      <c r="J1107" s="13">
        <f>VALUE(MID(I1107,1,3))</f>
        <v>227</v>
      </c>
      <c r="K1107" s="13">
        <f>VALUE(MID(G1107,5,2))</f>
        <v>2</v>
      </c>
    </row>
    <row r="1108" spans="1:11">
      <c r="A1108" s="7">
        <v>39961</v>
      </c>
      <c r="B1108" s="1">
        <v>555.98</v>
      </c>
      <c r="C1108" s="1" t="s">
        <v>5</v>
      </c>
      <c r="D1108" s="13">
        <f>VALUE(MID(C1108,9,3))</f>
        <v>311</v>
      </c>
      <c r="E1108" s="14">
        <f>MONTH(A1108)</f>
        <v>5</v>
      </c>
      <c r="G1108" s="1" t="s">
        <v>97</v>
      </c>
      <c r="H1108" s="1">
        <v>428</v>
      </c>
      <c r="I1108" s="1" t="s">
        <v>76</v>
      </c>
      <c r="J1108" s="13">
        <f>VALUE(MID(I1108,1,3))</f>
        <v>227</v>
      </c>
      <c r="K1108" s="13">
        <f>VALUE(MID(G1108,5,2))</f>
        <v>2</v>
      </c>
    </row>
    <row r="1109" spans="1:11">
      <c r="A1109" s="7">
        <v>40022</v>
      </c>
      <c r="B1109" s="1">
        <v>374.95</v>
      </c>
      <c r="C1109" s="1" t="s">
        <v>6</v>
      </c>
      <c r="D1109" s="13">
        <f>VALUE(MID(C1109,9,3))</f>
        <v>311</v>
      </c>
      <c r="E1109" s="14">
        <f>MONTH(A1109)</f>
        <v>7</v>
      </c>
      <c r="G1109" s="1" t="s">
        <v>97</v>
      </c>
      <c r="H1109" s="1">
        <v>63.2</v>
      </c>
      <c r="I1109" s="1" t="s">
        <v>103</v>
      </c>
      <c r="J1109" s="13">
        <f>VALUE(MID(I1109,1,3))</f>
        <v>227</v>
      </c>
      <c r="K1109" s="13">
        <f>VALUE(MID(G1109,5,2))</f>
        <v>2</v>
      </c>
    </row>
    <row r="1110" spans="1:11">
      <c r="A1110" s="7">
        <v>40022</v>
      </c>
      <c r="B1110" s="1">
        <v>770.05</v>
      </c>
      <c r="C1110" s="1" t="s">
        <v>6</v>
      </c>
      <c r="D1110" s="13">
        <f>VALUE(MID(C1110,9,3))</f>
        <v>311</v>
      </c>
      <c r="E1110" s="14">
        <f>MONTH(A1110)</f>
        <v>7</v>
      </c>
      <c r="G1110" s="1" t="s">
        <v>97</v>
      </c>
      <c r="H1110" s="1">
        <v>648.96</v>
      </c>
      <c r="I1110" s="1" t="s">
        <v>110</v>
      </c>
      <c r="J1110" s="13">
        <f>VALUE(MID(I1110,1,3))</f>
        <v>227</v>
      </c>
      <c r="K1110" s="13">
        <f>VALUE(MID(G1110,5,2))</f>
        <v>2</v>
      </c>
    </row>
    <row r="1111" spans="1:11">
      <c r="A1111" s="7">
        <v>40022</v>
      </c>
      <c r="B1111" s="1">
        <v>526.36</v>
      </c>
      <c r="C1111" s="1" t="s">
        <v>6</v>
      </c>
      <c r="D1111" s="13">
        <f>VALUE(MID(C1111,9,3))</f>
        <v>311</v>
      </c>
      <c r="E1111" s="14">
        <f>MONTH(A1111)</f>
        <v>7</v>
      </c>
      <c r="G1111" s="1" t="s">
        <v>97</v>
      </c>
      <c r="H1111" s="1">
        <v>1092</v>
      </c>
      <c r="I1111" s="1" t="s">
        <v>76</v>
      </c>
      <c r="J1111" s="13">
        <f>VALUE(MID(I1111,1,3))</f>
        <v>227</v>
      </c>
      <c r="K1111" s="13">
        <f>VALUE(MID(G1111,5,2))</f>
        <v>2</v>
      </c>
    </row>
    <row r="1112" spans="1:11">
      <c r="A1112" s="7">
        <v>40022</v>
      </c>
      <c r="B1112" s="1">
        <v>853.9</v>
      </c>
      <c r="C1112" s="1" t="s">
        <v>6</v>
      </c>
      <c r="D1112" s="13">
        <f>VALUE(MID(C1112,9,3))</f>
        <v>311</v>
      </c>
      <c r="E1112" s="14">
        <f>MONTH(A1112)</f>
        <v>7</v>
      </c>
      <c r="G1112" s="1" t="s">
        <v>97</v>
      </c>
      <c r="H1112" s="1">
        <v>954.5</v>
      </c>
      <c r="I1112" s="1" t="s">
        <v>110</v>
      </c>
      <c r="J1112" s="13">
        <f>VALUE(MID(I1112,1,3))</f>
        <v>227</v>
      </c>
      <c r="K1112" s="13">
        <f>VALUE(MID(G1112,5,2))</f>
        <v>2</v>
      </c>
    </row>
    <row r="1113" spans="1:11">
      <c r="A1113" s="7">
        <v>40022</v>
      </c>
      <c r="B1113" s="1">
        <v>519.82000000000005</v>
      </c>
      <c r="C1113" s="1" t="s">
        <v>6</v>
      </c>
      <c r="D1113" s="13">
        <f>VALUE(MID(C1113,9,3))</f>
        <v>311</v>
      </c>
      <c r="E1113" s="14">
        <f>MONTH(A1113)</f>
        <v>7</v>
      </c>
      <c r="G1113" s="1" t="s">
        <v>97</v>
      </c>
      <c r="H1113" s="1">
        <v>104</v>
      </c>
      <c r="I1113" s="1" t="s">
        <v>76</v>
      </c>
      <c r="J1113" s="13">
        <f>VALUE(MID(I1113,1,3))</f>
        <v>227</v>
      </c>
      <c r="K1113" s="13">
        <f>VALUE(MID(G1113,5,2))</f>
        <v>2</v>
      </c>
    </row>
    <row r="1114" spans="1:11">
      <c r="A1114" s="7">
        <v>40084</v>
      </c>
      <c r="B1114" s="1">
        <v>940.5</v>
      </c>
      <c r="C1114" s="1" t="s">
        <v>3</v>
      </c>
      <c r="D1114" s="13">
        <f>VALUE(MID(C1114,9,3))</f>
        <v>311</v>
      </c>
      <c r="E1114" s="14">
        <f>MONTH(A1114)</f>
        <v>9</v>
      </c>
      <c r="G1114" s="1" t="s">
        <v>97</v>
      </c>
      <c r="H1114" s="1">
        <v>1092</v>
      </c>
      <c r="I1114" s="1" t="s">
        <v>111</v>
      </c>
      <c r="J1114" s="13">
        <f>VALUE(MID(I1114,1,3))</f>
        <v>227</v>
      </c>
      <c r="K1114" s="13">
        <f>VALUE(MID(G1114,5,2))</f>
        <v>2</v>
      </c>
    </row>
    <row r="1115" spans="1:11">
      <c r="A1115" s="7">
        <v>40084</v>
      </c>
      <c r="B1115" s="1">
        <v>391.87</v>
      </c>
      <c r="C1115" s="1" t="s">
        <v>3</v>
      </c>
      <c r="D1115" s="13">
        <f>VALUE(MID(C1115,9,3))</f>
        <v>311</v>
      </c>
      <c r="E1115" s="14">
        <f>MONTH(A1115)</f>
        <v>9</v>
      </c>
      <c r="G1115" s="1" t="s">
        <v>97</v>
      </c>
      <c r="H1115" s="1">
        <v>1352</v>
      </c>
      <c r="I1115" s="1" t="s">
        <v>98</v>
      </c>
      <c r="J1115" s="13">
        <f>VALUE(MID(I1115,1,3))</f>
        <v>227</v>
      </c>
      <c r="K1115" s="13">
        <f>VALUE(MID(G1115,5,2))</f>
        <v>2</v>
      </c>
    </row>
    <row r="1116" spans="1:11">
      <c r="A1116" s="7">
        <v>40084</v>
      </c>
      <c r="B1116" s="1">
        <v>6</v>
      </c>
      <c r="C1116" s="1" t="s">
        <v>6</v>
      </c>
      <c r="D1116" s="13">
        <f>VALUE(MID(C1116,9,3))</f>
        <v>311</v>
      </c>
      <c r="E1116" s="14">
        <f>MONTH(A1116)</f>
        <v>9</v>
      </c>
      <c r="G1116" s="1" t="s">
        <v>97</v>
      </c>
      <c r="H1116" s="1">
        <v>312.52</v>
      </c>
      <c r="I1116" s="1" t="s">
        <v>98</v>
      </c>
      <c r="J1116" s="13">
        <f>VALUE(MID(I1116,1,3))</f>
        <v>227</v>
      </c>
      <c r="K1116" s="13">
        <f>VALUE(MID(G1116,5,2))</f>
        <v>2</v>
      </c>
    </row>
    <row r="1117" spans="1:11">
      <c r="A1117" s="7">
        <v>40084</v>
      </c>
      <c r="B1117" s="1">
        <v>970</v>
      </c>
      <c r="C1117" s="1" t="s">
        <v>39</v>
      </c>
      <c r="D1117" s="13">
        <f>VALUE(MID(C1117,9,3))</f>
        <v>311</v>
      </c>
      <c r="E1117" s="14">
        <f>MONTH(A1117)</f>
        <v>9</v>
      </c>
      <c r="G1117" s="1" t="s">
        <v>97</v>
      </c>
      <c r="H1117" s="1">
        <v>494</v>
      </c>
      <c r="I1117" s="1" t="s">
        <v>98</v>
      </c>
      <c r="J1117" s="13">
        <f>VALUE(MID(I1117,1,3))</f>
        <v>227</v>
      </c>
      <c r="K1117" s="13">
        <f>VALUE(MID(G1117,5,2))</f>
        <v>2</v>
      </c>
    </row>
    <row r="1118" spans="1:11">
      <c r="A1118" s="7">
        <v>40084</v>
      </c>
      <c r="B1118" s="1">
        <v>80</v>
      </c>
      <c r="C1118" s="1" t="s">
        <v>18</v>
      </c>
      <c r="D1118" s="13">
        <f>VALUE(MID(C1118,9,3))</f>
        <v>311</v>
      </c>
      <c r="E1118" s="14">
        <f>MONTH(A1118)</f>
        <v>9</v>
      </c>
      <c r="G1118" s="1" t="s">
        <v>120</v>
      </c>
      <c r="H1118" s="1">
        <v>136</v>
      </c>
      <c r="I1118" s="1" t="s">
        <v>98</v>
      </c>
      <c r="J1118" s="13">
        <f>VALUE(MID(I1118,1,3))</f>
        <v>227</v>
      </c>
      <c r="K1118" s="13">
        <f>VALUE(MID(G1118,5,2))</f>
        <v>3</v>
      </c>
    </row>
    <row r="1119" spans="1:11">
      <c r="A1119" s="7">
        <v>40084</v>
      </c>
      <c r="B1119" s="1">
        <v>80</v>
      </c>
      <c r="C1119" s="1" t="s">
        <v>18</v>
      </c>
      <c r="D1119" s="13">
        <f>VALUE(MID(C1119,9,3))</f>
        <v>311</v>
      </c>
      <c r="E1119" s="14">
        <f>MONTH(A1119)</f>
        <v>9</v>
      </c>
      <c r="G1119" s="1" t="s">
        <v>120</v>
      </c>
      <c r="H1119" s="1">
        <v>429.5</v>
      </c>
      <c r="I1119" s="1" t="s">
        <v>76</v>
      </c>
      <c r="J1119" s="13">
        <f>VALUE(MID(I1119,1,3))</f>
        <v>227</v>
      </c>
      <c r="K1119" s="13">
        <f>VALUE(MID(G1119,5,2))</f>
        <v>3</v>
      </c>
    </row>
    <row r="1120" spans="1:11">
      <c r="A1120" s="7">
        <v>40084</v>
      </c>
      <c r="B1120" s="1">
        <v>80</v>
      </c>
      <c r="C1120" s="1" t="s">
        <v>18</v>
      </c>
      <c r="D1120" s="13">
        <f>VALUE(MID(C1120,9,3))</f>
        <v>311</v>
      </c>
      <c r="E1120" s="14">
        <f>MONTH(A1120)</f>
        <v>9</v>
      </c>
      <c r="G1120" s="1" t="s">
        <v>120</v>
      </c>
      <c r="H1120" s="1">
        <v>859</v>
      </c>
      <c r="I1120" s="1" t="s">
        <v>76</v>
      </c>
      <c r="J1120" s="13">
        <f>VALUE(MID(I1120,1,3))</f>
        <v>227</v>
      </c>
      <c r="K1120" s="13">
        <f>VALUE(MID(G1120,5,2))</f>
        <v>3</v>
      </c>
    </row>
    <row r="1121" spans="1:11">
      <c r="A1121" s="7">
        <v>40084</v>
      </c>
      <c r="B1121" s="1">
        <v>80</v>
      </c>
      <c r="C1121" s="1" t="s">
        <v>18</v>
      </c>
      <c r="D1121" s="13">
        <f>VALUE(MID(C1121,9,3))</f>
        <v>311</v>
      </c>
      <c r="E1121" s="14">
        <f>MONTH(A1121)</f>
        <v>9</v>
      </c>
      <c r="G1121" s="1" t="s">
        <v>120</v>
      </c>
      <c r="H1121" s="1">
        <v>304</v>
      </c>
      <c r="I1121" s="1" t="s">
        <v>76</v>
      </c>
      <c r="J1121" s="13">
        <f>VALUE(MID(I1121,1,3))</f>
        <v>227</v>
      </c>
      <c r="K1121" s="13">
        <f>VALUE(MID(G1121,5,2))</f>
        <v>3</v>
      </c>
    </row>
    <row r="1122" spans="1:11">
      <c r="A1122" s="7">
        <v>39842</v>
      </c>
      <c r="B1122" s="1">
        <v>360.52</v>
      </c>
      <c r="C1122" s="1" t="s">
        <v>13</v>
      </c>
      <c r="D1122" s="13">
        <f>VALUE(MID(C1122,9,3))</f>
        <v>311</v>
      </c>
      <c r="E1122" s="14">
        <f>MONTH(A1122)</f>
        <v>1</v>
      </c>
      <c r="G1122" s="1" t="s">
        <v>120</v>
      </c>
      <c r="H1122" s="1">
        <v>1440</v>
      </c>
      <c r="I1122" s="1" t="s">
        <v>76</v>
      </c>
      <c r="J1122" s="13">
        <f>VALUE(MID(I1122,1,3))</f>
        <v>227</v>
      </c>
      <c r="K1122" s="13">
        <f>VALUE(MID(G1122,5,2))</f>
        <v>3</v>
      </c>
    </row>
    <row r="1123" spans="1:11">
      <c r="A1123" s="7">
        <v>39842</v>
      </c>
      <c r="B1123" s="1">
        <v>150</v>
      </c>
      <c r="C1123" s="1" t="s">
        <v>41</v>
      </c>
      <c r="D1123" s="13">
        <f>VALUE(MID(C1123,9,3))</f>
        <v>311</v>
      </c>
      <c r="E1123" s="14">
        <f>MONTH(A1123)</f>
        <v>1</v>
      </c>
      <c r="G1123" s="1" t="s">
        <v>120</v>
      </c>
      <c r="H1123" s="1">
        <v>624</v>
      </c>
      <c r="I1123" s="1" t="s">
        <v>76</v>
      </c>
      <c r="J1123" s="13">
        <f>VALUE(MID(I1123,1,3))</f>
        <v>227</v>
      </c>
      <c r="K1123" s="13">
        <f>VALUE(MID(G1123,5,2))</f>
        <v>3</v>
      </c>
    </row>
    <row r="1124" spans="1:11">
      <c r="A1124" s="7">
        <v>39842</v>
      </c>
      <c r="B1124" s="1">
        <v>150</v>
      </c>
      <c r="C1124" s="1" t="s">
        <v>41</v>
      </c>
      <c r="D1124" s="13">
        <f>VALUE(MID(C1124,9,3))</f>
        <v>311</v>
      </c>
      <c r="E1124" s="14">
        <f>MONTH(A1124)</f>
        <v>1</v>
      </c>
      <c r="G1124" s="1" t="s">
        <v>120</v>
      </c>
      <c r="H1124" s="1">
        <v>998.4</v>
      </c>
      <c r="I1124" s="1" t="s">
        <v>76</v>
      </c>
      <c r="J1124" s="13">
        <f>VALUE(MID(I1124,1,3))</f>
        <v>227</v>
      </c>
      <c r="K1124" s="13">
        <f>VALUE(MID(G1124,5,2))</f>
        <v>3</v>
      </c>
    </row>
    <row r="1125" spans="1:11">
      <c r="A1125" s="7">
        <v>40023</v>
      </c>
      <c r="B1125" s="1">
        <v>256.42</v>
      </c>
      <c r="C1125" s="1" t="s">
        <v>5</v>
      </c>
      <c r="D1125" s="13">
        <f>VALUE(MID(C1125,9,3))</f>
        <v>311</v>
      </c>
      <c r="E1125" s="14">
        <f>MONTH(A1125)</f>
        <v>7</v>
      </c>
      <c r="G1125" s="1" t="s">
        <v>120</v>
      </c>
      <c r="H1125" s="1">
        <v>8</v>
      </c>
      <c r="I1125" s="1" t="s">
        <v>98</v>
      </c>
      <c r="J1125" s="13">
        <f>VALUE(MID(I1125,1,3))</f>
        <v>227</v>
      </c>
      <c r="K1125" s="13">
        <f>VALUE(MID(G1125,5,2))</f>
        <v>3</v>
      </c>
    </row>
    <row r="1126" spans="1:11">
      <c r="A1126" s="7">
        <v>40023</v>
      </c>
      <c r="B1126" s="1">
        <v>453.96</v>
      </c>
      <c r="C1126" s="1" t="s">
        <v>5</v>
      </c>
      <c r="D1126" s="13">
        <f>VALUE(MID(C1126,9,3))</f>
        <v>311</v>
      </c>
      <c r="E1126" s="14">
        <f>MONTH(A1126)</f>
        <v>7</v>
      </c>
      <c r="G1126" s="1" t="s">
        <v>120</v>
      </c>
      <c r="H1126" s="1">
        <v>3055.48</v>
      </c>
      <c r="I1126" s="1" t="s">
        <v>101</v>
      </c>
      <c r="J1126" s="13">
        <f>VALUE(MID(I1126,1,3))</f>
        <v>227</v>
      </c>
      <c r="K1126" s="13">
        <f>VALUE(MID(G1126,5,2))</f>
        <v>3</v>
      </c>
    </row>
    <row r="1127" spans="1:11">
      <c r="A1127" s="7">
        <v>40023</v>
      </c>
      <c r="B1127" s="1">
        <v>532.99</v>
      </c>
      <c r="C1127" s="1" t="s">
        <v>6</v>
      </c>
      <c r="D1127" s="13">
        <f>VALUE(MID(C1127,9,3))</f>
        <v>311</v>
      </c>
      <c r="E1127" s="14">
        <f>MONTH(A1127)</f>
        <v>7</v>
      </c>
      <c r="G1127" s="1" t="s">
        <v>120</v>
      </c>
      <c r="H1127" s="1">
        <v>341.07</v>
      </c>
      <c r="I1127" s="1" t="s">
        <v>103</v>
      </c>
      <c r="J1127" s="13">
        <f>VALUE(MID(I1127,1,3))</f>
        <v>227</v>
      </c>
      <c r="K1127" s="13">
        <f>VALUE(MID(G1127,5,2))</f>
        <v>3</v>
      </c>
    </row>
    <row r="1128" spans="1:11">
      <c r="A1128" s="7">
        <v>40023</v>
      </c>
      <c r="B1128" s="1">
        <v>651.5</v>
      </c>
      <c r="C1128" s="1" t="s">
        <v>6</v>
      </c>
      <c r="D1128" s="13">
        <f>VALUE(MID(C1128,9,3))</f>
        <v>311</v>
      </c>
      <c r="E1128" s="14">
        <f>MONTH(A1128)</f>
        <v>7</v>
      </c>
      <c r="G1128" s="1" t="s">
        <v>120</v>
      </c>
      <c r="H1128" s="1">
        <v>39.24</v>
      </c>
      <c r="I1128" s="1" t="s">
        <v>103</v>
      </c>
      <c r="J1128" s="13">
        <f>VALUE(MID(I1128,1,3))</f>
        <v>227</v>
      </c>
      <c r="K1128" s="13">
        <f>VALUE(MID(G1128,5,2))</f>
        <v>3</v>
      </c>
    </row>
    <row r="1129" spans="1:11">
      <c r="A1129" s="7">
        <v>40023</v>
      </c>
      <c r="B1129" s="1">
        <v>835.9</v>
      </c>
      <c r="C1129" s="1" t="s">
        <v>6</v>
      </c>
      <c r="D1129" s="13">
        <f>VALUE(MID(C1129,9,3))</f>
        <v>311</v>
      </c>
      <c r="E1129" s="14">
        <f>MONTH(A1129)</f>
        <v>7</v>
      </c>
      <c r="G1129" s="1" t="s">
        <v>120</v>
      </c>
      <c r="H1129" s="1">
        <v>34.840000000000003</v>
      </c>
      <c r="I1129" s="1" t="s">
        <v>76</v>
      </c>
      <c r="J1129" s="13">
        <f>VALUE(MID(I1129,1,3))</f>
        <v>227</v>
      </c>
      <c r="K1129" s="13">
        <f>VALUE(MID(G1129,5,2))</f>
        <v>3</v>
      </c>
    </row>
    <row r="1130" spans="1:11">
      <c r="A1130" s="7">
        <v>40023</v>
      </c>
      <c r="B1130" s="1">
        <v>361.78</v>
      </c>
      <c r="C1130" s="1" t="s">
        <v>6</v>
      </c>
      <c r="D1130" s="13">
        <f>VALUE(MID(C1130,9,3))</f>
        <v>311</v>
      </c>
      <c r="E1130" s="14">
        <f>MONTH(A1130)</f>
        <v>7</v>
      </c>
      <c r="G1130" s="1" t="s">
        <v>120</v>
      </c>
      <c r="H1130" s="1">
        <v>238.68</v>
      </c>
      <c r="I1130" s="1" t="s">
        <v>110</v>
      </c>
      <c r="J1130" s="13">
        <f>VALUE(MID(I1130,1,3))</f>
        <v>227</v>
      </c>
      <c r="K1130" s="13">
        <f>VALUE(MID(G1130,5,2))</f>
        <v>3</v>
      </c>
    </row>
    <row r="1131" spans="1:11">
      <c r="A1131" s="7">
        <v>40085</v>
      </c>
      <c r="B1131" s="1">
        <v>979.5</v>
      </c>
      <c r="C1131" s="1" t="s">
        <v>9</v>
      </c>
      <c r="D1131" s="13">
        <f>VALUE(MID(C1131,9,3))</f>
        <v>311</v>
      </c>
      <c r="E1131" s="14">
        <f>MONTH(A1131)</f>
        <v>9</v>
      </c>
      <c r="G1131" s="1" t="s">
        <v>120</v>
      </c>
      <c r="H1131" s="1">
        <v>1474.98</v>
      </c>
      <c r="I1131" s="1" t="s">
        <v>98</v>
      </c>
      <c r="J1131" s="13">
        <f>VALUE(MID(I1131,1,3))</f>
        <v>227</v>
      </c>
      <c r="K1131" s="13">
        <f>VALUE(MID(G1131,5,2))</f>
        <v>3</v>
      </c>
    </row>
    <row r="1132" spans="1:11">
      <c r="A1132" s="7">
        <v>40085</v>
      </c>
      <c r="B1132" s="1">
        <v>70.540000000000006</v>
      </c>
      <c r="C1132" s="1" t="s">
        <v>13</v>
      </c>
      <c r="D1132" s="13">
        <f>VALUE(MID(C1132,9,3))</f>
        <v>311</v>
      </c>
      <c r="E1132" s="14">
        <f>MONTH(A1132)</f>
        <v>9</v>
      </c>
      <c r="G1132" s="1" t="s">
        <v>120</v>
      </c>
      <c r="H1132" s="1">
        <v>1135.68</v>
      </c>
      <c r="I1132" s="1" t="s">
        <v>110</v>
      </c>
      <c r="J1132" s="13">
        <f>VALUE(MID(I1132,1,3))</f>
        <v>227</v>
      </c>
      <c r="K1132" s="13">
        <f>VALUE(MID(G1132,5,2))</f>
        <v>3</v>
      </c>
    </row>
    <row r="1133" spans="1:11">
      <c r="A1133" s="7">
        <v>40085</v>
      </c>
      <c r="B1133" s="1">
        <v>674.51</v>
      </c>
      <c r="C1133" s="1" t="s">
        <v>5</v>
      </c>
      <c r="D1133" s="13">
        <f>VALUE(MID(C1133,9,3))</f>
        <v>311</v>
      </c>
      <c r="E1133" s="14">
        <f>MONTH(A1133)</f>
        <v>9</v>
      </c>
      <c r="G1133" s="1" t="s">
        <v>120</v>
      </c>
      <c r="H1133" s="1">
        <v>2487.6799999999998</v>
      </c>
      <c r="I1133" s="1" t="s">
        <v>110</v>
      </c>
      <c r="J1133" s="13">
        <f>VALUE(MID(I1133,1,3))</f>
        <v>227</v>
      </c>
      <c r="K1133" s="13">
        <f>VALUE(MID(G1133,5,2))</f>
        <v>3</v>
      </c>
    </row>
    <row r="1134" spans="1:11">
      <c r="A1134" s="7">
        <v>40085</v>
      </c>
      <c r="B1134" s="1">
        <v>575</v>
      </c>
      <c r="C1134" s="1" t="s">
        <v>17</v>
      </c>
      <c r="D1134" s="13">
        <f>VALUE(MID(C1134,9,3))</f>
        <v>311</v>
      </c>
      <c r="E1134" s="14">
        <f>MONTH(A1134)</f>
        <v>9</v>
      </c>
      <c r="G1134" s="1" t="s">
        <v>120</v>
      </c>
      <c r="H1134" s="1">
        <v>162.24</v>
      </c>
      <c r="I1134" s="1" t="s">
        <v>110</v>
      </c>
      <c r="J1134" s="13">
        <f>VALUE(MID(I1134,1,3))</f>
        <v>227</v>
      </c>
      <c r="K1134" s="13">
        <f>VALUE(MID(G1134,5,2))</f>
        <v>3</v>
      </c>
    </row>
    <row r="1135" spans="1:11">
      <c r="A1135" s="7">
        <v>40085</v>
      </c>
      <c r="B1135" s="1">
        <v>111.9</v>
      </c>
      <c r="C1135" s="1" t="s">
        <v>30</v>
      </c>
      <c r="D1135" s="13">
        <f>VALUE(MID(C1135,9,3))</f>
        <v>311</v>
      </c>
      <c r="E1135" s="14">
        <f>MONTH(A1135)</f>
        <v>9</v>
      </c>
      <c r="G1135" s="1" t="s">
        <v>120</v>
      </c>
      <c r="H1135" s="1">
        <v>1325.07</v>
      </c>
      <c r="I1135" s="1" t="s">
        <v>110</v>
      </c>
      <c r="J1135" s="13">
        <f>VALUE(MID(I1135,1,3))</f>
        <v>227</v>
      </c>
      <c r="K1135" s="13">
        <f>VALUE(MID(G1135,5,2))</f>
        <v>3</v>
      </c>
    </row>
    <row r="1136" spans="1:11">
      <c r="A1136" s="7">
        <v>40085</v>
      </c>
      <c r="B1136" s="1">
        <v>300</v>
      </c>
      <c r="C1136" s="1" t="s">
        <v>20</v>
      </c>
      <c r="D1136" s="13">
        <f>VALUE(MID(C1136,9,3))</f>
        <v>311</v>
      </c>
      <c r="E1136" s="14">
        <f>MONTH(A1136)</f>
        <v>9</v>
      </c>
      <c r="G1136" s="1" t="s">
        <v>120</v>
      </c>
      <c r="H1136" s="1">
        <v>63.2</v>
      </c>
      <c r="I1136" s="1" t="s">
        <v>103</v>
      </c>
      <c r="J1136" s="13">
        <f>VALUE(MID(I1136,1,3))</f>
        <v>227</v>
      </c>
      <c r="K1136" s="13">
        <f>VALUE(MID(G1136,5,2))</f>
        <v>3</v>
      </c>
    </row>
    <row r="1137" spans="1:11">
      <c r="A1137" s="7">
        <v>39843</v>
      </c>
      <c r="B1137" s="1">
        <v>437.44</v>
      </c>
      <c r="C1137" s="1" t="s">
        <v>28</v>
      </c>
      <c r="D1137" s="13">
        <f>VALUE(MID(C1137,9,3))</f>
        <v>311</v>
      </c>
      <c r="E1137" s="14">
        <f>MONTH(A1137)</f>
        <v>1</v>
      </c>
      <c r="G1137" s="1" t="s">
        <v>120</v>
      </c>
      <c r="H1137" s="1">
        <v>639.1</v>
      </c>
      <c r="I1137" s="1" t="s">
        <v>110</v>
      </c>
      <c r="J1137" s="13">
        <f>VALUE(MID(I1137,1,3))</f>
        <v>227</v>
      </c>
      <c r="K1137" s="13">
        <f>VALUE(MID(G1137,5,2))</f>
        <v>3</v>
      </c>
    </row>
    <row r="1138" spans="1:11">
      <c r="A1138" s="7">
        <v>39902</v>
      </c>
      <c r="B1138" s="1">
        <v>-53.83</v>
      </c>
      <c r="C1138" s="1" t="s">
        <v>29</v>
      </c>
      <c r="D1138" s="13">
        <f>VALUE(MID(C1138,9,3))</f>
        <v>311</v>
      </c>
      <c r="E1138" s="14">
        <f>MONTH(A1138)</f>
        <v>3</v>
      </c>
      <c r="G1138" s="1" t="s">
        <v>120</v>
      </c>
      <c r="H1138" s="1">
        <v>790</v>
      </c>
      <c r="I1138" s="1" t="s">
        <v>78</v>
      </c>
      <c r="J1138" s="13">
        <f>VALUE(MID(I1138,1,3))</f>
        <v>227</v>
      </c>
      <c r="K1138" s="13">
        <f>VALUE(MID(G1138,5,2))</f>
        <v>3</v>
      </c>
    </row>
    <row r="1139" spans="1:11">
      <c r="A1139" s="7">
        <v>39902</v>
      </c>
      <c r="B1139" s="1">
        <v>-38.450000000000003</v>
      </c>
      <c r="C1139" s="1" t="s">
        <v>29</v>
      </c>
      <c r="D1139" s="13">
        <f>VALUE(MID(C1139,9,3))</f>
        <v>311</v>
      </c>
      <c r="E1139" s="14">
        <f>MONTH(A1139)</f>
        <v>3</v>
      </c>
      <c r="G1139" s="1" t="s">
        <v>120</v>
      </c>
      <c r="H1139" s="1">
        <v>200</v>
      </c>
      <c r="I1139" s="1" t="s">
        <v>78</v>
      </c>
      <c r="J1139" s="13">
        <f>VALUE(MID(I1139,1,3))</f>
        <v>227</v>
      </c>
      <c r="K1139" s="13">
        <f>VALUE(MID(G1139,5,2))</f>
        <v>3</v>
      </c>
    </row>
    <row r="1140" spans="1:11">
      <c r="A1140" s="7">
        <v>39902</v>
      </c>
      <c r="B1140" s="1">
        <v>-158.04</v>
      </c>
      <c r="C1140" s="1" t="s">
        <v>29</v>
      </c>
      <c r="D1140" s="13">
        <f>VALUE(MID(C1140,9,3))</f>
        <v>311</v>
      </c>
      <c r="E1140" s="14">
        <f>MONTH(A1140)</f>
        <v>3</v>
      </c>
      <c r="G1140" s="1" t="s">
        <v>120</v>
      </c>
      <c r="H1140" s="1">
        <v>669.24</v>
      </c>
      <c r="I1140" s="1" t="s">
        <v>98</v>
      </c>
      <c r="J1140" s="13">
        <f>VALUE(MID(I1140,1,3))</f>
        <v>227</v>
      </c>
      <c r="K1140" s="13">
        <f>VALUE(MID(G1140,5,2))</f>
        <v>3</v>
      </c>
    </row>
    <row r="1141" spans="1:11">
      <c r="A1141" s="7">
        <v>39902</v>
      </c>
      <c r="B1141" s="1">
        <v>-46.14</v>
      </c>
      <c r="C1141" s="1" t="s">
        <v>29</v>
      </c>
      <c r="D1141" s="13">
        <f>VALUE(MID(C1141,9,3))</f>
        <v>311</v>
      </c>
      <c r="E1141" s="14">
        <f>MONTH(A1141)</f>
        <v>3</v>
      </c>
      <c r="G1141" s="1" t="s">
        <v>120</v>
      </c>
      <c r="H1141" s="1">
        <v>716</v>
      </c>
      <c r="I1141" s="1" t="s">
        <v>110</v>
      </c>
      <c r="J1141" s="13">
        <f>VALUE(MID(I1141,1,3))</f>
        <v>227</v>
      </c>
      <c r="K1141" s="13">
        <f>VALUE(MID(G1141,5,2))</f>
        <v>3</v>
      </c>
    </row>
    <row r="1142" spans="1:11">
      <c r="A1142" s="7">
        <v>39933</v>
      </c>
      <c r="B1142" s="1">
        <v>493.48</v>
      </c>
      <c r="C1142" s="1" t="s">
        <v>29</v>
      </c>
      <c r="D1142" s="13">
        <f>VALUE(MID(C1142,9,3))</f>
        <v>311</v>
      </c>
      <c r="E1142" s="14">
        <f>MONTH(A1142)</f>
        <v>4</v>
      </c>
      <c r="G1142" s="1" t="s">
        <v>120</v>
      </c>
      <c r="H1142" s="1">
        <v>940</v>
      </c>
      <c r="I1142" s="1" t="s">
        <v>98</v>
      </c>
      <c r="J1142" s="13">
        <f>VALUE(MID(I1142,1,3))</f>
        <v>227</v>
      </c>
      <c r="K1142" s="13">
        <f>VALUE(MID(G1142,5,2))</f>
        <v>3</v>
      </c>
    </row>
    <row r="1143" spans="1:11">
      <c r="A1143" s="7">
        <v>39933</v>
      </c>
      <c r="B1143" s="1">
        <v>191.88</v>
      </c>
      <c r="C1143" s="1" t="s">
        <v>29</v>
      </c>
      <c r="D1143" s="13">
        <f>VALUE(MID(C1143,9,3))</f>
        <v>311</v>
      </c>
      <c r="E1143" s="14">
        <f>MONTH(A1143)</f>
        <v>4</v>
      </c>
      <c r="G1143" s="1" t="s">
        <v>120</v>
      </c>
      <c r="H1143" s="1">
        <v>15.6</v>
      </c>
      <c r="I1143" s="1" t="s">
        <v>98</v>
      </c>
      <c r="J1143" s="13">
        <f>VALUE(MID(I1143,1,3))</f>
        <v>227</v>
      </c>
      <c r="K1143" s="13">
        <f>VALUE(MID(G1143,5,2))</f>
        <v>3</v>
      </c>
    </row>
    <row r="1144" spans="1:11">
      <c r="A1144" s="7">
        <v>39994</v>
      </c>
      <c r="B1144" s="1">
        <v>674.51</v>
      </c>
      <c r="C1144" s="1" t="s">
        <v>5</v>
      </c>
      <c r="D1144" s="13">
        <f>VALUE(MID(C1144,9,3))</f>
        <v>311</v>
      </c>
      <c r="E1144" s="14">
        <f>MONTH(A1144)</f>
        <v>6</v>
      </c>
      <c r="G1144" s="1" t="s">
        <v>120</v>
      </c>
      <c r="H1144" s="1">
        <v>861.81</v>
      </c>
      <c r="I1144" s="1" t="s">
        <v>110</v>
      </c>
      <c r="J1144" s="13">
        <f>VALUE(MID(I1144,1,3))</f>
        <v>227</v>
      </c>
      <c r="K1144" s="13">
        <f>VALUE(MID(G1144,5,2))</f>
        <v>3</v>
      </c>
    </row>
    <row r="1145" spans="1:11">
      <c r="A1145" s="7">
        <v>39994</v>
      </c>
      <c r="B1145" s="1">
        <v>300</v>
      </c>
      <c r="C1145" s="1" t="s">
        <v>20</v>
      </c>
      <c r="D1145" s="13">
        <f>VALUE(MID(C1145,9,3))</f>
        <v>311</v>
      </c>
      <c r="E1145" s="14">
        <f>MONTH(A1145)</f>
        <v>6</v>
      </c>
      <c r="G1145" s="1" t="s">
        <v>120</v>
      </c>
      <c r="H1145" s="1">
        <v>153</v>
      </c>
      <c r="I1145" s="1" t="s">
        <v>110</v>
      </c>
      <c r="J1145" s="13">
        <f>VALUE(MID(I1145,1,3))</f>
        <v>227</v>
      </c>
      <c r="K1145" s="13">
        <f>VALUE(MID(G1145,5,2))</f>
        <v>3</v>
      </c>
    </row>
    <row r="1146" spans="1:11">
      <c r="A1146" s="7">
        <v>39994</v>
      </c>
      <c r="B1146" s="1">
        <v>300</v>
      </c>
      <c r="C1146" s="1" t="s">
        <v>20</v>
      </c>
      <c r="D1146" s="13">
        <f>VALUE(MID(C1146,9,3))</f>
        <v>311</v>
      </c>
      <c r="E1146" s="14">
        <f>MONTH(A1146)</f>
        <v>6</v>
      </c>
      <c r="G1146" s="1" t="s">
        <v>120</v>
      </c>
      <c r="H1146" s="1">
        <v>312.52</v>
      </c>
      <c r="I1146" s="1" t="s">
        <v>98</v>
      </c>
      <c r="J1146" s="13">
        <f>VALUE(MID(I1146,1,3))</f>
        <v>227</v>
      </c>
      <c r="K1146" s="13">
        <f>VALUE(MID(G1146,5,2))</f>
        <v>3</v>
      </c>
    </row>
    <row r="1147" spans="1:11">
      <c r="A1147" s="7">
        <v>39994</v>
      </c>
      <c r="B1147" s="1">
        <v>300</v>
      </c>
      <c r="C1147" s="1" t="s">
        <v>20</v>
      </c>
      <c r="D1147" s="13">
        <f>VALUE(MID(C1147,9,3))</f>
        <v>311</v>
      </c>
      <c r="E1147" s="14">
        <f>MONTH(A1147)</f>
        <v>6</v>
      </c>
      <c r="G1147" s="1" t="s">
        <v>120</v>
      </c>
      <c r="H1147" s="1">
        <v>37.44</v>
      </c>
      <c r="I1147" s="1" t="s">
        <v>98</v>
      </c>
      <c r="J1147" s="13">
        <f>VALUE(MID(I1147,1,3))</f>
        <v>227</v>
      </c>
      <c r="K1147" s="13">
        <f>VALUE(MID(G1147,5,2))</f>
        <v>3</v>
      </c>
    </row>
    <row r="1148" spans="1:11">
      <c r="A1148" s="7">
        <v>40024</v>
      </c>
      <c r="B1148" s="1">
        <v>556.46</v>
      </c>
      <c r="C1148" s="1" t="s">
        <v>3</v>
      </c>
      <c r="D1148" s="13">
        <f>VALUE(MID(C1148,9,3))</f>
        <v>311</v>
      </c>
      <c r="E1148" s="14">
        <f>MONTH(A1148)</f>
        <v>7</v>
      </c>
      <c r="G1148" s="1" t="s">
        <v>120</v>
      </c>
      <c r="H1148" s="1">
        <v>312</v>
      </c>
      <c r="I1148" s="1" t="s">
        <v>110</v>
      </c>
      <c r="J1148" s="13">
        <f>VALUE(MID(I1148,1,3))</f>
        <v>227</v>
      </c>
      <c r="K1148" s="13">
        <f>VALUE(MID(G1148,5,2))</f>
        <v>3</v>
      </c>
    </row>
    <row r="1149" spans="1:11">
      <c r="A1149" s="7">
        <v>40024</v>
      </c>
      <c r="B1149" s="1">
        <v>344.85</v>
      </c>
      <c r="C1149" s="1" t="s">
        <v>3</v>
      </c>
      <c r="D1149" s="13">
        <f>VALUE(MID(C1149,9,3))</f>
        <v>311</v>
      </c>
      <c r="E1149" s="14">
        <f>MONTH(A1149)</f>
        <v>7</v>
      </c>
      <c r="G1149" s="1" t="s">
        <v>120</v>
      </c>
      <c r="H1149" s="1">
        <v>33.159999999999997</v>
      </c>
      <c r="I1149" s="1" t="s">
        <v>98</v>
      </c>
      <c r="J1149" s="13">
        <f>VALUE(MID(I1149,1,3))</f>
        <v>227</v>
      </c>
      <c r="K1149" s="13">
        <f>VALUE(MID(G1149,5,2))</f>
        <v>3</v>
      </c>
    </row>
    <row r="1150" spans="1:11">
      <c r="A1150" s="7">
        <v>40024</v>
      </c>
      <c r="B1150" s="1">
        <v>414.46</v>
      </c>
      <c r="C1150" s="1" t="s">
        <v>5</v>
      </c>
      <c r="D1150" s="13">
        <f>VALUE(MID(C1150,9,3))</f>
        <v>311</v>
      </c>
      <c r="E1150" s="14">
        <f>MONTH(A1150)</f>
        <v>7</v>
      </c>
      <c r="G1150" s="1" t="s">
        <v>120</v>
      </c>
      <c r="H1150" s="1">
        <v>78</v>
      </c>
      <c r="I1150" s="1" t="s">
        <v>110</v>
      </c>
      <c r="J1150" s="13">
        <f>VALUE(MID(I1150,1,3))</f>
        <v>227</v>
      </c>
      <c r="K1150" s="13">
        <f>VALUE(MID(G1150,5,2))</f>
        <v>3</v>
      </c>
    </row>
    <row r="1151" spans="1:11">
      <c r="A1151" s="7">
        <v>40024</v>
      </c>
      <c r="B1151" s="1">
        <v>414.46</v>
      </c>
      <c r="C1151" s="1" t="s">
        <v>6</v>
      </c>
      <c r="D1151" s="13">
        <f>VALUE(MID(C1151,9,3))</f>
        <v>311</v>
      </c>
      <c r="E1151" s="14">
        <f>MONTH(A1151)</f>
        <v>7</v>
      </c>
      <c r="G1151" s="1" t="s">
        <v>120</v>
      </c>
      <c r="H1151" s="1">
        <v>5040</v>
      </c>
      <c r="I1151" s="1" t="s">
        <v>110</v>
      </c>
      <c r="J1151" s="13">
        <f>VALUE(MID(I1151,1,3))</f>
        <v>227</v>
      </c>
      <c r="K1151" s="13">
        <f>VALUE(MID(G1151,5,2))</f>
        <v>3</v>
      </c>
    </row>
    <row r="1152" spans="1:11">
      <c r="A1152" s="7">
        <v>40024</v>
      </c>
      <c r="B1152" s="1">
        <v>1152.31</v>
      </c>
      <c r="C1152" s="1" t="s">
        <v>6</v>
      </c>
      <c r="D1152" s="13">
        <f>VALUE(MID(C1152,9,3))</f>
        <v>311</v>
      </c>
      <c r="E1152" s="14">
        <f>MONTH(A1152)</f>
        <v>7</v>
      </c>
      <c r="G1152" s="1" t="s">
        <v>130</v>
      </c>
      <c r="H1152" s="1">
        <v>17.18</v>
      </c>
      <c r="I1152" s="1" t="s">
        <v>76</v>
      </c>
      <c r="J1152" s="13">
        <f>VALUE(MID(I1152,1,3))</f>
        <v>227</v>
      </c>
      <c r="K1152" s="13">
        <f>VALUE(MID(G1152,5,2))</f>
        <v>3</v>
      </c>
    </row>
    <row r="1153" spans="1:11">
      <c r="A1153" s="7">
        <v>40024</v>
      </c>
      <c r="B1153" s="1">
        <v>519.82000000000005</v>
      </c>
      <c r="C1153" s="1" t="s">
        <v>6</v>
      </c>
      <c r="D1153" s="13">
        <f>VALUE(MID(C1153,9,3))</f>
        <v>311</v>
      </c>
      <c r="E1153" s="14">
        <f>MONTH(A1153)</f>
        <v>7</v>
      </c>
      <c r="G1153" s="1" t="s">
        <v>130</v>
      </c>
      <c r="H1153" s="1">
        <v>18.36</v>
      </c>
      <c r="I1153" s="1" t="s">
        <v>76</v>
      </c>
      <c r="J1153" s="13">
        <f>VALUE(MID(I1153,1,3))</f>
        <v>227</v>
      </c>
      <c r="K1153" s="13">
        <f>VALUE(MID(G1153,5,2))</f>
        <v>3</v>
      </c>
    </row>
    <row r="1154" spans="1:11">
      <c r="A1154" s="7">
        <v>40024</v>
      </c>
      <c r="B1154" s="1">
        <v>564.14</v>
      </c>
      <c r="C1154" s="1" t="s">
        <v>6</v>
      </c>
      <c r="D1154" s="13">
        <f>VALUE(MID(C1154,9,3))</f>
        <v>311</v>
      </c>
      <c r="E1154" s="14">
        <f>MONTH(A1154)</f>
        <v>7</v>
      </c>
      <c r="G1154" s="1" t="s">
        <v>130</v>
      </c>
      <c r="H1154" s="1">
        <v>43.68</v>
      </c>
      <c r="I1154" s="1" t="s">
        <v>76</v>
      </c>
      <c r="J1154" s="13">
        <f>VALUE(MID(I1154,1,3))</f>
        <v>227</v>
      </c>
      <c r="K1154" s="13">
        <f>VALUE(MID(G1154,5,2))</f>
        <v>3</v>
      </c>
    </row>
    <row r="1155" spans="1:11">
      <c r="A1155" s="7">
        <v>40024</v>
      </c>
      <c r="B1155" s="1">
        <v>537.89</v>
      </c>
      <c r="C1155" s="1" t="s">
        <v>6</v>
      </c>
      <c r="D1155" s="13">
        <f>VALUE(MID(C1155,9,3))</f>
        <v>311</v>
      </c>
      <c r="E1155" s="14">
        <f>MONTH(A1155)</f>
        <v>7</v>
      </c>
      <c r="G1155" s="1" t="s">
        <v>130</v>
      </c>
      <c r="H1155" s="1">
        <v>53.38</v>
      </c>
      <c r="I1155" s="1" t="s">
        <v>76</v>
      </c>
      <c r="J1155" s="13">
        <f>VALUE(MID(I1155,1,3))</f>
        <v>227</v>
      </c>
      <c r="K1155" s="13">
        <f>VALUE(MID(G1155,5,2))</f>
        <v>3</v>
      </c>
    </row>
    <row r="1156" spans="1:11">
      <c r="A1156" s="7">
        <v>40024</v>
      </c>
      <c r="B1156" s="1">
        <v>501.18</v>
      </c>
      <c r="C1156" s="1" t="s">
        <v>6</v>
      </c>
      <c r="D1156" s="13">
        <f>VALUE(MID(C1156,9,3))</f>
        <v>311</v>
      </c>
      <c r="E1156" s="14">
        <f>MONTH(A1156)</f>
        <v>7</v>
      </c>
      <c r="G1156" s="1" t="s">
        <v>130</v>
      </c>
      <c r="H1156" s="1">
        <v>4.16</v>
      </c>
      <c r="I1156" s="1" t="s">
        <v>76</v>
      </c>
      <c r="J1156" s="13">
        <f>VALUE(MID(I1156,1,3))</f>
        <v>227</v>
      </c>
      <c r="K1156" s="13">
        <f>VALUE(MID(G1156,5,2))</f>
        <v>3</v>
      </c>
    </row>
    <row r="1157" spans="1:11">
      <c r="A1157" s="7">
        <v>40024</v>
      </c>
      <c r="B1157" s="1">
        <v>575</v>
      </c>
      <c r="C1157" s="1" t="s">
        <v>17</v>
      </c>
      <c r="D1157" s="13">
        <f>VALUE(MID(C1157,9,3))</f>
        <v>311</v>
      </c>
      <c r="E1157" s="14">
        <f>MONTH(A1157)</f>
        <v>7</v>
      </c>
      <c r="G1157" s="1" t="s">
        <v>130</v>
      </c>
      <c r="H1157" s="1">
        <v>17.12</v>
      </c>
      <c r="I1157" s="1" t="s">
        <v>76</v>
      </c>
      <c r="J1157" s="13">
        <f>VALUE(MID(I1157,1,3))</f>
        <v>227</v>
      </c>
      <c r="K1157" s="13">
        <f>VALUE(MID(G1157,5,2))</f>
        <v>3</v>
      </c>
    </row>
    <row r="1158" spans="1:11">
      <c r="A1158" s="7">
        <v>40024</v>
      </c>
      <c r="B1158" s="1">
        <v>2400</v>
      </c>
      <c r="C1158" s="1" t="s">
        <v>27</v>
      </c>
      <c r="D1158" s="13">
        <f>VALUE(MID(C1158,9,3))</f>
        <v>311</v>
      </c>
      <c r="E1158" s="14">
        <f>MONTH(A1158)</f>
        <v>7</v>
      </c>
      <c r="G1158" s="1" t="s">
        <v>130</v>
      </c>
      <c r="H1158" s="1">
        <v>12.48</v>
      </c>
      <c r="I1158" s="1" t="s">
        <v>76</v>
      </c>
      <c r="J1158" s="13">
        <f>VALUE(MID(I1158,1,3))</f>
        <v>227</v>
      </c>
      <c r="K1158" s="13">
        <f>VALUE(MID(G1158,5,2))</f>
        <v>3</v>
      </c>
    </row>
    <row r="1159" spans="1:11">
      <c r="A1159" s="7">
        <v>40086</v>
      </c>
      <c r="B1159" s="1">
        <v>230.5</v>
      </c>
      <c r="C1159" s="1" t="s">
        <v>42</v>
      </c>
      <c r="D1159" s="13">
        <f>VALUE(MID(C1159,9,3))</f>
        <v>311</v>
      </c>
      <c r="E1159" s="14">
        <f>MONTH(A1159)</f>
        <v>9</v>
      </c>
      <c r="G1159" s="1" t="s">
        <v>130</v>
      </c>
      <c r="H1159" s="1">
        <v>9.98</v>
      </c>
      <c r="I1159" s="1" t="s">
        <v>76</v>
      </c>
      <c r="J1159" s="13">
        <f>VALUE(MID(I1159,1,3))</f>
        <v>227</v>
      </c>
      <c r="K1159" s="13">
        <f>VALUE(MID(G1159,5,2))</f>
        <v>3</v>
      </c>
    </row>
    <row r="1160" spans="1:11">
      <c r="A1160" s="7">
        <v>40086</v>
      </c>
      <c r="B1160" s="1">
        <v>489.75</v>
      </c>
      <c r="C1160" s="1" t="s">
        <v>7</v>
      </c>
      <c r="D1160" s="13">
        <f>VALUE(MID(C1160,9,3))</f>
        <v>311</v>
      </c>
      <c r="E1160" s="14">
        <f>MONTH(A1160)</f>
        <v>9</v>
      </c>
      <c r="G1160" s="1" t="s">
        <v>130</v>
      </c>
      <c r="H1160" s="1">
        <v>8.32</v>
      </c>
      <c r="I1160" s="1" t="s">
        <v>76</v>
      </c>
      <c r="J1160" s="13">
        <f>VALUE(MID(I1160,1,3))</f>
        <v>227</v>
      </c>
      <c r="K1160" s="13">
        <f>VALUE(MID(G1160,5,2))</f>
        <v>3</v>
      </c>
    </row>
    <row r="1161" spans="1:11">
      <c r="A1161" s="7">
        <v>40086</v>
      </c>
      <c r="B1161" s="1">
        <v>62.7</v>
      </c>
      <c r="C1161" s="1" t="s">
        <v>13</v>
      </c>
      <c r="D1161" s="13">
        <f>VALUE(MID(C1161,9,3))</f>
        <v>311</v>
      </c>
      <c r="E1161" s="14">
        <f>MONTH(A1161)</f>
        <v>9</v>
      </c>
      <c r="G1161" s="1" t="s">
        <v>130</v>
      </c>
      <c r="H1161" s="1">
        <v>20</v>
      </c>
      <c r="I1161" s="1" t="s">
        <v>76</v>
      </c>
      <c r="J1161" s="13">
        <f>VALUE(MID(I1161,1,3))</f>
        <v>227</v>
      </c>
      <c r="K1161" s="13">
        <f>VALUE(MID(G1161,5,2))</f>
        <v>3</v>
      </c>
    </row>
    <row r="1162" spans="1:11">
      <c r="A1162" s="7">
        <v>40086</v>
      </c>
      <c r="B1162" s="1">
        <v>-635</v>
      </c>
      <c r="C1162" s="1" t="s">
        <v>5</v>
      </c>
      <c r="D1162" s="13">
        <f>VALUE(MID(C1162,9,3))</f>
        <v>311</v>
      </c>
      <c r="E1162" s="14">
        <f>MONTH(A1162)</f>
        <v>9</v>
      </c>
      <c r="G1162" s="1" t="s">
        <v>130</v>
      </c>
      <c r="H1162" s="1">
        <v>34.36</v>
      </c>
      <c r="I1162" s="1" t="s">
        <v>76</v>
      </c>
      <c r="J1162" s="13">
        <f>VALUE(MID(I1162,1,3))</f>
        <v>227</v>
      </c>
      <c r="K1162" s="13">
        <f>VALUE(MID(G1162,5,2))</f>
        <v>3</v>
      </c>
    </row>
    <row r="1163" spans="1:11">
      <c r="A1163" s="7">
        <v>40086</v>
      </c>
      <c r="B1163" s="1">
        <v>555.96</v>
      </c>
      <c r="C1163" s="1" t="s">
        <v>5</v>
      </c>
      <c r="D1163" s="13">
        <f>VALUE(MID(C1163,9,3))</f>
        <v>311</v>
      </c>
      <c r="E1163" s="14">
        <f>MONTH(A1163)</f>
        <v>9</v>
      </c>
      <c r="G1163" s="1" t="s">
        <v>130</v>
      </c>
      <c r="H1163" s="1">
        <v>24.96</v>
      </c>
      <c r="I1163" s="1" t="s">
        <v>76</v>
      </c>
      <c r="J1163" s="13">
        <f>VALUE(MID(I1163,1,3))</f>
        <v>227</v>
      </c>
      <c r="K1163" s="13">
        <f>VALUE(MID(G1163,5,2))</f>
        <v>3</v>
      </c>
    </row>
    <row r="1164" spans="1:11">
      <c r="A1164" s="7">
        <v>40086</v>
      </c>
      <c r="B1164" s="1">
        <v>-39.51</v>
      </c>
      <c r="C1164" s="1" t="s">
        <v>6</v>
      </c>
      <c r="D1164" s="13">
        <f>VALUE(MID(C1164,9,3))</f>
        <v>311</v>
      </c>
      <c r="E1164" s="14">
        <f>MONTH(A1164)</f>
        <v>9</v>
      </c>
      <c r="G1164" s="1" t="s">
        <v>130</v>
      </c>
      <c r="H1164" s="1">
        <v>39.94</v>
      </c>
      <c r="I1164" s="1" t="s">
        <v>76</v>
      </c>
      <c r="J1164" s="13">
        <f>VALUE(MID(I1164,1,3))</f>
        <v>227</v>
      </c>
      <c r="K1164" s="13">
        <f>VALUE(MID(G1164,5,2))</f>
        <v>3</v>
      </c>
    </row>
    <row r="1165" spans="1:11">
      <c r="A1165" s="7">
        <v>40086</v>
      </c>
      <c r="B1165" s="1">
        <v>-46.14</v>
      </c>
      <c r="C1165" s="1" t="s">
        <v>6</v>
      </c>
      <c r="D1165" s="13">
        <f>VALUE(MID(C1165,9,3))</f>
        <v>311</v>
      </c>
      <c r="E1165" s="14">
        <f>MONTH(A1165)</f>
        <v>9</v>
      </c>
      <c r="G1165" s="1" t="s">
        <v>130</v>
      </c>
      <c r="H1165" s="1">
        <v>12.16</v>
      </c>
      <c r="I1165" s="1" t="s">
        <v>76</v>
      </c>
      <c r="J1165" s="13">
        <f>VALUE(MID(I1165,1,3))</f>
        <v>227</v>
      </c>
      <c r="K1165" s="13">
        <f>VALUE(MID(G1165,5,2))</f>
        <v>3</v>
      </c>
    </row>
    <row r="1166" spans="1:11">
      <c r="A1166" s="7">
        <v>40086</v>
      </c>
      <c r="B1166" s="1">
        <v>-34.61</v>
      </c>
      <c r="C1166" s="1" t="s">
        <v>6</v>
      </c>
      <c r="D1166" s="13">
        <f>VALUE(MID(C1166,9,3))</f>
        <v>311</v>
      </c>
      <c r="E1166" s="14">
        <f>MONTH(A1166)</f>
        <v>9</v>
      </c>
      <c r="G1166" s="1" t="s">
        <v>130</v>
      </c>
      <c r="H1166" s="1">
        <v>57.6</v>
      </c>
      <c r="I1166" s="1" t="s">
        <v>76</v>
      </c>
      <c r="J1166" s="13">
        <f>VALUE(MID(I1166,1,3))</f>
        <v>227</v>
      </c>
      <c r="K1166" s="13">
        <f>VALUE(MID(G1166,5,2))</f>
        <v>3</v>
      </c>
    </row>
    <row r="1167" spans="1:11">
      <c r="A1167" s="7">
        <v>40086</v>
      </c>
      <c r="B1167" s="1">
        <v>-92.19</v>
      </c>
      <c r="C1167" s="1" t="s">
        <v>6</v>
      </c>
      <c r="D1167" s="13">
        <f>VALUE(MID(C1167,9,3))</f>
        <v>311</v>
      </c>
      <c r="E1167" s="14">
        <f>MONTH(A1167)</f>
        <v>9</v>
      </c>
      <c r="G1167" s="1" t="s">
        <v>130</v>
      </c>
      <c r="H1167" s="1">
        <v>429.5</v>
      </c>
      <c r="I1167" s="1" t="s">
        <v>76</v>
      </c>
      <c r="J1167" s="13">
        <f>VALUE(MID(I1167,1,3))</f>
        <v>227</v>
      </c>
      <c r="K1167" s="13">
        <f>VALUE(MID(G1167,5,2))</f>
        <v>3</v>
      </c>
    </row>
    <row r="1168" spans="1:11">
      <c r="A1168" s="7">
        <v>40086</v>
      </c>
      <c r="B1168" s="1">
        <v>-197.55</v>
      </c>
      <c r="C1168" s="1" t="s">
        <v>6</v>
      </c>
      <c r="D1168" s="13">
        <f>VALUE(MID(C1168,9,3))</f>
        <v>311</v>
      </c>
      <c r="E1168" s="14">
        <f>MONTH(A1168)</f>
        <v>9</v>
      </c>
      <c r="G1168" s="1" t="s">
        <v>139</v>
      </c>
      <c r="H1168" s="1">
        <v>6000</v>
      </c>
      <c r="I1168" s="1" t="s">
        <v>98</v>
      </c>
      <c r="J1168" s="13">
        <f>VALUE(MID(I1168,1,3))</f>
        <v>227</v>
      </c>
      <c r="K1168" s="13">
        <f>VALUE(MID(G1168,5,2))</f>
        <v>4</v>
      </c>
    </row>
    <row r="1169" spans="1:11">
      <c r="A1169" s="7">
        <v>40086</v>
      </c>
      <c r="B1169" s="1">
        <v>-111.9</v>
      </c>
      <c r="C1169" s="1" t="s">
        <v>6</v>
      </c>
      <c r="D1169" s="13">
        <f>VALUE(MID(C1169,9,3))</f>
        <v>311</v>
      </c>
      <c r="E1169" s="14">
        <f>MONTH(A1169)</f>
        <v>9</v>
      </c>
      <c r="G1169" s="1" t="s">
        <v>139</v>
      </c>
      <c r="H1169" s="1">
        <v>429.5</v>
      </c>
      <c r="I1169" s="1" t="s">
        <v>76</v>
      </c>
      <c r="J1169" s="13">
        <f>VALUE(MID(I1169,1,3))</f>
        <v>227</v>
      </c>
      <c r="K1169" s="13">
        <f>VALUE(MID(G1169,5,2))</f>
        <v>4</v>
      </c>
    </row>
    <row r="1170" spans="1:11">
      <c r="A1170" s="7">
        <v>40086</v>
      </c>
      <c r="B1170" s="1">
        <v>575</v>
      </c>
      <c r="C1170" s="1" t="s">
        <v>17</v>
      </c>
      <c r="D1170" s="13">
        <f>VALUE(MID(C1170,9,3))</f>
        <v>311</v>
      </c>
      <c r="E1170" s="14">
        <f>MONTH(A1170)</f>
        <v>9</v>
      </c>
      <c r="G1170" s="1" t="s">
        <v>139</v>
      </c>
      <c r="H1170" s="1">
        <v>859</v>
      </c>
      <c r="I1170" s="1" t="s">
        <v>76</v>
      </c>
      <c r="J1170" s="13">
        <f>VALUE(MID(I1170,1,3))</f>
        <v>227</v>
      </c>
      <c r="K1170" s="13">
        <f>VALUE(MID(G1170,5,2))</f>
        <v>4</v>
      </c>
    </row>
    <row r="1171" spans="1:11">
      <c r="A1171" s="7">
        <v>40086</v>
      </c>
      <c r="B1171" s="1">
        <v>65</v>
      </c>
      <c r="C1171" s="1" t="s">
        <v>18</v>
      </c>
      <c r="D1171" s="13">
        <f>VALUE(MID(C1171,9,3))</f>
        <v>311</v>
      </c>
      <c r="E1171" s="14">
        <f>MONTH(A1171)</f>
        <v>9</v>
      </c>
      <c r="G1171" s="1" t="s">
        <v>139</v>
      </c>
      <c r="H1171" s="1">
        <v>3006.5</v>
      </c>
      <c r="I1171" s="1" t="s">
        <v>76</v>
      </c>
      <c r="J1171" s="13">
        <f>VALUE(MID(I1171,1,3))</f>
        <v>227</v>
      </c>
      <c r="K1171" s="13">
        <f>VALUE(MID(G1171,5,2))</f>
        <v>4</v>
      </c>
    </row>
    <row r="1172" spans="1:11">
      <c r="A1172" s="7">
        <v>40086</v>
      </c>
      <c r="B1172" s="1">
        <v>80</v>
      </c>
      <c r="C1172" s="1" t="s">
        <v>18</v>
      </c>
      <c r="D1172" s="13">
        <f>VALUE(MID(C1172,9,3))</f>
        <v>311</v>
      </c>
      <c r="E1172" s="14">
        <f>MONTH(A1172)</f>
        <v>9</v>
      </c>
      <c r="G1172" s="1" t="s">
        <v>139</v>
      </c>
      <c r="H1172" s="1">
        <v>330</v>
      </c>
      <c r="I1172" s="1" t="s">
        <v>76</v>
      </c>
      <c r="J1172" s="13">
        <f>VALUE(MID(I1172,1,3))</f>
        <v>227</v>
      </c>
      <c r="K1172" s="13">
        <f>VALUE(MID(G1172,5,2))</f>
        <v>4</v>
      </c>
    </row>
    <row r="1173" spans="1:11">
      <c r="A1173" s="7">
        <v>40086</v>
      </c>
      <c r="B1173" s="1">
        <v>100</v>
      </c>
      <c r="C1173" s="1" t="s">
        <v>19</v>
      </c>
      <c r="D1173" s="13">
        <f>VALUE(MID(C1173,9,3))</f>
        <v>311</v>
      </c>
      <c r="E1173" s="14">
        <f>MONTH(A1173)</f>
        <v>9</v>
      </c>
      <c r="G1173" s="1" t="s">
        <v>139</v>
      </c>
      <c r="H1173" s="1">
        <v>520</v>
      </c>
      <c r="I1173" s="1" t="s">
        <v>76</v>
      </c>
      <c r="J1173" s="13">
        <f>VALUE(MID(I1173,1,3))</f>
        <v>227</v>
      </c>
      <c r="K1173" s="13">
        <f>VALUE(MID(G1173,5,2))</f>
        <v>4</v>
      </c>
    </row>
    <row r="1174" spans="1:11">
      <c r="A1174" s="7">
        <v>40116</v>
      </c>
      <c r="B1174" s="1">
        <v>489.75</v>
      </c>
      <c r="C1174" s="1" t="s">
        <v>7</v>
      </c>
      <c r="D1174" s="13">
        <f>VALUE(MID(C1174,9,3))</f>
        <v>311</v>
      </c>
      <c r="E1174" s="14">
        <f>MONTH(A1174)</f>
        <v>10</v>
      </c>
      <c r="G1174" s="1" t="s">
        <v>139</v>
      </c>
      <c r="H1174" s="1">
        <v>812</v>
      </c>
      <c r="I1174" s="1" t="s">
        <v>76</v>
      </c>
      <c r="J1174" s="13">
        <f>VALUE(MID(I1174,1,3))</f>
        <v>227</v>
      </c>
      <c r="K1174" s="13">
        <f>VALUE(MID(G1174,5,2))</f>
        <v>4</v>
      </c>
    </row>
    <row r="1175" spans="1:11">
      <c r="A1175" s="7">
        <v>40116</v>
      </c>
      <c r="B1175" s="1">
        <v>489.75</v>
      </c>
      <c r="C1175" s="1" t="s">
        <v>7</v>
      </c>
      <c r="D1175" s="13">
        <f>VALUE(MID(C1175,9,3))</f>
        <v>311</v>
      </c>
      <c r="E1175" s="14">
        <f>MONTH(A1175)</f>
        <v>10</v>
      </c>
      <c r="G1175" s="1" t="s">
        <v>139</v>
      </c>
      <c r="H1175" s="1">
        <v>998.4</v>
      </c>
      <c r="I1175" s="1" t="s">
        <v>76</v>
      </c>
      <c r="J1175" s="13">
        <f>VALUE(MID(I1175,1,3))</f>
        <v>227</v>
      </c>
      <c r="K1175" s="13">
        <f>VALUE(MID(G1175,5,2))</f>
        <v>4</v>
      </c>
    </row>
    <row r="1176" spans="1:11">
      <c r="A1176" s="7">
        <v>40116</v>
      </c>
      <c r="B1176" s="1">
        <v>489.75</v>
      </c>
      <c r="C1176" s="1" t="s">
        <v>7</v>
      </c>
      <c r="D1176" s="13">
        <f>VALUE(MID(C1176,9,3))</f>
        <v>311</v>
      </c>
      <c r="E1176" s="14">
        <f>MONTH(A1176)</f>
        <v>10</v>
      </c>
      <c r="G1176" s="1" t="s">
        <v>139</v>
      </c>
      <c r="H1176" s="1">
        <v>1454.06</v>
      </c>
      <c r="I1176" s="1" t="s">
        <v>110</v>
      </c>
      <c r="J1176" s="13">
        <f>VALUE(MID(I1176,1,3))</f>
        <v>227</v>
      </c>
      <c r="K1176" s="13">
        <f>VALUE(MID(G1176,5,2))</f>
        <v>4</v>
      </c>
    </row>
    <row r="1177" spans="1:11">
      <c r="A1177" s="7">
        <v>40116</v>
      </c>
      <c r="B1177" s="1">
        <v>464.94</v>
      </c>
      <c r="C1177" s="1" t="s">
        <v>7</v>
      </c>
      <c r="D1177" s="13">
        <f>VALUE(MID(C1177,9,3))</f>
        <v>311</v>
      </c>
      <c r="E1177" s="14">
        <f>MONTH(A1177)</f>
        <v>10</v>
      </c>
      <c r="G1177" s="1" t="s">
        <v>139</v>
      </c>
      <c r="H1177" s="1">
        <v>3055.48</v>
      </c>
      <c r="I1177" s="1" t="s">
        <v>101</v>
      </c>
      <c r="J1177" s="13">
        <f>VALUE(MID(I1177,1,3))</f>
        <v>227</v>
      </c>
      <c r="K1177" s="13">
        <f>VALUE(MID(G1177,5,2))</f>
        <v>4</v>
      </c>
    </row>
    <row r="1178" spans="1:11">
      <c r="A1178" s="7">
        <v>40116</v>
      </c>
      <c r="B1178" s="1">
        <v>489.75</v>
      </c>
      <c r="C1178" s="1" t="s">
        <v>7</v>
      </c>
      <c r="D1178" s="13">
        <f>VALUE(MID(C1178,9,3))</f>
        <v>311</v>
      </c>
      <c r="E1178" s="14">
        <f>MONTH(A1178)</f>
        <v>10</v>
      </c>
      <c r="G1178" s="1" t="s">
        <v>139</v>
      </c>
      <c r="H1178" s="1">
        <v>1740</v>
      </c>
      <c r="I1178" s="1" t="s">
        <v>98</v>
      </c>
      <c r="J1178" s="13">
        <f>VALUE(MID(I1178,1,3))</f>
        <v>227</v>
      </c>
      <c r="K1178" s="13">
        <f>VALUE(MID(G1178,5,2))</f>
        <v>4</v>
      </c>
    </row>
    <row r="1179" spans="1:11">
      <c r="A1179" s="7">
        <v>40116</v>
      </c>
      <c r="B1179" s="1">
        <v>529.5</v>
      </c>
      <c r="C1179" s="1" t="s">
        <v>7</v>
      </c>
      <c r="D1179" s="13">
        <f>VALUE(MID(C1179,9,3))</f>
        <v>311</v>
      </c>
      <c r="E1179" s="14">
        <f>MONTH(A1179)</f>
        <v>10</v>
      </c>
      <c r="G1179" s="1" t="s">
        <v>139</v>
      </c>
      <c r="H1179" s="1">
        <v>341.07</v>
      </c>
      <c r="I1179" s="1" t="s">
        <v>103</v>
      </c>
      <c r="J1179" s="13">
        <f>VALUE(MID(I1179,1,3))</f>
        <v>227</v>
      </c>
      <c r="K1179" s="13">
        <f>VALUE(MID(G1179,5,2))</f>
        <v>4</v>
      </c>
    </row>
    <row r="1180" spans="1:11">
      <c r="A1180" s="7">
        <v>40116</v>
      </c>
      <c r="B1180" s="1">
        <v>489.75</v>
      </c>
      <c r="C1180" s="1" t="s">
        <v>7</v>
      </c>
      <c r="D1180" s="13">
        <f>VALUE(MID(C1180,9,3))</f>
        <v>311</v>
      </c>
      <c r="E1180" s="14">
        <f>MONTH(A1180)</f>
        <v>10</v>
      </c>
      <c r="G1180" s="1" t="s">
        <v>139</v>
      </c>
      <c r="H1180" s="1">
        <v>39.24</v>
      </c>
      <c r="I1180" s="1" t="s">
        <v>103</v>
      </c>
      <c r="J1180" s="13">
        <f>VALUE(MID(I1180,1,3))</f>
        <v>227</v>
      </c>
      <c r="K1180" s="13">
        <f>VALUE(MID(G1180,5,2))</f>
        <v>4</v>
      </c>
    </row>
    <row r="1181" spans="1:11">
      <c r="A1181" s="7">
        <v>40116</v>
      </c>
      <c r="B1181" s="1">
        <v>489.75</v>
      </c>
      <c r="C1181" s="1" t="s">
        <v>7</v>
      </c>
      <c r="D1181" s="13">
        <f>VALUE(MID(C1181,9,3))</f>
        <v>311</v>
      </c>
      <c r="E1181" s="14">
        <f>MONTH(A1181)</f>
        <v>10</v>
      </c>
      <c r="G1181" s="1" t="s">
        <v>139</v>
      </c>
      <c r="H1181" s="1">
        <v>12.43</v>
      </c>
      <c r="I1181" s="1" t="s">
        <v>98</v>
      </c>
      <c r="J1181" s="13">
        <f>VALUE(MID(I1181,1,3))</f>
        <v>227</v>
      </c>
      <c r="K1181" s="13">
        <f>VALUE(MID(G1181,5,2))</f>
        <v>4</v>
      </c>
    </row>
    <row r="1182" spans="1:11">
      <c r="A1182" s="7">
        <v>40116</v>
      </c>
      <c r="B1182" s="1">
        <v>489.75</v>
      </c>
      <c r="C1182" s="1" t="s">
        <v>7</v>
      </c>
      <c r="D1182" s="13">
        <f>VALUE(MID(C1182,9,3))</f>
        <v>311</v>
      </c>
      <c r="E1182" s="14">
        <f>MONTH(A1182)</f>
        <v>10</v>
      </c>
      <c r="G1182" s="1" t="s">
        <v>139</v>
      </c>
      <c r="H1182" s="1">
        <v>428</v>
      </c>
      <c r="I1182" s="1" t="s">
        <v>76</v>
      </c>
      <c r="J1182" s="13">
        <f>VALUE(MID(I1182,1,3))</f>
        <v>227</v>
      </c>
      <c r="K1182" s="13">
        <f>VALUE(MID(G1182,5,2))</f>
        <v>4</v>
      </c>
    </row>
    <row r="1183" spans="1:11">
      <c r="A1183" s="7">
        <v>40116</v>
      </c>
      <c r="B1183" s="1">
        <v>489.75</v>
      </c>
      <c r="C1183" s="1" t="s">
        <v>7</v>
      </c>
      <c r="D1183" s="13">
        <f>VALUE(MID(C1183,9,3))</f>
        <v>311</v>
      </c>
      <c r="E1183" s="14">
        <f>MONTH(A1183)</f>
        <v>10</v>
      </c>
      <c r="G1183" s="1" t="s">
        <v>139</v>
      </c>
      <c r="H1183" s="1">
        <v>63.2</v>
      </c>
      <c r="I1183" s="1" t="s">
        <v>103</v>
      </c>
      <c r="J1183" s="13">
        <f>VALUE(MID(I1183,1,3))</f>
        <v>227</v>
      </c>
      <c r="K1183" s="13">
        <f>VALUE(MID(G1183,5,2))</f>
        <v>4</v>
      </c>
    </row>
    <row r="1184" spans="1:11">
      <c r="A1184" s="7">
        <v>40116</v>
      </c>
      <c r="B1184" s="1">
        <v>482.66</v>
      </c>
      <c r="C1184" s="1" t="s">
        <v>7</v>
      </c>
      <c r="D1184" s="13">
        <f>VALUE(MID(C1184,9,3))</f>
        <v>311</v>
      </c>
      <c r="E1184" s="14">
        <f>MONTH(A1184)</f>
        <v>10</v>
      </c>
      <c r="G1184" s="1" t="s">
        <v>139</v>
      </c>
      <c r="H1184" s="1">
        <v>216.32</v>
      </c>
      <c r="I1184" s="1" t="s">
        <v>110</v>
      </c>
      <c r="J1184" s="13">
        <f>VALUE(MID(I1184,1,3))</f>
        <v>227</v>
      </c>
      <c r="K1184" s="13">
        <f>VALUE(MID(G1184,5,2))</f>
        <v>4</v>
      </c>
    </row>
    <row r="1185" spans="1:11">
      <c r="A1185" s="7">
        <v>40116</v>
      </c>
      <c r="B1185" s="1">
        <v>482.66</v>
      </c>
      <c r="C1185" s="1" t="s">
        <v>7</v>
      </c>
      <c r="D1185" s="13">
        <f>VALUE(MID(C1185,9,3))</f>
        <v>311</v>
      </c>
      <c r="E1185" s="14">
        <f>MONTH(A1185)</f>
        <v>10</v>
      </c>
      <c r="G1185" s="1" t="s">
        <v>139</v>
      </c>
      <c r="H1185" s="1">
        <v>639.1</v>
      </c>
      <c r="I1185" s="1" t="s">
        <v>110</v>
      </c>
      <c r="J1185" s="13">
        <f>VALUE(MID(I1185,1,3))</f>
        <v>227</v>
      </c>
      <c r="K1185" s="13">
        <f>VALUE(MID(G1185,5,2))</f>
        <v>4</v>
      </c>
    </row>
    <row r="1186" spans="1:11">
      <c r="A1186" s="7">
        <v>40116</v>
      </c>
      <c r="B1186" s="1">
        <v>482.66</v>
      </c>
      <c r="C1186" s="1" t="s">
        <v>7</v>
      </c>
      <c r="D1186" s="13">
        <f>VALUE(MID(C1186,9,3))</f>
        <v>311</v>
      </c>
      <c r="E1186" s="14">
        <f>MONTH(A1186)</f>
        <v>10</v>
      </c>
      <c r="G1186" s="1" t="s">
        <v>139</v>
      </c>
      <c r="H1186" s="1">
        <v>780</v>
      </c>
      <c r="I1186" s="1" t="s">
        <v>111</v>
      </c>
      <c r="J1186" s="13">
        <f>VALUE(MID(I1186,1,3))</f>
        <v>227</v>
      </c>
      <c r="K1186" s="13">
        <f>VALUE(MID(G1186,5,2))</f>
        <v>4</v>
      </c>
    </row>
    <row r="1187" spans="1:11">
      <c r="A1187" s="7">
        <v>40116</v>
      </c>
      <c r="B1187" s="1">
        <v>-85.06</v>
      </c>
      <c r="C1187" s="1" t="s">
        <v>7</v>
      </c>
      <c r="D1187" s="13">
        <f>VALUE(MID(C1187,9,3))</f>
        <v>311</v>
      </c>
      <c r="E1187" s="14">
        <f>MONTH(A1187)</f>
        <v>10</v>
      </c>
      <c r="G1187" s="1" t="s">
        <v>139</v>
      </c>
      <c r="H1187" s="1">
        <v>162.24</v>
      </c>
      <c r="I1187" s="1" t="s">
        <v>110</v>
      </c>
      <c r="J1187" s="13">
        <f>VALUE(MID(I1187,1,3))</f>
        <v>227</v>
      </c>
      <c r="K1187" s="13">
        <f>VALUE(MID(G1187,5,2))</f>
        <v>4</v>
      </c>
    </row>
    <row r="1188" spans="1:11">
      <c r="A1188" s="7">
        <v>40116</v>
      </c>
      <c r="B1188" s="1">
        <v>468.49</v>
      </c>
      <c r="C1188" s="1" t="s">
        <v>7</v>
      </c>
      <c r="D1188" s="13">
        <f>VALUE(MID(C1188,9,3))</f>
        <v>311</v>
      </c>
      <c r="E1188" s="14">
        <f>MONTH(A1188)</f>
        <v>10</v>
      </c>
      <c r="G1188" s="1" t="s">
        <v>139</v>
      </c>
      <c r="H1188" s="1">
        <v>960</v>
      </c>
      <c r="I1188" s="1" t="s">
        <v>78</v>
      </c>
      <c r="J1188" s="13">
        <f>VALUE(MID(I1188,1,3))</f>
        <v>227</v>
      </c>
      <c r="K1188" s="13">
        <f>VALUE(MID(G1188,5,2))</f>
        <v>4</v>
      </c>
    </row>
    <row r="1189" spans="1:11">
      <c r="A1189" s="7">
        <v>40116</v>
      </c>
      <c r="B1189" s="1">
        <v>489.75</v>
      </c>
      <c r="C1189" s="1" t="s">
        <v>7</v>
      </c>
      <c r="D1189" s="13">
        <f>VALUE(MID(C1189,9,3))</f>
        <v>311</v>
      </c>
      <c r="E1189" s="14">
        <f>MONTH(A1189)</f>
        <v>10</v>
      </c>
      <c r="G1189" s="1" t="s">
        <v>139</v>
      </c>
      <c r="H1189" s="1">
        <v>855</v>
      </c>
      <c r="I1189" s="1" t="s">
        <v>78</v>
      </c>
      <c r="J1189" s="13">
        <f>VALUE(MID(I1189,1,3))</f>
        <v>227</v>
      </c>
      <c r="K1189" s="13">
        <f>VALUE(MID(G1189,5,2))</f>
        <v>4</v>
      </c>
    </row>
    <row r="1190" spans="1:11">
      <c r="A1190" s="7">
        <v>40116</v>
      </c>
      <c r="B1190" s="1">
        <v>489.75</v>
      </c>
      <c r="C1190" s="1" t="s">
        <v>7</v>
      </c>
      <c r="D1190" s="13">
        <f>VALUE(MID(C1190,9,3))</f>
        <v>311</v>
      </c>
      <c r="E1190" s="14">
        <f>MONTH(A1190)</f>
        <v>10</v>
      </c>
      <c r="G1190" s="1" t="s">
        <v>139</v>
      </c>
      <c r="H1190" s="1">
        <v>340</v>
      </c>
      <c r="I1190" s="1" t="s">
        <v>78</v>
      </c>
      <c r="J1190" s="13">
        <f>VALUE(MID(I1190,1,3))</f>
        <v>227</v>
      </c>
      <c r="K1190" s="13">
        <f>VALUE(MID(G1190,5,2))</f>
        <v>4</v>
      </c>
    </row>
    <row r="1191" spans="1:11">
      <c r="A1191" s="7">
        <v>40116</v>
      </c>
      <c r="B1191" s="1">
        <v>27.34</v>
      </c>
      <c r="C1191" s="1" t="s">
        <v>8</v>
      </c>
      <c r="D1191" s="13">
        <f>VALUE(MID(C1191,9,3))</f>
        <v>311</v>
      </c>
      <c r="E1191" s="14">
        <f>MONTH(A1191)</f>
        <v>10</v>
      </c>
      <c r="G1191" s="1" t="s">
        <v>139</v>
      </c>
      <c r="H1191" s="1">
        <v>475</v>
      </c>
      <c r="I1191" s="1" t="s">
        <v>78</v>
      </c>
      <c r="J1191" s="13">
        <f>VALUE(MID(I1191,1,3))</f>
        <v>227</v>
      </c>
      <c r="K1191" s="13">
        <f>VALUE(MID(G1191,5,2))</f>
        <v>4</v>
      </c>
    </row>
    <row r="1192" spans="1:11">
      <c r="A1192" s="7">
        <v>40116</v>
      </c>
      <c r="B1192" s="1">
        <v>133.15</v>
      </c>
      <c r="C1192" s="1" t="s">
        <v>8</v>
      </c>
      <c r="D1192" s="13">
        <f>VALUE(MID(C1192,9,3))</f>
        <v>311</v>
      </c>
      <c r="E1192" s="14">
        <f>MONTH(A1192)</f>
        <v>10</v>
      </c>
      <c r="G1192" s="1" t="s">
        <v>139</v>
      </c>
      <c r="H1192" s="1">
        <v>494</v>
      </c>
      <c r="I1192" s="1" t="s">
        <v>98</v>
      </c>
      <c r="J1192" s="13">
        <f>VALUE(MID(I1192,1,3))</f>
        <v>227</v>
      </c>
      <c r="K1192" s="13">
        <f>VALUE(MID(G1192,5,2))</f>
        <v>4</v>
      </c>
    </row>
    <row r="1193" spans="1:11">
      <c r="A1193" s="7">
        <v>40116</v>
      </c>
      <c r="B1193" s="1">
        <v>219.35</v>
      </c>
      <c r="C1193" s="1" t="s">
        <v>8</v>
      </c>
      <c r="D1193" s="13">
        <f>VALUE(MID(C1193,9,3))</f>
        <v>311</v>
      </c>
      <c r="E1193" s="14">
        <f>MONTH(A1193)</f>
        <v>10</v>
      </c>
      <c r="G1193" s="1" t="s">
        <v>139</v>
      </c>
      <c r="H1193" s="1">
        <v>324.48</v>
      </c>
      <c r="I1193" s="1" t="s">
        <v>110</v>
      </c>
      <c r="J1193" s="13">
        <f>VALUE(MID(I1193,1,3))</f>
        <v>227</v>
      </c>
      <c r="K1193" s="13">
        <f>VALUE(MID(G1193,5,2))</f>
        <v>4</v>
      </c>
    </row>
    <row r="1194" spans="1:11">
      <c r="A1194" s="7">
        <v>40116</v>
      </c>
      <c r="B1194" s="1">
        <v>489.75</v>
      </c>
      <c r="C1194" s="1" t="s">
        <v>8</v>
      </c>
      <c r="D1194" s="13">
        <f>VALUE(MID(C1194,9,3))</f>
        <v>311</v>
      </c>
      <c r="E1194" s="14">
        <f>MONTH(A1194)</f>
        <v>10</v>
      </c>
      <c r="G1194" s="1" t="s">
        <v>145</v>
      </c>
      <c r="H1194" s="1">
        <v>429.5</v>
      </c>
      <c r="I1194" s="1" t="s">
        <v>76</v>
      </c>
      <c r="J1194" s="13">
        <f>VALUE(MID(I1194,1,3))</f>
        <v>227</v>
      </c>
      <c r="K1194" s="13">
        <f>VALUE(MID(G1194,5,2))</f>
        <v>4</v>
      </c>
    </row>
    <row r="1195" spans="1:11">
      <c r="A1195" s="7">
        <v>40116</v>
      </c>
      <c r="B1195" s="1">
        <v>317.33</v>
      </c>
      <c r="C1195" s="1" t="s">
        <v>8</v>
      </c>
      <c r="D1195" s="13">
        <f>VALUE(MID(C1195,9,3))</f>
        <v>311</v>
      </c>
      <c r="E1195" s="14">
        <f>MONTH(A1195)</f>
        <v>10</v>
      </c>
      <c r="G1195" s="1" t="s">
        <v>146</v>
      </c>
      <c r="H1195" s="1">
        <v>429.5</v>
      </c>
      <c r="I1195" s="1" t="s">
        <v>76</v>
      </c>
      <c r="J1195" s="13">
        <f>VALUE(MID(I1195,1,3))</f>
        <v>227</v>
      </c>
      <c r="K1195" s="13">
        <f>VALUE(MID(G1195,5,2))</f>
        <v>4</v>
      </c>
    </row>
    <row r="1196" spans="1:11">
      <c r="A1196" s="7">
        <v>40116</v>
      </c>
      <c r="B1196" s="1">
        <v>502.25</v>
      </c>
      <c r="C1196" s="1" t="s">
        <v>8</v>
      </c>
      <c r="D1196" s="13">
        <f>VALUE(MID(C1196,9,3))</f>
        <v>311</v>
      </c>
      <c r="E1196" s="14">
        <f>MONTH(A1196)</f>
        <v>10</v>
      </c>
      <c r="G1196" s="1" t="s">
        <v>152</v>
      </c>
      <c r="H1196" s="1">
        <v>11484.5</v>
      </c>
      <c r="I1196" s="1" t="s">
        <v>98</v>
      </c>
      <c r="J1196" s="13">
        <f>VALUE(MID(I1196,1,3))</f>
        <v>227</v>
      </c>
      <c r="K1196" s="13">
        <f>VALUE(MID(G1196,5,2))</f>
        <v>5</v>
      </c>
    </row>
    <row r="1197" spans="1:11">
      <c r="A1197" s="7">
        <v>40116</v>
      </c>
      <c r="B1197" s="1">
        <v>489.75</v>
      </c>
      <c r="C1197" s="1" t="s">
        <v>8</v>
      </c>
      <c r="D1197" s="13">
        <f>VALUE(MID(C1197,9,3))</f>
        <v>311</v>
      </c>
      <c r="E1197" s="14">
        <f>MONTH(A1197)</f>
        <v>10</v>
      </c>
      <c r="G1197" s="1" t="s">
        <v>152</v>
      </c>
      <c r="H1197" s="1">
        <v>429.5</v>
      </c>
      <c r="I1197" s="1" t="s">
        <v>76</v>
      </c>
      <c r="J1197" s="13">
        <f>VALUE(MID(I1197,1,3))</f>
        <v>227</v>
      </c>
      <c r="K1197" s="13">
        <f>VALUE(MID(G1197,5,2))</f>
        <v>5</v>
      </c>
    </row>
    <row r="1198" spans="1:11">
      <c r="A1198" s="7">
        <v>40116</v>
      </c>
      <c r="B1198" s="1">
        <v>310.24</v>
      </c>
      <c r="C1198" s="1" t="s">
        <v>8</v>
      </c>
      <c r="D1198" s="13">
        <f>VALUE(MID(C1198,9,3))</f>
        <v>311</v>
      </c>
      <c r="E1198" s="14">
        <f>MONTH(A1198)</f>
        <v>10</v>
      </c>
      <c r="G1198" s="1" t="s">
        <v>152</v>
      </c>
      <c r="H1198" s="1">
        <v>353</v>
      </c>
      <c r="I1198" s="1" t="s">
        <v>76</v>
      </c>
      <c r="J1198" s="13">
        <f>VALUE(MID(I1198,1,3))</f>
        <v>227</v>
      </c>
      <c r="K1198" s="13">
        <f>VALUE(MID(G1198,5,2))</f>
        <v>5</v>
      </c>
    </row>
    <row r="1199" spans="1:11">
      <c r="A1199" s="7">
        <v>40116</v>
      </c>
      <c r="B1199" s="1">
        <v>427.05</v>
      </c>
      <c r="C1199" s="1" t="s">
        <v>8</v>
      </c>
      <c r="D1199" s="13">
        <f>VALUE(MID(C1199,9,3))</f>
        <v>311</v>
      </c>
      <c r="E1199" s="14">
        <f>MONTH(A1199)</f>
        <v>10</v>
      </c>
      <c r="G1199" s="1" t="s">
        <v>152</v>
      </c>
      <c r="H1199" s="1">
        <v>200</v>
      </c>
      <c r="I1199" s="1" t="s">
        <v>76</v>
      </c>
      <c r="J1199" s="13">
        <f>VALUE(MID(I1199,1,3))</f>
        <v>227</v>
      </c>
      <c r="K1199" s="13">
        <f>VALUE(MID(G1199,5,2))</f>
        <v>5</v>
      </c>
    </row>
    <row r="1200" spans="1:11">
      <c r="A1200" s="7">
        <v>40116</v>
      </c>
      <c r="B1200" s="1">
        <v>489.75</v>
      </c>
      <c r="C1200" s="1" t="s">
        <v>8</v>
      </c>
      <c r="D1200" s="13">
        <f>VALUE(MID(C1200,9,3))</f>
        <v>311</v>
      </c>
      <c r="E1200" s="14">
        <f>MONTH(A1200)</f>
        <v>10</v>
      </c>
      <c r="G1200" s="1" t="s">
        <v>152</v>
      </c>
      <c r="H1200" s="1">
        <v>530</v>
      </c>
      <c r="I1200" s="1" t="s">
        <v>76</v>
      </c>
      <c r="J1200" s="13">
        <f>VALUE(MID(I1200,1,3))</f>
        <v>227</v>
      </c>
      <c r="K1200" s="13">
        <f>VALUE(MID(G1200,5,2))</f>
        <v>5</v>
      </c>
    </row>
    <row r="1201" spans="1:11">
      <c r="A1201" s="7">
        <v>40116</v>
      </c>
      <c r="B1201" s="1">
        <v>489.75</v>
      </c>
      <c r="C1201" s="1" t="s">
        <v>8</v>
      </c>
      <c r="D1201" s="13">
        <f>VALUE(MID(C1201,9,3))</f>
        <v>311</v>
      </c>
      <c r="E1201" s="14">
        <f>MONTH(A1201)</f>
        <v>10</v>
      </c>
      <c r="G1201" s="1" t="s">
        <v>152</v>
      </c>
      <c r="H1201" s="1">
        <v>314.75</v>
      </c>
      <c r="I1201" s="1" t="s">
        <v>76</v>
      </c>
      <c r="J1201" s="13">
        <f>VALUE(MID(I1201,1,3))</f>
        <v>227</v>
      </c>
      <c r="K1201" s="13">
        <f>VALUE(MID(G1201,5,2))</f>
        <v>5</v>
      </c>
    </row>
    <row r="1202" spans="1:11">
      <c r="A1202" s="7">
        <v>40116</v>
      </c>
      <c r="B1202" s="1">
        <v>258.58999999999997</v>
      </c>
      <c r="C1202" s="1" t="s">
        <v>8</v>
      </c>
      <c r="D1202" s="13">
        <f>VALUE(MID(C1202,9,3))</f>
        <v>311</v>
      </c>
      <c r="E1202" s="14">
        <f>MONTH(A1202)</f>
        <v>10</v>
      </c>
      <c r="G1202" s="1" t="s">
        <v>152</v>
      </c>
      <c r="H1202" s="1">
        <v>506</v>
      </c>
      <c r="I1202" s="1" t="s">
        <v>76</v>
      </c>
      <c r="J1202" s="13">
        <f>VALUE(MID(I1202,1,3))</f>
        <v>227</v>
      </c>
      <c r="K1202" s="13">
        <f>VALUE(MID(G1202,5,2))</f>
        <v>5</v>
      </c>
    </row>
    <row r="1203" spans="1:11">
      <c r="A1203" s="7">
        <v>40116</v>
      </c>
      <c r="B1203" s="1">
        <v>536.78</v>
      </c>
      <c r="C1203" s="1" t="s">
        <v>8</v>
      </c>
      <c r="D1203" s="13">
        <f>VALUE(MID(C1203,9,3))</f>
        <v>311</v>
      </c>
      <c r="E1203" s="14">
        <f>MONTH(A1203)</f>
        <v>10</v>
      </c>
      <c r="G1203" s="1" t="s">
        <v>152</v>
      </c>
      <c r="H1203" s="1">
        <v>1284</v>
      </c>
      <c r="I1203" s="1" t="s">
        <v>76</v>
      </c>
      <c r="J1203" s="13">
        <f>VALUE(MID(I1203,1,3))</f>
        <v>227</v>
      </c>
      <c r="K1203" s="13">
        <f>VALUE(MID(G1203,5,2))</f>
        <v>5</v>
      </c>
    </row>
    <row r="1204" spans="1:11">
      <c r="A1204" s="7">
        <v>40116</v>
      </c>
      <c r="B1204" s="1">
        <v>517.17999999999995</v>
      </c>
      <c r="C1204" s="1" t="s">
        <v>8</v>
      </c>
      <c r="D1204" s="13">
        <f>VALUE(MID(C1204,9,3))</f>
        <v>311</v>
      </c>
      <c r="E1204" s="14">
        <f>MONTH(A1204)</f>
        <v>10</v>
      </c>
      <c r="G1204" s="1" t="s">
        <v>152</v>
      </c>
      <c r="H1204" s="1">
        <v>812</v>
      </c>
      <c r="I1204" s="1" t="s">
        <v>76</v>
      </c>
      <c r="J1204" s="13">
        <f>VALUE(MID(I1204,1,3))</f>
        <v>227</v>
      </c>
      <c r="K1204" s="13">
        <f>VALUE(MID(G1204,5,2))</f>
        <v>5</v>
      </c>
    </row>
    <row r="1205" spans="1:11">
      <c r="A1205" s="7">
        <v>40116</v>
      </c>
      <c r="B1205" s="1">
        <v>156.66</v>
      </c>
      <c r="C1205" s="1" t="s">
        <v>8</v>
      </c>
      <c r="D1205" s="13">
        <f>VALUE(MID(C1205,9,3))</f>
        <v>311</v>
      </c>
      <c r="E1205" s="14">
        <f>MONTH(A1205)</f>
        <v>10</v>
      </c>
      <c r="G1205" s="1" t="s">
        <v>152</v>
      </c>
      <c r="H1205" s="1">
        <v>624</v>
      </c>
      <c r="I1205" s="1" t="s">
        <v>76</v>
      </c>
      <c r="J1205" s="13">
        <f>VALUE(MID(I1205,1,3))</f>
        <v>227</v>
      </c>
      <c r="K1205" s="13">
        <f>VALUE(MID(G1205,5,2))</f>
        <v>5</v>
      </c>
    </row>
    <row r="1206" spans="1:11">
      <c r="A1206" s="7">
        <v>40116</v>
      </c>
      <c r="B1206" s="1">
        <v>529.69000000000005</v>
      </c>
      <c r="C1206" s="1" t="s">
        <v>8</v>
      </c>
      <c r="D1206" s="13">
        <f>VALUE(MID(C1206,9,3))</f>
        <v>311</v>
      </c>
      <c r="E1206" s="14">
        <f>MONTH(A1206)</f>
        <v>10</v>
      </c>
      <c r="G1206" s="1" t="s">
        <v>152</v>
      </c>
      <c r="H1206" s="1">
        <v>499.2</v>
      </c>
      <c r="I1206" s="1" t="s">
        <v>76</v>
      </c>
      <c r="J1206" s="13">
        <f>VALUE(MID(I1206,1,3))</f>
        <v>227</v>
      </c>
      <c r="K1206" s="13">
        <f>VALUE(MID(G1206,5,2))</f>
        <v>5</v>
      </c>
    </row>
    <row r="1207" spans="1:11">
      <c r="A1207" s="7">
        <v>40116</v>
      </c>
      <c r="B1207" s="1">
        <v>383.94</v>
      </c>
      <c r="C1207" s="1" t="s">
        <v>8</v>
      </c>
      <c r="D1207" s="13">
        <f>VALUE(MID(C1207,9,3))</f>
        <v>311</v>
      </c>
      <c r="E1207" s="14">
        <f>MONTH(A1207)</f>
        <v>10</v>
      </c>
      <c r="G1207" s="1" t="s">
        <v>152</v>
      </c>
      <c r="H1207" s="1">
        <v>1259.5899999999999</v>
      </c>
      <c r="I1207" s="1" t="s">
        <v>110</v>
      </c>
      <c r="J1207" s="13">
        <f>VALUE(MID(I1207,1,3))</f>
        <v>227</v>
      </c>
      <c r="K1207" s="13">
        <f>VALUE(MID(G1207,5,2))</f>
        <v>5</v>
      </c>
    </row>
    <row r="1208" spans="1:11">
      <c r="A1208" s="7">
        <v>40116</v>
      </c>
      <c r="B1208" s="1">
        <v>489.75</v>
      </c>
      <c r="C1208" s="1" t="s">
        <v>8</v>
      </c>
      <c r="D1208" s="13">
        <f>VALUE(MID(C1208,9,3))</f>
        <v>311</v>
      </c>
      <c r="E1208" s="14">
        <f>MONTH(A1208)</f>
        <v>10</v>
      </c>
      <c r="G1208" s="1" t="s">
        <v>152</v>
      </c>
      <c r="H1208" s="1">
        <v>3055.48</v>
      </c>
      <c r="I1208" s="1" t="s">
        <v>101</v>
      </c>
      <c r="J1208" s="13">
        <f>VALUE(MID(I1208,1,3))</f>
        <v>227</v>
      </c>
      <c r="K1208" s="13">
        <f>VALUE(MID(G1208,5,2))</f>
        <v>5</v>
      </c>
    </row>
    <row r="1209" spans="1:11">
      <c r="A1209" s="7">
        <v>40116</v>
      </c>
      <c r="B1209" s="1">
        <v>430.8</v>
      </c>
      <c r="C1209" s="1" t="s">
        <v>8</v>
      </c>
      <c r="D1209" s="13">
        <f>VALUE(MID(C1209,9,3))</f>
        <v>311</v>
      </c>
      <c r="E1209" s="14">
        <f>MONTH(A1209)</f>
        <v>10</v>
      </c>
      <c r="G1209" s="1" t="s">
        <v>152</v>
      </c>
      <c r="H1209" s="1">
        <v>341.07</v>
      </c>
      <c r="I1209" s="1" t="s">
        <v>103</v>
      </c>
      <c r="J1209" s="13">
        <f>VALUE(MID(I1209,1,3))</f>
        <v>227</v>
      </c>
      <c r="K1209" s="13">
        <f>VALUE(MID(G1209,5,2))</f>
        <v>5</v>
      </c>
    </row>
    <row r="1210" spans="1:11">
      <c r="A1210" s="7">
        <v>40116</v>
      </c>
      <c r="B1210" s="1">
        <v>391.4</v>
      </c>
      <c r="C1210" s="1" t="s">
        <v>9</v>
      </c>
      <c r="D1210" s="13">
        <f>VALUE(MID(C1210,9,3))</f>
        <v>311</v>
      </c>
      <c r="E1210" s="14">
        <f>MONTH(A1210)</f>
        <v>10</v>
      </c>
      <c r="G1210" s="1" t="s">
        <v>152</v>
      </c>
      <c r="H1210" s="1">
        <v>39.24</v>
      </c>
      <c r="I1210" s="1" t="s">
        <v>103</v>
      </c>
      <c r="J1210" s="13">
        <f>VALUE(MID(I1210,1,3))</f>
        <v>227</v>
      </c>
      <c r="K1210" s="13">
        <f>VALUE(MID(G1210,5,2))</f>
        <v>5</v>
      </c>
    </row>
    <row r="1211" spans="1:11">
      <c r="A1211" s="7">
        <v>40116</v>
      </c>
      <c r="B1211" s="1">
        <v>599.48</v>
      </c>
      <c r="C1211" s="1" t="s">
        <v>9</v>
      </c>
      <c r="D1211" s="13">
        <f>VALUE(MID(C1211,9,3))</f>
        <v>311</v>
      </c>
      <c r="E1211" s="14">
        <f>MONTH(A1211)</f>
        <v>10</v>
      </c>
      <c r="G1211" s="1" t="s">
        <v>152</v>
      </c>
      <c r="H1211" s="1">
        <v>324</v>
      </c>
      <c r="I1211" s="1" t="s">
        <v>76</v>
      </c>
      <c r="J1211" s="13">
        <f>VALUE(MID(I1211,1,3))</f>
        <v>227</v>
      </c>
      <c r="K1211" s="13">
        <f>VALUE(MID(G1211,5,2))</f>
        <v>5</v>
      </c>
    </row>
    <row r="1212" spans="1:11">
      <c r="A1212" s="7">
        <v>40116</v>
      </c>
      <c r="B1212" s="1">
        <v>544.61</v>
      </c>
      <c r="C1212" s="1" t="s">
        <v>9</v>
      </c>
      <c r="D1212" s="13">
        <f>VALUE(MID(C1212,9,3))</f>
        <v>311</v>
      </c>
      <c r="E1212" s="14">
        <f>MONTH(A1212)</f>
        <v>10</v>
      </c>
      <c r="G1212" s="1" t="s">
        <v>152</v>
      </c>
      <c r="H1212" s="1">
        <v>540.79999999999995</v>
      </c>
      <c r="I1212" s="1" t="s">
        <v>110</v>
      </c>
      <c r="J1212" s="13">
        <f>VALUE(MID(I1212,1,3))</f>
        <v>227</v>
      </c>
      <c r="K1212" s="13">
        <f>VALUE(MID(G1212,5,2))</f>
        <v>5</v>
      </c>
    </row>
    <row r="1213" spans="1:11">
      <c r="A1213" s="7">
        <v>40116</v>
      </c>
      <c r="B1213" s="1">
        <v>82.29</v>
      </c>
      <c r="C1213" s="1" t="s">
        <v>9</v>
      </c>
      <c r="D1213" s="13">
        <f>VALUE(MID(C1213,9,3))</f>
        <v>311</v>
      </c>
      <c r="E1213" s="14">
        <f>MONTH(A1213)</f>
        <v>10</v>
      </c>
      <c r="G1213" s="1" t="s">
        <v>152</v>
      </c>
      <c r="H1213" s="1">
        <v>63.2</v>
      </c>
      <c r="I1213" s="1" t="s">
        <v>103</v>
      </c>
      <c r="J1213" s="13">
        <f>VALUE(MID(I1213,1,3))</f>
        <v>227</v>
      </c>
      <c r="K1213" s="13">
        <f>VALUE(MID(G1213,5,2))</f>
        <v>5</v>
      </c>
    </row>
    <row r="1214" spans="1:11">
      <c r="A1214" s="7">
        <v>40116</v>
      </c>
      <c r="B1214" s="1">
        <v>499.98</v>
      </c>
      <c r="C1214" s="1" t="s">
        <v>9</v>
      </c>
      <c r="D1214" s="13">
        <f>VALUE(MID(C1214,9,3))</f>
        <v>311</v>
      </c>
      <c r="E1214" s="14">
        <f>MONTH(A1214)</f>
        <v>10</v>
      </c>
      <c r="G1214" s="1" t="s">
        <v>152</v>
      </c>
      <c r="H1214" s="1">
        <v>151.01</v>
      </c>
      <c r="I1214" s="1" t="s">
        <v>98</v>
      </c>
      <c r="J1214" s="13">
        <f>VALUE(MID(I1214,1,3))</f>
        <v>227</v>
      </c>
      <c r="K1214" s="13">
        <f>VALUE(MID(G1214,5,2))</f>
        <v>5</v>
      </c>
    </row>
    <row r="1215" spans="1:11">
      <c r="A1215" s="7">
        <v>40116</v>
      </c>
      <c r="B1215" s="1">
        <v>489.75</v>
      </c>
      <c r="C1215" s="1" t="s">
        <v>9</v>
      </c>
      <c r="D1215" s="13">
        <f>VALUE(MID(C1215,9,3))</f>
        <v>311</v>
      </c>
      <c r="E1215" s="14">
        <f>MONTH(A1215)</f>
        <v>10</v>
      </c>
      <c r="G1215" s="1" t="s">
        <v>152</v>
      </c>
      <c r="H1215" s="1">
        <v>688.5</v>
      </c>
      <c r="I1215" s="1" t="s">
        <v>76</v>
      </c>
      <c r="J1215" s="13">
        <f>VALUE(MID(I1215,1,3))</f>
        <v>227</v>
      </c>
      <c r="K1215" s="13">
        <f>VALUE(MID(G1215,5,2))</f>
        <v>5</v>
      </c>
    </row>
    <row r="1216" spans="1:11">
      <c r="A1216" s="7">
        <v>40116</v>
      </c>
      <c r="B1216" s="1">
        <v>406.5</v>
      </c>
      <c r="C1216" s="1" t="s">
        <v>12</v>
      </c>
      <c r="D1216" s="13">
        <f>VALUE(MID(C1216,9,3))</f>
        <v>311</v>
      </c>
      <c r="E1216" s="14">
        <f>MONTH(A1216)</f>
        <v>10</v>
      </c>
      <c r="G1216" s="1" t="s">
        <v>152</v>
      </c>
      <c r="H1216" s="1">
        <v>324.48</v>
      </c>
      <c r="I1216" s="1" t="s">
        <v>110</v>
      </c>
      <c r="J1216" s="13">
        <f>VALUE(MID(I1216,1,3))</f>
        <v>227</v>
      </c>
      <c r="K1216" s="13">
        <f>VALUE(MID(G1216,5,2))</f>
        <v>5</v>
      </c>
    </row>
    <row r="1217" spans="1:11">
      <c r="A1217" s="7">
        <v>40116</v>
      </c>
      <c r="B1217" s="1">
        <v>406.5</v>
      </c>
      <c r="C1217" s="1" t="s">
        <v>12</v>
      </c>
      <c r="D1217" s="13">
        <f>VALUE(MID(C1217,9,3))</f>
        <v>311</v>
      </c>
      <c r="E1217" s="14">
        <f>MONTH(A1217)</f>
        <v>10</v>
      </c>
      <c r="G1217" s="1" t="s">
        <v>152</v>
      </c>
      <c r="H1217" s="1">
        <v>639.1</v>
      </c>
      <c r="I1217" s="1" t="s">
        <v>110</v>
      </c>
      <c r="J1217" s="13">
        <f>VALUE(MID(I1217,1,3))</f>
        <v>227</v>
      </c>
      <c r="K1217" s="13">
        <f>VALUE(MID(G1217,5,2))</f>
        <v>5</v>
      </c>
    </row>
    <row r="1218" spans="1:11">
      <c r="A1218" s="7">
        <v>40116</v>
      </c>
      <c r="B1218" s="1">
        <v>470.25</v>
      </c>
      <c r="C1218" s="1" t="s">
        <v>13</v>
      </c>
      <c r="D1218" s="13">
        <f>VALUE(MID(C1218,9,3))</f>
        <v>311</v>
      </c>
      <c r="E1218" s="14">
        <f>MONTH(A1218)</f>
        <v>10</v>
      </c>
      <c r="G1218" s="1" t="s">
        <v>152</v>
      </c>
      <c r="H1218" s="1">
        <v>260</v>
      </c>
      <c r="I1218" s="1" t="s">
        <v>110</v>
      </c>
      <c r="J1218" s="13">
        <f>VALUE(MID(I1218,1,3))</f>
        <v>227</v>
      </c>
      <c r="K1218" s="13">
        <f>VALUE(MID(G1218,5,2))</f>
        <v>5</v>
      </c>
    </row>
    <row r="1219" spans="1:11">
      <c r="A1219" s="7">
        <v>40116</v>
      </c>
      <c r="B1219" s="1">
        <v>470.25</v>
      </c>
      <c r="C1219" s="1" t="s">
        <v>13</v>
      </c>
      <c r="D1219" s="13">
        <f>VALUE(MID(C1219,9,3))</f>
        <v>311</v>
      </c>
      <c r="E1219" s="14">
        <f>MONTH(A1219)</f>
        <v>10</v>
      </c>
      <c r="G1219" s="1" t="s">
        <v>152</v>
      </c>
      <c r="H1219" s="1">
        <v>669.24</v>
      </c>
      <c r="I1219" s="1" t="s">
        <v>98</v>
      </c>
      <c r="J1219" s="13">
        <f>VALUE(MID(I1219,1,3))</f>
        <v>227</v>
      </c>
      <c r="K1219" s="13">
        <f>VALUE(MID(G1219,5,2))</f>
        <v>5</v>
      </c>
    </row>
    <row r="1220" spans="1:11">
      <c r="A1220" s="7">
        <v>40116</v>
      </c>
      <c r="B1220" s="1">
        <v>501.6</v>
      </c>
      <c r="C1220" s="1" t="s">
        <v>13</v>
      </c>
      <c r="D1220" s="13">
        <f>VALUE(MID(C1220,9,3))</f>
        <v>311</v>
      </c>
      <c r="E1220" s="14">
        <f>MONTH(A1220)</f>
        <v>10</v>
      </c>
      <c r="G1220" s="1" t="s">
        <v>152</v>
      </c>
      <c r="H1220" s="1">
        <v>270.39999999999998</v>
      </c>
      <c r="I1220" s="1" t="s">
        <v>110</v>
      </c>
      <c r="J1220" s="13">
        <f>VALUE(MID(I1220,1,3))</f>
        <v>227</v>
      </c>
      <c r="K1220" s="13">
        <f>VALUE(MID(G1220,5,2))</f>
        <v>5</v>
      </c>
    </row>
    <row r="1221" spans="1:11">
      <c r="A1221" s="7">
        <v>40116</v>
      </c>
      <c r="B1221" s="1">
        <v>445.41</v>
      </c>
      <c r="C1221" s="1" t="s">
        <v>13</v>
      </c>
      <c r="D1221" s="13">
        <f>VALUE(MID(C1221,9,3))</f>
        <v>311</v>
      </c>
      <c r="E1221" s="14">
        <f>MONTH(A1221)</f>
        <v>10</v>
      </c>
      <c r="G1221" s="1" t="s">
        <v>152</v>
      </c>
      <c r="H1221" s="1">
        <v>162.24</v>
      </c>
      <c r="I1221" s="1" t="s">
        <v>110</v>
      </c>
      <c r="J1221" s="13">
        <f>VALUE(MID(I1221,1,3))</f>
        <v>227</v>
      </c>
      <c r="K1221" s="13">
        <f>VALUE(MID(G1221,5,2))</f>
        <v>5</v>
      </c>
    </row>
    <row r="1222" spans="1:11">
      <c r="A1222" s="7">
        <v>40116</v>
      </c>
      <c r="B1222" s="1">
        <v>470.25</v>
      </c>
      <c r="C1222" s="1" t="s">
        <v>13</v>
      </c>
      <c r="D1222" s="13">
        <f>VALUE(MID(C1222,9,3))</f>
        <v>311</v>
      </c>
      <c r="E1222" s="14">
        <f>MONTH(A1222)</f>
        <v>10</v>
      </c>
      <c r="G1222" s="1" t="s">
        <v>152</v>
      </c>
      <c r="H1222" s="1">
        <v>796.2</v>
      </c>
      <c r="I1222" s="1" t="s">
        <v>110</v>
      </c>
      <c r="J1222" s="13">
        <f>VALUE(MID(I1222,1,3))</f>
        <v>227</v>
      </c>
      <c r="K1222" s="13">
        <f>VALUE(MID(G1222,5,2))</f>
        <v>5</v>
      </c>
    </row>
    <row r="1223" spans="1:11">
      <c r="A1223" s="7">
        <v>40116</v>
      </c>
      <c r="B1223" s="1">
        <v>470.9</v>
      </c>
      <c r="C1223" s="1" t="s">
        <v>13</v>
      </c>
      <c r="D1223" s="13">
        <f>VALUE(MID(C1223,9,3))</f>
        <v>311</v>
      </c>
      <c r="E1223" s="14">
        <f>MONTH(A1223)</f>
        <v>10</v>
      </c>
      <c r="G1223" s="1" t="s">
        <v>152</v>
      </c>
      <c r="H1223" s="1">
        <v>228.36</v>
      </c>
      <c r="I1223" s="1" t="s">
        <v>110</v>
      </c>
      <c r="J1223" s="13">
        <f>VALUE(MID(I1223,1,3))</f>
        <v>227</v>
      </c>
      <c r="K1223" s="13">
        <f>VALUE(MID(G1223,5,2))</f>
        <v>5</v>
      </c>
    </row>
    <row r="1224" spans="1:11">
      <c r="A1224" s="7">
        <v>40116</v>
      </c>
      <c r="B1224" s="1">
        <v>470.25</v>
      </c>
      <c r="C1224" s="1" t="s">
        <v>3</v>
      </c>
      <c r="D1224" s="13">
        <f>VALUE(MID(C1224,9,3))</f>
        <v>311</v>
      </c>
      <c r="E1224" s="14">
        <f>MONTH(A1224)</f>
        <v>10</v>
      </c>
      <c r="G1224" s="1" t="s">
        <v>152</v>
      </c>
      <c r="H1224" s="1">
        <v>119.34</v>
      </c>
      <c r="I1224" s="1" t="s">
        <v>110</v>
      </c>
      <c r="J1224" s="13">
        <f>VALUE(MID(I1224,1,3))</f>
        <v>227</v>
      </c>
      <c r="K1224" s="13">
        <f>VALUE(MID(G1224,5,2))</f>
        <v>5</v>
      </c>
    </row>
    <row r="1225" spans="1:11">
      <c r="A1225" s="7">
        <v>40116</v>
      </c>
      <c r="B1225" s="1">
        <v>5.65</v>
      </c>
      <c r="C1225" s="1" t="s">
        <v>3</v>
      </c>
      <c r="D1225" s="13">
        <f>VALUE(MID(C1225,9,3))</f>
        <v>311</v>
      </c>
      <c r="E1225" s="14">
        <f>MONTH(A1225)</f>
        <v>10</v>
      </c>
      <c r="G1225" s="1" t="s">
        <v>160</v>
      </c>
      <c r="H1225" s="1">
        <v>500</v>
      </c>
      <c r="I1225" s="1" t="s">
        <v>76</v>
      </c>
      <c r="J1225" s="13">
        <f>VALUE(MID(I1225,1,3))</f>
        <v>227</v>
      </c>
      <c r="K1225" s="13">
        <f>VALUE(MID(G1225,5,2))</f>
        <v>5</v>
      </c>
    </row>
    <row r="1226" spans="1:11">
      <c r="A1226" s="7">
        <v>40116</v>
      </c>
      <c r="B1226" s="1">
        <v>454.57</v>
      </c>
      <c r="C1226" s="1" t="s">
        <v>3</v>
      </c>
      <c r="D1226" s="13">
        <f>VALUE(MID(C1226,9,3))</f>
        <v>311</v>
      </c>
      <c r="E1226" s="14">
        <f>MONTH(A1226)</f>
        <v>10</v>
      </c>
      <c r="G1226" s="1" t="s">
        <v>167</v>
      </c>
      <c r="H1226" s="1">
        <v>429.5</v>
      </c>
      <c r="I1226" s="1" t="s">
        <v>76</v>
      </c>
      <c r="J1226" s="13">
        <f>VALUE(MID(I1226,1,3))</f>
        <v>227</v>
      </c>
      <c r="K1226" s="13">
        <f>VALUE(MID(G1226,5,2))</f>
        <v>6</v>
      </c>
    </row>
    <row r="1227" spans="1:11">
      <c r="A1227" s="7">
        <v>40116</v>
      </c>
      <c r="B1227" s="1">
        <v>493.76</v>
      </c>
      <c r="C1227" s="1" t="s">
        <v>3</v>
      </c>
      <c r="D1227" s="13">
        <f>VALUE(MID(C1227,9,3))</f>
        <v>311</v>
      </c>
      <c r="E1227" s="14">
        <f>MONTH(A1227)</f>
        <v>10</v>
      </c>
      <c r="G1227" s="1" t="s">
        <v>167</v>
      </c>
      <c r="H1227" s="1">
        <v>859</v>
      </c>
      <c r="I1227" s="1" t="s">
        <v>76</v>
      </c>
      <c r="J1227" s="13">
        <f>VALUE(MID(I1227,1,3))</f>
        <v>227</v>
      </c>
      <c r="K1227" s="13">
        <f>VALUE(MID(G1227,5,2))</f>
        <v>6</v>
      </c>
    </row>
    <row r="1228" spans="1:11">
      <c r="A1228" s="7">
        <v>40116</v>
      </c>
      <c r="B1228" s="1">
        <v>470.25</v>
      </c>
      <c r="C1228" s="1" t="s">
        <v>3</v>
      </c>
      <c r="D1228" s="13">
        <f>VALUE(MID(C1228,9,3))</f>
        <v>311</v>
      </c>
      <c r="E1228" s="14">
        <f>MONTH(A1228)</f>
        <v>10</v>
      </c>
      <c r="G1228" s="1" t="s">
        <v>167</v>
      </c>
      <c r="H1228" s="1">
        <v>78</v>
      </c>
      <c r="I1228" s="1" t="s">
        <v>76</v>
      </c>
      <c r="J1228" s="13">
        <f>VALUE(MID(I1228,1,3))</f>
        <v>227</v>
      </c>
      <c r="K1228" s="13">
        <f>VALUE(MID(G1228,5,2))</f>
        <v>6</v>
      </c>
    </row>
    <row r="1229" spans="1:11">
      <c r="A1229" s="7">
        <v>40116</v>
      </c>
      <c r="B1229" s="1">
        <v>627</v>
      </c>
      <c r="C1229" s="1" t="s">
        <v>3</v>
      </c>
      <c r="D1229" s="13">
        <f>VALUE(MID(C1229,9,3))</f>
        <v>311</v>
      </c>
      <c r="E1229" s="14">
        <f>MONTH(A1229)</f>
        <v>10</v>
      </c>
      <c r="G1229" s="1" t="s">
        <v>167</v>
      </c>
      <c r="H1229" s="1">
        <v>353</v>
      </c>
      <c r="I1229" s="1" t="s">
        <v>76</v>
      </c>
      <c r="J1229" s="13">
        <f>VALUE(MID(I1229,1,3))</f>
        <v>227</v>
      </c>
      <c r="K1229" s="13">
        <f>VALUE(MID(G1229,5,2))</f>
        <v>6</v>
      </c>
    </row>
    <row r="1230" spans="1:11">
      <c r="A1230" s="7">
        <v>40116</v>
      </c>
      <c r="B1230" s="1">
        <v>470.25</v>
      </c>
      <c r="C1230" s="1" t="s">
        <v>3</v>
      </c>
      <c r="D1230" s="13">
        <f>VALUE(MID(C1230,9,3))</f>
        <v>311</v>
      </c>
      <c r="E1230" s="14">
        <f>MONTH(A1230)</f>
        <v>10</v>
      </c>
      <c r="G1230" s="1" t="s">
        <v>167</v>
      </c>
      <c r="H1230" s="1">
        <v>506</v>
      </c>
      <c r="I1230" s="1" t="s">
        <v>76</v>
      </c>
      <c r="J1230" s="13">
        <f>VALUE(MID(I1230,1,3))</f>
        <v>227</v>
      </c>
      <c r="K1230" s="13">
        <f>VALUE(MID(G1230,5,2))</f>
        <v>6</v>
      </c>
    </row>
    <row r="1231" spans="1:11">
      <c r="A1231" s="7">
        <v>40116</v>
      </c>
      <c r="B1231" s="1">
        <v>470.25</v>
      </c>
      <c r="C1231" s="1" t="s">
        <v>3</v>
      </c>
      <c r="D1231" s="13">
        <f>VALUE(MID(C1231,9,3))</f>
        <v>311</v>
      </c>
      <c r="E1231" s="14">
        <f>MONTH(A1231)</f>
        <v>10</v>
      </c>
      <c r="G1231" s="1" t="s">
        <v>167</v>
      </c>
      <c r="H1231" s="1">
        <v>960</v>
      </c>
      <c r="I1231" s="1" t="s">
        <v>76</v>
      </c>
      <c r="J1231" s="13">
        <f>VALUE(MID(I1231,1,3))</f>
        <v>227</v>
      </c>
      <c r="K1231" s="13">
        <f>VALUE(MID(G1231,5,2))</f>
        <v>6</v>
      </c>
    </row>
    <row r="1232" spans="1:11">
      <c r="A1232" s="7">
        <v>40116</v>
      </c>
      <c r="B1232" s="1">
        <v>525.11</v>
      </c>
      <c r="C1232" s="1" t="s">
        <v>3</v>
      </c>
      <c r="D1232" s="13">
        <f>VALUE(MID(C1232,9,3))</f>
        <v>311</v>
      </c>
      <c r="E1232" s="14">
        <f>MONTH(A1232)</f>
        <v>10</v>
      </c>
      <c r="G1232" s="1" t="s">
        <v>167</v>
      </c>
      <c r="H1232" s="1">
        <v>540</v>
      </c>
      <c r="I1232" s="1" t="s">
        <v>76</v>
      </c>
      <c r="J1232" s="13">
        <f>VALUE(MID(I1232,1,3))</f>
        <v>227</v>
      </c>
      <c r="K1232" s="13">
        <f>VALUE(MID(G1232,5,2))</f>
        <v>6</v>
      </c>
    </row>
    <row r="1233" spans="1:11">
      <c r="A1233" s="7">
        <v>40116</v>
      </c>
      <c r="B1233" s="1">
        <v>31.35</v>
      </c>
      <c r="C1233" s="1" t="s">
        <v>3</v>
      </c>
      <c r="D1233" s="13">
        <f>VALUE(MID(C1233,9,3))</f>
        <v>311</v>
      </c>
      <c r="E1233" s="14">
        <f>MONTH(A1233)</f>
        <v>10</v>
      </c>
      <c r="G1233" s="1" t="s">
        <v>167</v>
      </c>
      <c r="H1233" s="1">
        <v>520</v>
      </c>
      <c r="I1233" s="1" t="s">
        <v>76</v>
      </c>
      <c r="J1233" s="13">
        <f>VALUE(MID(I1233,1,3))</f>
        <v>227</v>
      </c>
      <c r="K1233" s="13">
        <f>VALUE(MID(G1233,5,2))</f>
        <v>6</v>
      </c>
    </row>
    <row r="1234" spans="1:11">
      <c r="A1234" s="7">
        <v>40116</v>
      </c>
      <c r="B1234" s="1">
        <v>31.35</v>
      </c>
      <c r="C1234" s="1" t="s">
        <v>3</v>
      </c>
      <c r="D1234" s="13">
        <f>VALUE(MID(C1234,9,3))</f>
        <v>311</v>
      </c>
      <c r="E1234" s="14">
        <f>MONTH(A1234)</f>
        <v>10</v>
      </c>
      <c r="G1234" s="1" t="s">
        <v>167</v>
      </c>
      <c r="H1234" s="1">
        <v>630</v>
      </c>
      <c r="I1234" s="1" t="s">
        <v>76</v>
      </c>
      <c r="J1234" s="13">
        <f>VALUE(MID(I1234,1,3))</f>
        <v>227</v>
      </c>
      <c r="K1234" s="13">
        <f>VALUE(MID(G1234,5,2))</f>
        <v>6</v>
      </c>
    </row>
    <row r="1235" spans="1:11">
      <c r="A1235" s="7">
        <v>40147</v>
      </c>
      <c r="B1235" s="1">
        <v>489.75</v>
      </c>
      <c r="C1235" s="1" t="s">
        <v>7</v>
      </c>
      <c r="D1235" s="13">
        <f>VALUE(MID(C1235,9,3))</f>
        <v>311</v>
      </c>
      <c r="E1235" s="14">
        <f>MONTH(A1235)</f>
        <v>11</v>
      </c>
      <c r="G1235" s="1" t="s">
        <v>167</v>
      </c>
      <c r="H1235" s="1">
        <v>86.1</v>
      </c>
      <c r="I1235" s="1" t="s">
        <v>76</v>
      </c>
      <c r="J1235" s="13">
        <f>VALUE(MID(I1235,1,3))</f>
        <v>227</v>
      </c>
      <c r="K1235" s="13">
        <f>VALUE(MID(G1235,5,2))</f>
        <v>6</v>
      </c>
    </row>
    <row r="1236" spans="1:11">
      <c r="A1236" s="7">
        <v>40147</v>
      </c>
      <c r="B1236" s="1">
        <v>489.75</v>
      </c>
      <c r="C1236" s="1" t="s">
        <v>7</v>
      </c>
      <c r="D1236" s="13">
        <f>VALUE(MID(C1236,9,3))</f>
        <v>311</v>
      </c>
      <c r="E1236" s="14">
        <f>MONTH(A1236)</f>
        <v>11</v>
      </c>
      <c r="G1236" s="1" t="s">
        <v>167</v>
      </c>
      <c r="H1236" s="1">
        <v>520</v>
      </c>
      <c r="I1236" s="1" t="s">
        <v>98</v>
      </c>
      <c r="J1236" s="13">
        <f>VALUE(MID(I1236,1,3))</f>
        <v>227</v>
      </c>
      <c r="K1236" s="13">
        <f>VALUE(MID(G1236,5,2))</f>
        <v>6</v>
      </c>
    </row>
    <row r="1237" spans="1:11">
      <c r="A1237" s="7">
        <v>40147</v>
      </c>
      <c r="B1237" s="1">
        <v>489.75</v>
      </c>
      <c r="C1237" s="1" t="s">
        <v>7</v>
      </c>
      <c r="D1237" s="13">
        <f>VALUE(MID(C1237,9,3))</f>
        <v>311</v>
      </c>
      <c r="E1237" s="14">
        <f>MONTH(A1237)</f>
        <v>11</v>
      </c>
      <c r="G1237" s="1" t="s">
        <v>167</v>
      </c>
      <c r="H1237" s="1">
        <v>3055.48</v>
      </c>
      <c r="I1237" s="1" t="s">
        <v>101</v>
      </c>
      <c r="J1237" s="13">
        <f>VALUE(MID(I1237,1,3))</f>
        <v>227</v>
      </c>
      <c r="K1237" s="13">
        <f>VALUE(MID(G1237,5,2))</f>
        <v>6</v>
      </c>
    </row>
    <row r="1238" spans="1:11">
      <c r="A1238" s="7">
        <v>40147</v>
      </c>
      <c r="B1238" s="1">
        <v>464.95</v>
      </c>
      <c r="C1238" s="1" t="s">
        <v>7</v>
      </c>
      <c r="D1238" s="13">
        <f>VALUE(MID(C1238,9,3))</f>
        <v>311</v>
      </c>
      <c r="E1238" s="14">
        <f>MONTH(A1238)</f>
        <v>11</v>
      </c>
      <c r="G1238" s="1" t="s">
        <v>167</v>
      </c>
      <c r="H1238" s="1">
        <v>35</v>
      </c>
      <c r="I1238" s="1" t="s">
        <v>98</v>
      </c>
      <c r="J1238" s="13">
        <f>VALUE(MID(I1238,1,3))</f>
        <v>227</v>
      </c>
      <c r="K1238" s="13">
        <f>VALUE(MID(G1238,5,2))</f>
        <v>6</v>
      </c>
    </row>
    <row r="1239" spans="1:11">
      <c r="A1239" s="7">
        <v>40147</v>
      </c>
      <c r="B1239" s="1">
        <v>529.5</v>
      </c>
      <c r="C1239" s="1" t="s">
        <v>7</v>
      </c>
      <c r="D1239" s="13">
        <f>VALUE(MID(C1239,9,3))</f>
        <v>311</v>
      </c>
      <c r="E1239" s="14">
        <f>MONTH(A1239)</f>
        <v>11</v>
      </c>
      <c r="G1239" s="1" t="s">
        <v>167</v>
      </c>
      <c r="H1239" s="1">
        <v>341.07</v>
      </c>
      <c r="I1239" s="1" t="s">
        <v>103</v>
      </c>
      <c r="J1239" s="13">
        <f>VALUE(MID(I1239,1,3))</f>
        <v>227</v>
      </c>
      <c r="K1239" s="13">
        <f>VALUE(MID(G1239,5,2))</f>
        <v>6</v>
      </c>
    </row>
    <row r="1240" spans="1:11">
      <c r="A1240" s="7">
        <v>40147</v>
      </c>
      <c r="B1240" s="1">
        <v>489.75</v>
      </c>
      <c r="C1240" s="1" t="s">
        <v>7</v>
      </c>
      <c r="D1240" s="13">
        <f>VALUE(MID(C1240,9,3))</f>
        <v>311</v>
      </c>
      <c r="E1240" s="14">
        <f>MONTH(A1240)</f>
        <v>11</v>
      </c>
      <c r="G1240" s="1" t="s">
        <v>167</v>
      </c>
      <c r="H1240" s="1">
        <v>39.24</v>
      </c>
      <c r="I1240" s="1" t="s">
        <v>103</v>
      </c>
      <c r="J1240" s="13">
        <f>VALUE(MID(I1240,1,3))</f>
        <v>227</v>
      </c>
      <c r="K1240" s="13">
        <f>VALUE(MID(G1240,5,2))</f>
        <v>6</v>
      </c>
    </row>
    <row r="1241" spans="1:11">
      <c r="A1241" s="7">
        <v>40147</v>
      </c>
      <c r="B1241" s="1">
        <v>489.75</v>
      </c>
      <c r="C1241" s="1" t="s">
        <v>7</v>
      </c>
      <c r="D1241" s="13">
        <f>VALUE(MID(C1241,9,3))</f>
        <v>311</v>
      </c>
      <c r="E1241" s="14">
        <f>MONTH(A1241)</f>
        <v>11</v>
      </c>
      <c r="G1241" s="1" t="s">
        <v>167</v>
      </c>
      <c r="H1241" s="1">
        <v>456</v>
      </c>
      <c r="I1241" s="1" t="s">
        <v>76</v>
      </c>
      <c r="J1241" s="13">
        <f>VALUE(MID(I1241,1,3))</f>
        <v>227</v>
      </c>
      <c r="K1241" s="13">
        <f>VALUE(MID(G1241,5,2))</f>
        <v>6</v>
      </c>
    </row>
    <row r="1242" spans="1:11">
      <c r="A1242" s="7">
        <v>40147</v>
      </c>
      <c r="B1242" s="1">
        <v>489.75</v>
      </c>
      <c r="C1242" s="1" t="s">
        <v>7</v>
      </c>
      <c r="D1242" s="13">
        <f>VALUE(MID(C1242,9,3))</f>
        <v>311</v>
      </c>
      <c r="E1242" s="14">
        <f>MONTH(A1242)</f>
        <v>11</v>
      </c>
      <c r="G1242" s="1" t="s">
        <v>167</v>
      </c>
      <c r="H1242" s="1">
        <v>432.64</v>
      </c>
      <c r="I1242" s="1" t="s">
        <v>110</v>
      </c>
      <c r="J1242" s="13">
        <f>VALUE(MID(I1242,1,3))</f>
        <v>227</v>
      </c>
      <c r="K1242" s="13">
        <f>VALUE(MID(G1242,5,2))</f>
        <v>6</v>
      </c>
    </row>
    <row r="1243" spans="1:11">
      <c r="A1243" s="7">
        <v>40147</v>
      </c>
      <c r="B1243" s="1">
        <v>489.75</v>
      </c>
      <c r="C1243" s="1" t="s">
        <v>7</v>
      </c>
      <c r="D1243" s="13">
        <f>VALUE(MID(C1243,9,3))</f>
        <v>311</v>
      </c>
      <c r="E1243" s="14">
        <f>MONTH(A1243)</f>
        <v>11</v>
      </c>
      <c r="G1243" s="1" t="s">
        <v>167</v>
      </c>
      <c r="H1243" s="1">
        <v>63.2</v>
      </c>
      <c r="I1243" s="1" t="s">
        <v>103</v>
      </c>
      <c r="J1243" s="13">
        <f>VALUE(MID(I1243,1,3))</f>
        <v>227</v>
      </c>
      <c r="K1243" s="13">
        <f>VALUE(MID(G1243,5,2))</f>
        <v>6</v>
      </c>
    </row>
    <row r="1244" spans="1:11">
      <c r="A1244" s="7">
        <v>40147</v>
      </c>
      <c r="B1244" s="1">
        <v>482.66</v>
      </c>
      <c r="C1244" s="1" t="s">
        <v>7</v>
      </c>
      <c r="D1244" s="13">
        <f>VALUE(MID(C1244,9,3))</f>
        <v>311</v>
      </c>
      <c r="E1244" s="14">
        <f>MONTH(A1244)</f>
        <v>11</v>
      </c>
      <c r="G1244" s="1" t="s">
        <v>167</v>
      </c>
      <c r="H1244" s="1">
        <v>119.34</v>
      </c>
      <c r="I1244" s="1" t="s">
        <v>110</v>
      </c>
      <c r="J1244" s="13">
        <f>VALUE(MID(I1244,1,3))</f>
        <v>227</v>
      </c>
      <c r="K1244" s="13">
        <f>VALUE(MID(G1244,5,2))</f>
        <v>6</v>
      </c>
    </row>
    <row r="1245" spans="1:11">
      <c r="A1245" s="7">
        <v>40147</v>
      </c>
      <c r="B1245" s="1">
        <v>482.66</v>
      </c>
      <c r="C1245" s="1" t="s">
        <v>7</v>
      </c>
      <c r="D1245" s="13">
        <f>VALUE(MID(C1245,9,3))</f>
        <v>311</v>
      </c>
      <c r="E1245" s="14">
        <f>MONTH(A1245)</f>
        <v>11</v>
      </c>
      <c r="G1245" s="1" t="s">
        <v>167</v>
      </c>
      <c r="H1245" s="1">
        <v>688.5</v>
      </c>
      <c r="I1245" s="1" t="s">
        <v>76</v>
      </c>
      <c r="J1245" s="13">
        <f>VALUE(MID(I1245,1,3))</f>
        <v>227</v>
      </c>
      <c r="K1245" s="13">
        <f>VALUE(MID(G1245,5,2))</f>
        <v>6</v>
      </c>
    </row>
    <row r="1246" spans="1:11">
      <c r="A1246" s="7">
        <v>40147</v>
      </c>
      <c r="B1246" s="1">
        <v>482.66</v>
      </c>
      <c r="C1246" s="1" t="s">
        <v>7</v>
      </c>
      <c r="D1246" s="13">
        <f>VALUE(MID(C1246,9,3))</f>
        <v>311</v>
      </c>
      <c r="E1246" s="14">
        <f>MONTH(A1246)</f>
        <v>11</v>
      </c>
      <c r="G1246" s="1" t="s">
        <v>167</v>
      </c>
      <c r="H1246" s="1">
        <v>669.24</v>
      </c>
      <c r="I1246" s="1" t="s">
        <v>98</v>
      </c>
      <c r="J1246" s="13">
        <f>VALUE(MID(I1246,1,3))</f>
        <v>227</v>
      </c>
      <c r="K1246" s="13">
        <f>VALUE(MID(G1246,5,2))</f>
        <v>6</v>
      </c>
    </row>
    <row r="1247" spans="1:11">
      <c r="A1247" s="7">
        <v>40147</v>
      </c>
      <c r="B1247" s="1">
        <v>489.75</v>
      </c>
      <c r="C1247" s="1" t="s">
        <v>7</v>
      </c>
      <c r="D1247" s="13">
        <f>VALUE(MID(C1247,9,3))</f>
        <v>311</v>
      </c>
      <c r="E1247" s="14">
        <f>MONTH(A1247)</f>
        <v>11</v>
      </c>
      <c r="G1247" s="1" t="s">
        <v>167</v>
      </c>
      <c r="H1247" s="1">
        <v>401.63</v>
      </c>
      <c r="I1247" s="1" t="s">
        <v>98</v>
      </c>
      <c r="J1247" s="13">
        <f>VALUE(MID(I1247,1,3))</f>
        <v>227</v>
      </c>
      <c r="K1247" s="13">
        <f>VALUE(MID(G1247,5,2))</f>
        <v>6</v>
      </c>
    </row>
    <row r="1248" spans="1:11">
      <c r="A1248" s="7">
        <v>40147</v>
      </c>
      <c r="B1248" s="1">
        <v>489.75</v>
      </c>
      <c r="C1248" s="1" t="s">
        <v>7</v>
      </c>
      <c r="D1248" s="13">
        <f>VALUE(MID(C1248,9,3))</f>
        <v>311</v>
      </c>
      <c r="E1248" s="14">
        <f>MONTH(A1248)</f>
        <v>11</v>
      </c>
      <c r="G1248" s="1" t="s">
        <v>167</v>
      </c>
      <c r="H1248" s="1">
        <v>1248</v>
      </c>
      <c r="I1248" s="1" t="s">
        <v>111</v>
      </c>
      <c r="J1248" s="13">
        <f>VALUE(MID(I1248,1,3))</f>
        <v>227</v>
      </c>
      <c r="K1248" s="13">
        <f>VALUE(MID(G1248,5,2))</f>
        <v>6</v>
      </c>
    </row>
    <row r="1249" spans="1:11">
      <c r="A1249" s="7">
        <v>40147</v>
      </c>
      <c r="B1249" s="1">
        <v>321.25</v>
      </c>
      <c r="C1249" s="1" t="s">
        <v>8</v>
      </c>
      <c r="D1249" s="13">
        <f>VALUE(MID(C1249,9,3))</f>
        <v>311</v>
      </c>
      <c r="E1249" s="14">
        <f>MONTH(A1249)</f>
        <v>11</v>
      </c>
      <c r="G1249" s="1" t="s">
        <v>167</v>
      </c>
      <c r="H1249" s="1">
        <v>119.34</v>
      </c>
      <c r="I1249" s="1" t="s">
        <v>110</v>
      </c>
      <c r="J1249" s="13">
        <f>VALUE(MID(I1249,1,3))</f>
        <v>227</v>
      </c>
      <c r="K1249" s="13">
        <f>VALUE(MID(G1249,5,2))</f>
        <v>6</v>
      </c>
    </row>
    <row r="1250" spans="1:11">
      <c r="A1250" s="7">
        <v>40147</v>
      </c>
      <c r="B1250" s="1">
        <v>27.35</v>
      </c>
      <c r="C1250" s="1" t="s">
        <v>8</v>
      </c>
      <c r="D1250" s="13">
        <f>VALUE(MID(C1250,9,3))</f>
        <v>311</v>
      </c>
      <c r="E1250" s="14">
        <f>MONTH(A1250)</f>
        <v>11</v>
      </c>
      <c r="G1250" s="1" t="s">
        <v>167</v>
      </c>
      <c r="H1250" s="1">
        <v>312.52</v>
      </c>
      <c r="I1250" s="1" t="s">
        <v>98</v>
      </c>
      <c r="J1250" s="13">
        <f>VALUE(MID(I1250,1,3))</f>
        <v>227</v>
      </c>
      <c r="K1250" s="13">
        <f>VALUE(MID(G1250,5,2))</f>
        <v>6</v>
      </c>
    </row>
    <row r="1251" spans="1:11">
      <c r="A1251" s="7">
        <v>40147</v>
      </c>
      <c r="B1251" s="1">
        <v>133.13999999999999</v>
      </c>
      <c r="C1251" s="1" t="s">
        <v>8</v>
      </c>
      <c r="D1251" s="13">
        <f>VALUE(MID(C1251,9,3))</f>
        <v>311</v>
      </c>
      <c r="E1251" s="14">
        <f>MONTH(A1251)</f>
        <v>11</v>
      </c>
      <c r="G1251" s="1" t="s">
        <v>167</v>
      </c>
      <c r="H1251" s="1">
        <v>324.48</v>
      </c>
      <c r="I1251" s="1" t="s">
        <v>110</v>
      </c>
      <c r="J1251" s="13">
        <f>VALUE(MID(I1251,1,3))</f>
        <v>227</v>
      </c>
      <c r="K1251" s="13">
        <f>VALUE(MID(G1251,5,2))</f>
        <v>6</v>
      </c>
    </row>
    <row r="1252" spans="1:11">
      <c r="A1252" s="7">
        <v>40147</v>
      </c>
      <c r="B1252" s="1">
        <v>219.36</v>
      </c>
      <c r="C1252" s="1" t="s">
        <v>8</v>
      </c>
      <c r="D1252" s="13">
        <f>VALUE(MID(C1252,9,3))</f>
        <v>311</v>
      </c>
      <c r="E1252" s="14">
        <f>MONTH(A1252)</f>
        <v>11</v>
      </c>
      <c r="G1252" s="1" t="s">
        <v>167</v>
      </c>
      <c r="H1252" s="1">
        <v>78</v>
      </c>
      <c r="I1252" s="1" t="s">
        <v>110</v>
      </c>
      <c r="J1252" s="13">
        <f>VALUE(MID(I1252,1,3))</f>
        <v>227</v>
      </c>
      <c r="K1252" s="13">
        <f>VALUE(MID(G1252,5,2))</f>
        <v>6</v>
      </c>
    </row>
    <row r="1253" spans="1:11">
      <c r="A1253" s="7">
        <v>40147</v>
      </c>
      <c r="B1253" s="1">
        <v>489.75</v>
      </c>
      <c r="C1253" s="1" t="s">
        <v>8</v>
      </c>
      <c r="D1253" s="13">
        <f>VALUE(MID(C1253,9,3))</f>
        <v>311</v>
      </c>
      <c r="E1253" s="14">
        <f>MONTH(A1253)</f>
        <v>11</v>
      </c>
      <c r="G1253" s="1" t="s">
        <v>167</v>
      </c>
      <c r="H1253" s="1">
        <v>1560</v>
      </c>
      <c r="I1253" s="1" t="s">
        <v>110</v>
      </c>
      <c r="J1253" s="13">
        <f>VALUE(MID(I1253,1,3))</f>
        <v>227</v>
      </c>
      <c r="K1253" s="13">
        <f>VALUE(MID(G1253,5,2))</f>
        <v>6</v>
      </c>
    </row>
    <row r="1254" spans="1:11">
      <c r="A1254" s="7">
        <v>40147</v>
      </c>
      <c r="B1254" s="1">
        <v>317.32</v>
      </c>
      <c r="C1254" s="1" t="s">
        <v>8</v>
      </c>
      <c r="D1254" s="13">
        <f>VALUE(MID(C1254,9,3))</f>
        <v>311</v>
      </c>
      <c r="E1254" s="14">
        <f>MONTH(A1254)</f>
        <v>11</v>
      </c>
      <c r="G1254" s="1" t="s">
        <v>167</v>
      </c>
      <c r="H1254" s="1">
        <v>318.24</v>
      </c>
      <c r="I1254" s="1" t="s">
        <v>110</v>
      </c>
      <c r="J1254" s="13">
        <f>VALUE(MID(I1254,1,3))</f>
        <v>227</v>
      </c>
      <c r="K1254" s="13">
        <f>VALUE(MID(G1254,5,2))</f>
        <v>6</v>
      </c>
    </row>
    <row r="1255" spans="1:11">
      <c r="A1255" s="7">
        <v>40147</v>
      </c>
      <c r="B1255" s="1">
        <v>502.26</v>
      </c>
      <c r="C1255" s="1" t="s">
        <v>8</v>
      </c>
      <c r="D1255" s="13">
        <f>VALUE(MID(C1255,9,3))</f>
        <v>311</v>
      </c>
      <c r="E1255" s="14">
        <f>MONTH(A1255)</f>
        <v>11</v>
      </c>
      <c r="G1255" s="1" t="s">
        <v>167</v>
      </c>
      <c r="H1255" s="1">
        <v>119.34</v>
      </c>
      <c r="I1255" s="1" t="s">
        <v>110</v>
      </c>
      <c r="J1255" s="13">
        <f>VALUE(MID(I1255,1,3))</f>
        <v>227</v>
      </c>
      <c r="K1255" s="13">
        <f>VALUE(MID(G1255,5,2))</f>
        <v>6</v>
      </c>
    </row>
    <row r="1256" spans="1:11">
      <c r="A1256" s="7">
        <v>40147</v>
      </c>
      <c r="B1256" s="1">
        <v>489.75</v>
      </c>
      <c r="C1256" s="1" t="s">
        <v>8</v>
      </c>
      <c r="D1256" s="13">
        <f>VALUE(MID(C1256,9,3))</f>
        <v>311</v>
      </c>
      <c r="E1256" s="14">
        <f>MONTH(A1256)</f>
        <v>11</v>
      </c>
      <c r="G1256" s="1" t="s">
        <v>170</v>
      </c>
      <c r="H1256" s="1">
        <v>500</v>
      </c>
      <c r="I1256" s="1" t="s">
        <v>98</v>
      </c>
      <c r="J1256" s="13">
        <f>VALUE(MID(I1256,1,3))</f>
        <v>227</v>
      </c>
      <c r="K1256" s="13">
        <f>VALUE(MID(G1256,5,2))</f>
        <v>6</v>
      </c>
    </row>
    <row r="1257" spans="1:11">
      <c r="A1257" s="7">
        <v>40147</v>
      </c>
      <c r="B1257" s="1">
        <v>310.23</v>
      </c>
      <c r="C1257" s="1" t="s">
        <v>8</v>
      </c>
      <c r="D1257" s="13">
        <f>VALUE(MID(C1257,9,3))</f>
        <v>311</v>
      </c>
      <c r="E1257" s="14">
        <f>MONTH(A1257)</f>
        <v>11</v>
      </c>
      <c r="G1257" s="1" t="s">
        <v>170</v>
      </c>
      <c r="H1257" s="1">
        <v>120.26</v>
      </c>
      <c r="I1257" s="1" t="s">
        <v>76</v>
      </c>
      <c r="J1257" s="13">
        <f>VALUE(MID(I1257,1,3))</f>
        <v>227</v>
      </c>
      <c r="K1257" s="13">
        <f>VALUE(MID(G1257,5,2))</f>
        <v>6</v>
      </c>
    </row>
    <row r="1258" spans="1:11">
      <c r="A1258" s="7">
        <v>40147</v>
      </c>
      <c r="B1258" s="1">
        <v>427.05</v>
      </c>
      <c r="C1258" s="1" t="s">
        <v>8</v>
      </c>
      <c r="D1258" s="13">
        <f>VALUE(MID(C1258,9,3))</f>
        <v>311</v>
      </c>
      <c r="E1258" s="14">
        <f>MONTH(A1258)</f>
        <v>11</v>
      </c>
      <c r="G1258" s="1" t="s">
        <v>170</v>
      </c>
      <c r="H1258" s="1">
        <v>13.2</v>
      </c>
      <c r="I1258" s="1" t="s">
        <v>76</v>
      </c>
      <c r="J1258" s="13">
        <f>VALUE(MID(I1258,1,3))</f>
        <v>227</v>
      </c>
      <c r="K1258" s="13">
        <f>VALUE(MID(G1258,5,2))</f>
        <v>6</v>
      </c>
    </row>
    <row r="1259" spans="1:11">
      <c r="A1259" s="7">
        <v>40147</v>
      </c>
      <c r="B1259" s="1">
        <v>489.75</v>
      </c>
      <c r="C1259" s="1" t="s">
        <v>8</v>
      </c>
      <c r="D1259" s="13">
        <f>VALUE(MID(C1259,9,3))</f>
        <v>311</v>
      </c>
      <c r="E1259" s="14">
        <f>MONTH(A1259)</f>
        <v>11</v>
      </c>
      <c r="G1259" s="1" t="s">
        <v>170</v>
      </c>
      <c r="H1259" s="1">
        <v>17.18</v>
      </c>
      <c r="I1259" s="1" t="s">
        <v>76</v>
      </c>
      <c r="J1259" s="13">
        <f>VALUE(MID(I1259,1,3))</f>
        <v>227</v>
      </c>
      <c r="K1259" s="13">
        <f>VALUE(MID(G1259,5,2))</f>
        <v>6</v>
      </c>
    </row>
    <row r="1260" spans="1:11">
      <c r="A1260" s="7">
        <v>40147</v>
      </c>
      <c r="B1260" s="1">
        <v>489.75</v>
      </c>
      <c r="C1260" s="1" t="s">
        <v>8</v>
      </c>
      <c r="D1260" s="13">
        <f>VALUE(MID(C1260,9,3))</f>
        <v>311</v>
      </c>
      <c r="E1260" s="14">
        <f>MONTH(A1260)</f>
        <v>11</v>
      </c>
      <c r="G1260" s="1" t="s">
        <v>170</v>
      </c>
      <c r="H1260" s="1">
        <v>34.36</v>
      </c>
      <c r="I1260" s="1" t="s">
        <v>76</v>
      </c>
      <c r="J1260" s="13">
        <f>VALUE(MID(I1260,1,3))</f>
        <v>227</v>
      </c>
      <c r="K1260" s="13">
        <f>VALUE(MID(G1260,5,2))</f>
        <v>6</v>
      </c>
    </row>
    <row r="1261" spans="1:11">
      <c r="A1261" s="7">
        <v>40147</v>
      </c>
      <c r="B1261" s="1">
        <v>258.58999999999997</v>
      </c>
      <c r="C1261" s="1" t="s">
        <v>8</v>
      </c>
      <c r="D1261" s="13">
        <f>VALUE(MID(C1261,9,3))</f>
        <v>311</v>
      </c>
      <c r="E1261" s="14">
        <f>MONTH(A1261)</f>
        <v>11</v>
      </c>
      <c r="G1261" s="1" t="s">
        <v>170</v>
      </c>
      <c r="H1261" s="1">
        <v>69.599999999999994</v>
      </c>
      <c r="I1261" s="1" t="s">
        <v>98</v>
      </c>
      <c r="J1261" s="13">
        <f>VALUE(MID(I1261,1,3))</f>
        <v>227</v>
      </c>
      <c r="K1261" s="13">
        <f>VALUE(MID(G1261,5,2))</f>
        <v>6</v>
      </c>
    </row>
    <row r="1262" spans="1:11">
      <c r="A1262" s="7">
        <v>40147</v>
      </c>
      <c r="B1262" s="1">
        <v>536.77</v>
      </c>
      <c r="C1262" s="1" t="s">
        <v>8</v>
      </c>
      <c r="D1262" s="13">
        <f>VALUE(MID(C1262,9,3))</f>
        <v>311</v>
      </c>
      <c r="E1262" s="14">
        <f>MONTH(A1262)</f>
        <v>11</v>
      </c>
      <c r="G1262" s="1" t="s">
        <v>170</v>
      </c>
      <c r="H1262" s="1">
        <v>20.8</v>
      </c>
      <c r="I1262" s="1" t="s">
        <v>76</v>
      </c>
      <c r="J1262" s="13">
        <f>VALUE(MID(I1262,1,3))</f>
        <v>227</v>
      </c>
      <c r="K1262" s="13">
        <f>VALUE(MID(G1262,5,2))</f>
        <v>6</v>
      </c>
    </row>
    <row r="1263" spans="1:11">
      <c r="A1263" s="7">
        <v>40147</v>
      </c>
      <c r="B1263" s="1">
        <v>517.17999999999995</v>
      </c>
      <c r="C1263" s="1" t="s">
        <v>8</v>
      </c>
      <c r="D1263" s="13">
        <f>VALUE(MID(C1263,9,3))</f>
        <v>311</v>
      </c>
      <c r="E1263" s="14">
        <f>MONTH(A1263)</f>
        <v>11</v>
      </c>
      <c r="G1263" s="1" t="s">
        <v>170</v>
      </c>
      <c r="H1263" s="1">
        <v>39.94</v>
      </c>
      <c r="I1263" s="1" t="s">
        <v>76</v>
      </c>
      <c r="J1263" s="13">
        <f>VALUE(MID(I1263,1,3))</f>
        <v>227</v>
      </c>
      <c r="K1263" s="13">
        <f>VALUE(MID(G1263,5,2))</f>
        <v>6</v>
      </c>
    </row>
    <row r="1264" spans="1:11">
      <c r="A1264" s="7">
        <v>40147</v>
      </c>
      <c r="B1264" s="1">
        <v>156.65</v>
      </c>
      <c r="C1264" s="1" t="s">
        <v>8</v>
      </c>
      <c r="D1264" s="13">
        <f>VALUE(MID(C1264,9,3))</f>
        <v>311</v>
      </c>
      <c r="E1264" s="14">
        <f>MONTH(A1264)</f>
        <v>11</v>
      </c>
      <c r="G1264" s="1" t="s">
        <v>170</v>
      </c>
      <c r="H1264" s="1">
        <v>17.12</v>
      </c>
      <c r="I1264" s="1" t="s">
        <v>76</v>
      </c>
      <c r="J1264" s="13">
        <f>VALUE(MID(I1264,1,3))</f>
        <v>227</v>
      </c>
      <c r="K1264" s="13">
        <f>VALUE(MID(G1264,5,2))</f>
        <v>6</v>
      </c>
    </row>
    <row r="1265" spans="1:11">
      <c r="A1265" s="7">
        <v>40147</v>
      </c>
      <c r="B1265" s="1">
        <v>529.67999999999995</v>
      </c>
      <c r="C1265" s="1" t="s">
        <v>8</v>
      </c>
      <c r="D1265" s="13">
        <f>VALUE(MID(C1265,9,3))</f>
        <v>311</v>
      </c>
      <c r="E1265" s="14">
        <f>MONTH(A1265)</f>
        <v>11</v>
      </c>
      <c r="G1265" s="1" t="s">
        <v>170</v>
      </c>
      <c r="H1265" s="1">
        <v>32.479999999999997</v>
      </c>
      <c r="I1265" s="1" t="s">
        <v>76</v>
      </c>
      <c r="J1265" s="13">
        <f>VALUE(MID(I1265,1,3))</f>
        <v>227</v>
      </c>
      <c r="K1265" s="13">
        <f>VALUE(MID(G1265,5,2))</f>
        <v>6</v>
      </c>
    </row>
    <row r="1266" spans="1:11">
      <c r="A1266" s="7">
        <v>40147</v>
      </c>
      <c r="B1266" s="1">
        <v>383.95</v>
      </c>
      <c r="C1266" s="1" t="s">
        <v>8</v>
      </c>
      <c r="D1266" s="13">
        <f>VALUE(MID(C1266,9,3))</f>
        <v>311</v>
      </c>
      <c r="E1266" s="14">
        <f>MONTH(A1266)</f>
        <v>11</v>
      </c>
      <c r="G1266" s="1" t="s">
        <v>170</v>
      </c>
      <c r="H1266" s="1">
        <v>8</v>
      </c>
      <c r="I1266" s="1" t="s">
        <v>76</v>
      </c>
      <c r="J1266" s="13">
        <f>VALUE(MID(I1266,1,3))</f>
        <v>227</v>
      </c>
      <c r="K1266" s="13">
        <f>VALUE(MID(G1266,5,2))</f>
        <v>6</v>
      </c>
    </row>
    <row r="1267" spans="1:11">
      <c r="A1267" s="7">
        <v>40147</v>
      </c>
      <c r="B1267" s="1">
        <v>489.75</v>
      </c>
      <c r="C1267" s="1" t="s">
        <v>8</v>
      </c>
      <c r="D1267" s="13">
        <f>VALUE(MID(C1267,9,3))</f>
        <v>311</v>
      </c>
      <c r="E1267" s="14">
        <f>MONTH(A1267)</f>
        <v>11</v>
      </c>
      <c r="G1267" s="1" t="s">
        <v>170</v>
      </c>
      <c r="H1267" s="1">
        <v>21.2</v>
      </c>
      <c r="I1267" s="1" t="s">
        <v>76</v>
      </c>
      <c r="J1267" s="13">
        <f>VALUE(MID(I1267,1,3))</f>
        <v>227</v>
      </c>
      <c r="K1267" s="13">
        <f>VALUE(MID(G1267,5,2))</f>
        <v>6</v>
      </c>
    </row>
    <row r="1268" spans="1:11">
      <c r="A1268" s="7">
        <v>40147</v>
      </c>
      <c r="B1268" s="1">
        <v>538.04999999999995</v>
      </c>
      <c r="C1268" s="1" t="s">
        <v>8</v>
      </c>
      <c r="D1268" s="13">
        <f>VALUE(MID(C1268,9,3))</f>
        <v>311</v>
      </c>
      <c r="E1268" s="14">
        <f>MONTH(A1268)</f>
        <v>11</v>
      </c>
      <c r="G1268" s="1" t="s">
        <v>170</v>
      </c>
      <c r="H1268" s="1">
        <v>14.12</v>
      </c>
      <c r="I1268" s="1" t="s">
        <v>76</v>
      </c>
      <c r="J1268" s="13">
        <f>VALUE(MID(I1268,1,3))</f>
        <v>227</v>
      </c>
      <c r="K1268" s="13">
        <f>VALUE(MID(G1268,5,2))</f>
        <v>6</v>
      </c>
    </row>
    <row r="1269" spans="1:11">
      <c r="A1269" s="7">
        <v>40147</v>
      </c>
      <c r="B1269" s="1">
        <v>430.8</v>
      </c>
      <c r="C1269" s="1" t="s">
        <v>8</v>
      </c>
      <c r="D1269" s="13">
        <f>VALUE(MID(C1269,9,3))</f>
        <v>311</v>
      </c>
      <c r="E1269" s="14">
        <f>MONTH(A1269)</f>
        <v>11</v>
      </c>
      <c r="G1269" s="1" t="s">
        <v>170</v>
      </c>
      <c r="H1269" s="1">
        <v>12.59</v>
      </c>
      <c r="I1269" s="1" t="s">
        <v>76</v>
      </c>
      <c r="J1269" s="13">
        <f>VALUE(MID(I1269,1,3))</f>
        <v>227</v>
      </c>
      <c r="K1269" s="13">
        <f>VALUE(MID(G1269,5,2))</f>
        <v>6</v>
      </c>
    </row>
    <row r="1270" spans="1:11">
      <c r="A1270" s="7">
        <v>40147</v>
      </c>
      <c r="B1270" s="1">
        <v>219.45</v>
      </c>
      <c r="C1270" s="1" t="s">
        <v>8</v>
      </c>
      <c r="D1270" s="13">
        <f>VALUE(MID(C1270,9,3))</f>
        <v>311</v>
      </c>
      <c r="E1270" s="14">
        <f>MONTH(A1270)</f>
        <v>11</v>
      </c>
      <c r="G1270" s="1" t="s">
        <v>170</v>
      </c>
      <c r="H1270" s="1">
        <v>27.54</v>
      </c>
      <c r="I1270" s="1" t="s">
        <v>76</v>
      </c>
      <c r="J1270" s="13">
        <f>VALUE(MID(I1270,1,3))</f>
        <v>227</v>
      </c>
      <c r="K1270" s="13">
        <f>VALUE(MID(G1270,5,2))</f>
        <v>6</v>
      </c>
    </row>
    <row r="1271" spans="1:11">
      <c r="A1271" s="7">
        <v>40147</v>
      </c>
      <c r="B1271" s="1">
        <v>391.4</v>
      </c>
      <c r="C1271" s="1" t="s">
        <v>9</v>
      </c>
      <c r="D1271" s="13">
        <f>VALUE(MID(C1271,9,3))</f>
        <v>311</v>
      </c>
      <c r="E1271" s="14">
        <f>MONTH(A1271)</f>
        <v>11</v>
      </c>
      <c r="G1271" s="1" t="s">
        <v>170</v>
      </c>
      <c r="H1271" s="1">
        <v>24.96</v>
      </c>
      <c r="I1271" s="1" t="s">
        <v>76</v>
      </c>
      <c r="J1271" s="13">
        <f>VALUE(MID(I1271,1,3))</f>
        <v>227</v>
      </c>
      <c r="K1271" s="13">
        <f>VALUE(MID(G1271,5,2))</f>
        <v>6</v>
      </c>
    </row>
    <row r="1272" spans="1:11">
      <c r="A1272" s="7">
        <v>40147</v>
      </c>
      <c r="B1272" s="1">
        <v>599.47</v>
      </c>
      <c r="C1272" s="1" t="s">
        <v>9</v>
      </c>
      <c r="D1272" s="13">
        <f>VALUE(MID(C1272,9,3))</f>
        <v>311</v>
      </c>
      <c r="E1272" s="14">
        <f>MONTH(A1272)</f>
        <v>11</v>
      </c>
      <c r="G1272" s="1" t="s">
        <v>170</v>
      </c>
      <c r="H1272" s="1">
        <v>19.97</v>
      </c>
      <c r="I1272" s="1" t="s">
        <v>76</v>
      </c>
      <c r="J1272" s="13">
        <f>VALUE(MID(I1272,1,3))</f>
        <v>227</v>
      </c>
      <c r="K1272" s="13">
        <f>VALUE(MID(G1272,5,2))</f>
        <v>6</v>
      </c>
    </row>
    <row r="1273" spans="1:11">
      <c r="A1273" s="7">
        <v>40147</v>
      </c>
      <c r="B1273" s="1">
        <v>544.62</v>
      </c>
      <c r="C1273" s="1" t="s">
        <v>9</v>
      </c>
      <c r="D1273" s="13">
        <f>VALUE(MID(C1273,9,3))</f>
        <v>311</v>
      </c>
      <c r="E1273" s="14">
        <f>MONTH(A1273)</f>
        <v>11</v>
      </c>
      <c r="G1273" s="1" t="s">
        <v>170</v>
      </c>
      <c r="H1273" s="1">
        <v>12.96</v>
      </c>
      <c r="I1273" s="1" t="s">
        <v>76</v>
      </c>
      <c r="J1273" s="13">
        <f>VALUE(MID(I1273,1,3))</f>
        <v>227</v>
      </c>
      <c r="K1273" s="13">
        <f>VALUE(MID(G1273,5,2))</f>
        <v>6</v>
      </c>
    </row>
    <row r="1274" spans="1:11">
      <c r="A1274" s="7">
        <v>40147</v>
      </c>
      <c r="B1274" s="1">
        <v>82.29</v>
      </c>
      <c r="C1274" s="1" t="s">
        <v>9</v>
      </c>
      <c r="D1274" s="13">
        <f>VALUE(MID(C1274,9,3))</f>
        <v>311</v>
      </c>
      <c r="E1274" s="14">
        <f>MONTH(A1274)</f>
        <v>11</v>
      </c>
      <c r="G1274" s="1" t="s">
        <v>170</v>
      </c>
      <c r="H1274" s="1">
        <v>51.36</v>
      </c>
      <c r="I1274" s="1" t="s">
        <v>76</v>
      </c>
      <c r="J1274" s="13">
        <f>VALUE(MID(I1274,1,3))</f>
        <v>227</v>
      </c>
      <c r="K1274" s="13">
        <f>VALUE(MID(G1274,5,2))</f>
        <v>6</v>
      </c>
    </row>
    <row r="1275" spans="1:11">
      <c r="A1275" s="7">
        <v>40147</v>
      </c>
      <c r="B1275" s="1">
        <v>499.97</v>
      </c>
      <c r="C1275" s="1" t="s">
        <v>9</v>
      </c>
      <c r="D1275" s="13">
        <f>VALUE(MID(C1275,9,3))</f>
        <v>311</v>
      </c>
      <c r="E1275" s="14">
        <f>MONTH(A1275)</f>
        <v>11</v>
      </c>
      <c r="G1275" s="1" t="s">
        <v>170</v>
      </c>
      <c r="H1275" s="1">
        <v>20.239999999999998</v>
      </c>
      <c r="I1275" s="1" t="s">
        <v>76</v>
      </c>
      <c r="J1275" s="13">
        <f>VALUE(MID(I1275,1,3))</f>
        <v>227</v>
      </c>
      <c r="K1275" s="13">
        <f>VALUE(MID(G1275,5,2))</f>
        <v>6</v>
      </c>
    </row>
    <row r="1276" spans="1:11">
      <c r="A1276" s="7">
        <v>40147</v>
      </c>
      <c r="B1276" s="1">
        <v>-0.14000000000000001</v>
      </c>
      <c r="C1276" s="1" t="s">
        <v>9</v>
      </c>
      <c r="D1276" s="13">
        <f>VALUE(MID(C1276,9,3))</f>
        <v>311</v>
      </c>
      <c r="E1276" s="14">
        <f>MONTH(A1276)</f>
        <v>11</v>
      </c>
      <c r="G1276" s="1" t="s">
        <v>170</v>
      </c>
      <c r="H1276" s="1">
        <v>20</v>
      </c>
      <c r="I1276" s="1" t="s">
        <v>76</v>
      </c>
      <c r="J1276" s="13">
        <f>VALUE(MID(I1276,1,3))</f>
        <v>227</v>
      </c>
      <c r="K1276" s="13">
        <f>VALUE(MID(G1276,5,2))</f>
        <v>6</v>
      </c>
    </row>
    <row r="1277" spans="1:11">
      <c r="A1277" s="7">
        <v>40147</v>
      </c>
      <c r="B1277" s="1">
        <v>331.73</v>
      </c>
      <c r="C1277" s="1" t="s">
        <v>9</v>
      </c>
      <c r="D1277" s="13">
        <f>VALUE(MID(C1277,9,3))</f>
        <v>311</v>
      </c>
      <c r="E1277" s="14">
        <f>MONTH(A1277)</f>
        <v>11</v>
      </c>
      <c r="G1277" s="1" t="s">
        <v>170</v>
      </c>
      <c r="H1277" s="1">
        <v>3.12</v>
      </c>
      <c r="I1277" s="1" t="s">
        <v>76</v>
      </c>
      <c r="J1277" s="13">
        <f>VALUE(MID(I1277,1,3))</f>
        <v>227</v>
      </c>
      <c r="K1277" s="13">
        <f>VALUE(MID(G1277,5,2))</f>
        <v>6</v>
      </c>
    </row>
    <row r="1278" spans="1:11">
      <c r="A1278" s="7">
        <v>40147</v>
      </c>
      <c r="B1278" s="1">
        <v>352.69</v>
      </c>
      <c r="C1278" s="1" t="s">
        <v>13</v>
      </c>
      <c r="D1278" s="13">
        <f>VALUE(MID(C1278,9,3))</f>
        <v>311</v>
      </c>
      <c r="E1278" s="14">
        <f>MONTH(A1278)</f>
        <v>11</v>
      </c>
      <c r="G1278" s="1" t="s">
        <v>170</v>
      </c>
      <c r="H1278" s="1">
        <v>3.44</v>
      </c>
      <c r="I1278" s="1" t="s">
        <v>76</v>
      </c>
      <c r="J1278" s="13">
        <f>VALUE(MID(I1278,1,3))</f>
        <v>227</v>
      </c>
      <c r="K1278" s="13">
        <f>VALUE(MID(G1278,5,2))</f>
        <v>6</v>
      </c>
    </row>
    <row r="1279" spans="1:11">
      <c r="A1279" s="7">
        <v>39903</v>
      </c>
      <c r="B1279" s="1">
        <v>440.37</v>
      </c>
      <c r="C1279" s="1" t="s">
        <v>12</v>
      </c>
      <c r="D1279" s="13">
        <f>VALUE(MID(C1279,9,3))</f>
        <v>311</v>
      </c>
      <c r="E1279" s="14">
        <f>MONTH(A1279)</f>
        <v>3</v>
      </c>
      <c r="G1279" s="1" t="s">
        <v>170</v>
      </c>
      <c r="H1279" s="1">
        <v>25.2</v>
      </c>
      <c r="I1279" s="1" t="s">
        <v>76</v>
      </c>
      <c r="J1279" s="13">
        <f>VALUE(MID(I1279,1,3))</f>
        <v>227</v>
      </c>
      <c r="K1279" s="13">
        <f>VALUE(MID(G1279,5,2))</f>
        <v>6</v>
      </c>
    </row>
    <row r="1280" spans="1:11">
      <c r="A1280" s="7">
        <v>39903</v>
      </c>
      <c r="B1280" s="1">
        <v>408.19</v>
      </c>
      <c r="C1280" s="1" t="s">
        <v>13</v>
      </c>
      <c r="D1280" s="13">
        <f>VALUE(MID(C1280,9,3))</f>
        <v>311</v>
      </c>
      <c r="E1280" s="14">
        <f>MONTH(A1280)</f>
        <v>3</v>
      </c>
      <c r="G1280" s="1" t="s">
        <v>170</v>
      </c>
      <c r="H1280" s="1">
        <v>21.6</v>
      </c>
      <c r="I1280" s="1" t="s">
        <v>76</v>
      </c>
      <c r="J1280" s="13">
        <f>VALUE(MID(I1280,1,3))</f>
        <v>227</v>
      </c>
      <c r="K1280" s="13">
        <f>VALUE(MID(G1280,5,2))</f>
        <v>6</v>
      </c>
    </row>
    <row r="1281" spans="1:11">
      <c r="A1281" s="7">
        <v>39903</v>
      </c>
      <c r="B1281" s="1">
        <v>478.73</v>
      </c>
      <c r="C1281" s="1" t="s">
        <v>13</v>
      </c>
      <c r="D1281" s="13">
        <f>VALUE(MID(C1281,9,3))</f>
        <v>311</v>
      </c>
      <c r="E1281" s="14">
        <f>MONTH(A1281)</f>
        <v>3</v>
      </c>
      <c r="G1281" s="1" t="s">
        <v>170</v>
      </c>
      <c r="H1281" s="1">
        <v>38.4</v>
      </c>
      <c r="I1281" s="1" t="s">
        <v>76</v>
      </c>
      <c r="J1281" s="13">
        <f>VALUE(MID(I1281,1,3))</f>
        <v>227</v>
      </c>
      <c r="K1281" s="13">
        <f>VALUE(MID(G1281,5,2))</f>
        <v>6</v>
      </c>
    </row>
    <row r="1282" spans="1:11">
      <c r="A1282" s="7">
        <v>39903</v>
      </c>
      <c r="B1282" s="1">
        <v>408.19</v>
      </c>
      <c r="C1282" s="1" t="s">
        <v>13</v>
      </c>
      <c r="D1282" s="13">
        <f>VALUE(MID(C1282,9,3))</f>
        <v>311</v>
      </c>
      <c r="E1282" s="14">
        <f>MONTH(A1282)</f>
        <v>3</v>
      </c>
      <c r="G1282" s="1" t="s">
        <v>170</v>
      </c>
      <c r="H1282" s="1">
        <v>18.239999999999998</v>
      </c>
      <c r="I1282" s="1" t="s">
        <v>76</v>
      </c>
      <c r="J1282" s="13">
        <f>VALUE(MID(I1282,1,3))</f>
        <v>227</v>
      </c>
      <c r="K1282" s="13">
        <f>VALUE(MID(G1282,5,2))</f>
        <v>6</v>
      </c>
    </row>
    <row r="1283" spans="1:11">
      <c r="A1283" s="7">
        <v>39903</v>
      </c>
      <c r="B1283" s="1">
        <v>200.59</v>
      </c>
      <c r="C1283" s="1" t="s">
        <v>13</v>
      </c>
      <c r="D1283" s="13">
        <f>VALUE(MID(C1283,9,3))</f>
        <v>311</v>
      </c>
      <c r="E1283" s="14">
        <f>MONTH(A1283)</f>
        <v>3</v>
      </c>
      <c r="G1283" s="1" t="s">
        <v>170</v>
      </c>
      <c r="H1283" s="1">
        <v>20.8</v>
      </c>
      <c r="I1283" s="1" t="s">
        <v>98</v>
      </c>
      <c r="J1283" s="13">
        <f>VALUE(MID(I1283,1,3))</f>
        <v>227</v>
      </c>
      <c r="K1283" s="13">
        <f>VALUE(MID(G1283,5,2))</f>
        <v>6</v>
      </c>
    </row>
    <row r="1284" spans="1:11">
      <c r="A1284" s="7">
        <v>39903</v>
      </c>
      <c r="B1284" s="1">
        <v>360.52</v>
      </c>
      <c r="C1284" s="1" t="s">
        <v>13</v>
      </c>
      <c r="D1284" s="13">
        <f>VALUE(MID(C1284,9,3))</f>
        <v>311</v>
      </c>
      <c r="E1284" s="14">
        <f>MONTH(A1284)</f>
        <v>3</v>
      </c>
      <c r="G1284" s="1" t="s">
        <v>170</v>
      </c>
      <c r="H1284" s="1">
        <v>20</v>
      </c>
      <c r="I1284" s="1" t="s">
        <v>98</v>
      </c>
      <c r="J1284" s="13">
        <f>VALUE(MID(I1284,1,3))</f>
        <v>227</v>
      </c>
      <c r="K1284" s="13">
        <f>VALUE(MID(G1284,5,2))</f>
        <v>6</v>
      </c>
    </row>
    <row r="1285" spans="1:11">
      <c r="A1285" s="7">
        <v>39903</v>
      </c>
      <c r="B1285" s="1">
        <v>329.17</v>
      </c>
      <c r="C1285" s="1" t="s">
        <v>13</v>
      </c>
      <c r="D1285" s="13">
        <f>VALUE(MID(C1285,9,3))</f>
        <v>311</v>
      </c>
      <c r="E1285" s="14">
        <f>MONTH(A1285)</f>
        <v>3</v>
      </c>
      <c r="G1285" s="1" t="s">
        <v>170</v>
      </c>
      <c r="H1285" s="1">
        <v>21.84</v>
      </c>
      <c r="I1285" s="1" t="s">
        <v>76</v>
      </c>
      <c r="J1285" s="13">
        <f>VALUE(MID(I1285,1,3))</f>
        <v>227</v>
      </c>
      <c r="K1285" s="13">
        <f>VALUE(MID(G1285,5,2))</f>
        <v>6</v>
      </c>
    </row>
    <row r="1286" spans="1:11">
      <c r="A1286" s="7">
        <v>39903</v>
      </c>
      <c r="B1286" s="1">
        <v>454.57</v>
      </c>
      <c r="C1286" s="1" t="s">
        <v>3</v>
      </c>
      <c r="D1286" s="13">
        <f>VALUE(MID(C1286,9,3))</f>
        <v>311</v>
      </c>
      <c r="E1286" s="14">
        <f>MONTH(A1286)</f>
        <v>3</v>
      </c>
      <c r="G1286" s="1" t="s">
        <v>175</v>
      </c>
      <c r="H1286" s="1">
        <v>546</v>
      </c>
      <c r="I1286" s="1" t="s">
        <v>76</v>
      </c>
      <c r="J1286" s="13">
        <f>VALUE(MID(I1286,1,3))</f>
        <v>227</v>
      </c>
      <c r="K1286" s="13">
        <f>VALUE(MID(G1286,5,2))</f>
        <v>7</v>
      </c>
    </row>
    <row r="1287" spans="1:11">
      <c r="A1287" s="7">
        <v>39903</v>
      </c>
      <c r="B1287" s="1">
        <v>579.97</v>
      </c>
      <c r="C1287" s="1" t="s">
        <v>3</v>
      </c>
      <c r="D1287" s="13">
        <f>VALUE(MID(C1287,9,3))</f>
        <v>311</v>
      </c>
      <c r="E1287" s="14">
        <f>MONTH(A1287)</f>
        <v>3</v>
      </c>
      <c r="G1287" s="1" t="s">
        <v>175</v>
      </c>
      <c r="H1287" s="1">
        <v>1500</v>
      </c>
      <c r="I1287" s="1" t="s">
        <v>76</v>
      </c>
      <c r="J1287" s="13">
        <f>VALUE(MID(I1287,1,3))</f>
        <v>227</v>
      </c>
      <c r="K1287" s="13">
        <f>VALUE(MID(G1287,5,2))</f>
        <v>7</v>
      </c>
    </row>
    <row r="1288" spans="1:11">
      <c r="A1288" s="7">
        <v>39903</v>
      </c>
      <c r="B1288" s="1">
        <v>282.14999999999998</v>
      </c>
      <c r="C1288" s="1" t="s">
        <v>3</v>
      </c>
      <c r="D1288" s="13">
        <f>VALUE(MID(C1288,9,3))</f>
        <v>311</v>
      </c>
      <c r="E1288" s="14">
        <f>MONTH(A1288)</f>
        <v>3</v>
      </c>
      <c r="G1288" s="1" t="s">
        <v>175</v>
      </c>
      <c r="H1288" s="1">
        <v>300</v>
      </c>
      <c r="I1288" s="1" t="s">
        <v>76</v>
      </c>
      <c r="J1288" s="13">
        <f>VALUE(MID(I1288,1,3))</f>
        <v>227</v>
      </c>
      <c r="K1288" s="13">
        <f>VALUE(MID(G1288,5,2))</f>
        <v>7</v>
      </c>
    </row>
    <row r="1289" spans="1:11">
      <c r="A1289" s="7">
        <v>39903</v>
      </c>
      <c r="B1289" s="1">
        <v>517.27</v>
      </c>
      <c r="C1289" s="1" t="s">
        <v>3</v>
      </c>
      <c r="D1289" s="13">
        <f>VALUE(MID(C1289,9,3))</f>
        <v>311</v>
      </c>
      <c r="E1289" s="14">
        <f>MONTH(A1289)</f>
        <v>3</v>
      </c>
      <c r="G1289" s="1" t="s">
        <v>175</v>
      </c>
      <c r="H1289" s="1">
        <v>1342.79</v>
      </c>
      <c r="I1289" s="1" t="s">
        <v>110</v>
      </c>
      <c r="J1289" s="13">
        <f>VALUE(MID(I1289,1,3))</f>
        <v>227</v>
      </c>
      <c r="K1289" s="13">
        <f>VALUE(MID(G1289,5,2))</f>
        <v>7</v>
      </c>
    </row>
    <row r="1290" spans="1:11">
      <c r="A1290" s="7">
        <v>40025</v>
      </c>
      <c r="B1290" s="1">
        <v>414.46</v>
      </c>
      <c r="C1290" s="1" t="s">
        <v>6</v>
      </c>
      <c r="D1290" s="13">
        <f>VALUE(MID(C1290,9,3))</f>
        <v>311</v>
      </c>
      <c r="E1290" s="14">
        <f>MONTH(A1290)</f>
        <v>7</v>
      </c>
      <c r="G1290" s="1" t="s">
        <v>175</v>
      </c>
      <c r="H1290" s="1">
        <v>3115.98</v>
      </c>
      <c r="I1290" s="1" t="s">
        <v>101</v>
      </c>
      <c r="J1290" s="13">
        <f>VALUE(MID(I1290,1,3))</f>
        <v>227</v>
      </c>
      <c r="K1290" s="13">
        <f>VALUE(MID(G1290,5,2))</f>
        <v>7</v>
      </c>
    </row>
    <row r="1291" spans="1:11">
      <c r="A1291" s="7">
        <v>40025</v>
      </c>
      <c r="B1291" s="1">
        <v>585.66999999999996</v>
      </c>
      <c r="C1291" s="1" t="s">
        <v>6</v>
      </c>
      <c r="D1291" s="13">
        <f>VALUE(MID(C1291,9,3))</f>
        <v>311</v>
      </c>
      <c r="E1291" s="14">
        <f>MONTH(A1291)</f>
        <v>7</v>
      </c>
      <c r="G1291" s="1" t="s">
        <v>175</v>
      </c>
      <c r="H1291" s="1">
        <v>1740</v>
      </c>
      <c r="I1291" s="1" t="s">
        <v>98</v>
      </c>
      <c r="J1291" s="13">
        <f>VALUE(MID(I1291,1,3))</f>
        <v>227</v>
      </c>
      <c r="K1291" s="13">
        <f>VALUE(MID(G1291,5,2))</f>
        <v>7</v>
      </c>
    </row>
    <row r="1292" spans="1:11">
      <c r="A1292" s="7">
        <v>40025</v>
      </c>
      <c r="B1292" s="1">
        <v>243.91</v>
      </c>
      <c r="C1292" s="1" t="s">
        <v>6</v>
      </c>
      <c r="D1292" s="13">
        <f>VALUE(MID(C1292,9,3))</f>
        <v>311</v>
      </c>
      <c r="E1292" s="14">
        <f>MONTH(A1292)</f>
        <v>7</v>
      </c>
      <c r="G1292" s="1" t="s">
        <v>175</v>
      </c>
      <c r="H1292" s="1">
        <v>39.24</v>
      </c>
      <c r="I1292" s="1" t="s">
        <v>103</v>
      </c>
      <c r="J1292" s="13">
        <f>VALUE(MID(I1292,1,3))</f>
        <v>227</v>
      </c>
      <c r="K1292" s="13">
        <f>VALUE(MID(G1292,5,2))</f>
        <v>7</v>
      </c>
    </row>
    <row r="1293" spans="1:11">
      <c r="A1293" s="7">
        <v>40025</v>
      </c>
      <c r="B1293" s="1">
        <v>572.5</v>
      </c>
      <c r="C1293" s="1" t="s">
        <v>6</v>
      </c>
      <c r="D1293" s="13">
        <f>VALUE(MID(C1293,9,3))</f>
        <v>311</v>
      </c>
      <c r="E1293" s="14">
        <f>MONTH(A1293)</f>
        <v>7</v>
      </c>
      <c r="G1293" s="1" t="s">
        <v>175</v>
      </c>
      <c r="H1293" s="1">
        <v>341.07</v>
      </c>
      <c r="I1293" s="1" t="s">
        <v>103</v>
      </c>
      <c r="J1293" s="13">
        <f>VALUE(MID(I1293,1,3))</f>
        <v>227</v>
      </c>
      <c r="K1293" s="13">
        <f>VALUE(MID(G1293,5,2))</f>
        <v>7</v>
      </c>
    </row>
    <row r="1294" spans="1:11">
      <c r="A1294" s="7">
        <v>40025</v>
      </c>
      <c r="B1294" s="1">
        <v>526.36</v>
      </c>
      <c r="C1294" s="1" t="s">
        <v>6</v>
      </c>
      <c r="D1294" s="13">
        <f>VALUE(MID(C1294,9,3))</f>
        <v>311</v>
      </c>
      <c r="E1294" s="14">
        <f>MONTH(A1294)</f>
        <v>7</v>
      </c>
      <c r="G1294" s="1" t="s">
        <v>175</v>
      </c>
      <c r="H1294" s="1">
        <v>59.8</v>
      </c>
      <c r="I1294" s="1" t="s">
        <v>98</v>
      </c>
      <c r="J1294" s="13">
        <f>VALUE(MID(I1294,1,3))</f>
        <v>227</v>
      </c>
      <c r="K1294" s="13">
        <f>VALUE(MID(G1294,5,2))</f>
        <v>7</v>
      </c>
    </row>
    <row r="1295" spans="1:11">
      <c r="A1295" s="7">
        <v>40025</v>
      </c>
      <c r="B1295" s="1">
        <v>818.23</v>
      </c>
      <c r="C1295" s="1" t="s">
        <v>6</v>
      </c>
      <c r="D1295" s="13">
        <f>VALUE(MID(C1295,9,3))</f>
        <v>311</v>
      </c>
      <c r="E1295" s="14">
        <f>MONTH(A1295)</f>
        <v>7</v>
      </c>
      <c r="G1295" s="1" t="s">
        <v>175</v>
      </c>
      <c r="H1295" s="1">
        <v>63.2</v>
      </c>
      <c r="I1295" s="1" t="s">
        <v>103</v>
      </c>
      <c r="J1295" s="13">
        <f>VALUE(MID(I1295,1,3))</f>
        <v>227</v>
      </c>
      <c r="K1295" s="13">
        <f>VALUE(MID(G1295,5,2))</f>
        <v>7</v>
      </c>
    </row>
    <row r="1296" spans="1:11">
      <c r="A1296" s="7">
        <v>40025</v>
      </c>
      <c r="B1296" s="1">
        <v>258.73</v>
      </c>
      <c r="C1296" s="1" t="s">
        <v>6</v>
      </c>
      <c r="D1296" s="13">
        <f>VALUE(MID(C1296,9,3))</f>
        <v>311</v>
      </c>
      <c r="E1296" s="14">
        <f>MONTH(A1296)</f>
        <v>7</v>
      </c>
      <c r="G1296" s="1" t="s">
        <v>175</v>
      </c>
      <c r="H1296" s="1">
        <v>318.24</v>
      </c>
      <c r="I1296" s="1" t="s">
        <v>110</v>
      </c>
      <c r="J1296" s="13">
        <f>VALUE(MID(I1296,1,3))</f>
        <v>227</v>
      </c>
      <c r="K1296" s="13">
        <f>VALUE(MID(G1296,5,2))</f>
        <v>7</v>
      </c>
    </row>
    <row r="1297" spans="1:11">
      <c r="A1297" s="7">
        <v>40056</v>
      </c>
      <c r="B1297" s="1">
        <v>162.6</v>
      </c>
      <c r="C1297" s="1" t="s">
        <v>12</v>
      </c>
      <c r="D1297" s="13">
        <f>VALUE(MID(C1297,9,3))</f>
        <v>311</v>
      </c>
      <c r="E1297" s="14">
        <f>MONTH(A1297)</f>
        <v>8</v>
      </c>
      <c r="G1297" s="1" t="s">
        <v>175</v>
      </c>
      <c r="H1297" s="1">
        <v>567.84</v>
      </c>
      <c r="I1297" s="1" t="s">
        <v>110</v>
      </c>
      <c r="J1297" s="13">
        <f>VALUE(MID(I1297,1,3))</f>
        <v>227</v>
      </c>
      <c r="K1297" s="13">
        <f>VALUE(MID(G1297,5,2))</f>
        <v>7</v>
      </c>
    </row>
    <row r="1298" spans="1:11">
      <c r="A1298" s="7">
        <v>40056</v>
      </c>
      <c r="B1298" s="1">
        <v>684.4</v>
      </c>
      <c r="C1298" s="1" t="s">
        <v>6</v>
      </c>
      <c r="D1298" s="13">
        <f>VALUE(MID(C1298,9,3))</f>
        <v>311</v>
      </c>
      <c r="E1298" s="14">
        <f>MONTH(A1298)</f>
        <v>8</v>
      </c>
      <c r="G1298" s="1" t="s">
        <v>175</v>
      </c>
      <c r="H1298" s="1">
        <v>2000</v>
      </c>
      <c r="I1298" s="1" t="s">
        <v>98</v>
      </c>
      <c r="J1298" s="13">
        <f>VALUE(MID(I1298,1,3))</f>
        <v>227</v>
      </c>
      <c r="K1298" s="13">
        <f>VALUE(MID(G1298,5,2))</f>
        <v>7</v>
      </c>
    </row>
    <row r="1299" spans="1:11">
      <c r="A1299" s="7">
        <v>40057</v>
      </c>
      <c r="B1299" s="1">
        <v>9</v>
      </c>
      <c r="C1299" s="1" t="s">
        <v>14</v>
      </c>
      <c r="D1299" s="13">
        <f>VALUE(MID(C1299,9,3))</f>
        <v>313</v>
      </c>
      <c r="E1299" s="14">
        <f>MONTH(A1299)</f>
        <v>9</v>
      </c>
      <c r="G1299" s="1" t="s">
        <v>175</v>
      </c>
      <c r="H1299" s="1">
        <v>95</v>
      </c>
      <c r="I1299" s="1" t="s">
        <v>76</v>
      </c>
      <c r="J1299" s="13">
        <f>VALUE(MID(I1299,1,3))</f>
        <v>227</v>
      </c>
      <c r="K1299" s="13">
        <f>VALUE(MID(G1299,5,2))</f>
        <v>7</v>
      </c>
    </row>
    <row r="1300" spans="1:11">
      <c r="A1300" s="7">
        <v>39905</v>
      </c>
      <c r="B1300" s="1">
        <v>4.5</v>
      </c>
      <c r="C1300" s="1" t="s">
        <v>14</v>
      </c>
      <c r="D1300" s="13">
        <f>VALUE(MID(C1300,9,3))</f>
        <v>313</v>
      </c>
      <c r="E1300" s="14">
        <f>MONTH(A1300)</f>
        <v>4</v>
      </c>
      <c r="G1300" s="1" t="s">
        <v>175</v>
      </c>
      <c r="H1300" s="1">
        <v>475</v>
      </c>
      <c r="I1300" s="1" t="s">
        <v>78</v>
      </c>
      <c r="J1300" s="13">
        <f>VALUE(MID(I1300,1,3))</f>
        <v>227</v>
      </c>
      <c r="K1300" s="13">
        <f>VALUE(MID(G1300,5,2))</f>
        <v>7</v>
      </c>
    </row>
    <row r="1301" spans="1:11">
      <c r="A1301" s="7">
        <v>39966</v>
      </c>
      <c r="B1301" s="1">
        <v>4.5</v>
      </c>
      <c r="C1301" s="1" t="s">
        <v>14</v>
      </c>
      <c r="D1301" s="13">
        <f>VALUE(MID(C1301,9,3))</f>
        <v>313</v>
      </c>
      <c r="E1301" s="14">
        <f>MONTH(A1301)</f>
        <v>6</v>
      </c>
      <c r="G1301" s="1" t="s">
        <v>175</v>
      </c>
      <c r="H1301" s="1">
        <v>899</v>
      </c>
      <c r="I1301" s="1" t="s">
        <v>78</v>
      </c>
      <c r="J1301" s="13">
        <f>VALUE(MID(I1301,1,3))</f>
        <v>227</v>
      </c>
      <c r="K1301" s="13">
        <f>VALUE(MID(G1301,5,2))</f>
        <v>7</v>
      </c>
    </row>
    <row r="1302" spans="1:11">
      <c r="A1302" s="7">
        <v>40119</v>
      </c>
      <c r="B1302" s="1">
        <v>4.5</v>
      </c>
      <c r="C1302" s="1" t="s">
        <v>14</v>
      </c>
      <c r="D1302" s="13">
        <f>VALUE(MID(C1302,9,3))</f>
        <v>313</v>
      </c>
      <c r="E1302" s="14">
        <f>MONTH(A1302)</f>
        <v>11</v>
      </c>
      <c r="G1302" s="1" t="s">
        <v>175</v>
      </c>
      <c r="H1302" s="1">
        <v>1160</v>
      </c>
      <c r="I1302" s="1" t="s">
        <v>78</v>
      </c>
      <c r="J1302" s="13">
        <f>VALUE(MID(I1302,1,3))</f>
        <v>227</v>
      </c>
      <c r="K1302" s="13">
        <f>VALUE(MID(G1302,5,2))</f>
        <v>7</v>
      </c>
    </row>
    <row r="1303" spans="1:11">
      <c r="A1303" s="7">
        <v>40120</v>
      </c>
      <c r="B1303" s="1">
        <v>4.5</v>
      </c>
      <c r="C1303" s="1" t="s">
        <v>14</v>
      </c>
      <c r="D1303" s="13">
        <f>VALUE(MID(C1303,9,3))</f>
        <v>313</v>
      </c>
      <c r="E1303" s="14">
        <f>MONTH(A1303)</f>
        <v>11</v>
      </c>
      <c r="G1303" s="1" t="s">
        <v>175</v>
      </c>
      <c r="H1303" s="1">
        <v>669.24</v>
      </c>
      <c r="I1303" s="1" t="s">
        <v>98</v>
      </c>
      <c r="J1303" s="13">
        <f>VALUE(MID(I1303,1,3))</f>
        <v>227</v>
      </c>
      <c r="K1303" s="13">
        <f>VALUE(MID(G1303,5,2))</f>
        <v>7</v>
      </c>
    </row>
    <row r="1304" spans="1:11">
      <c r="A1304" s="7">
        <v>40151</v>
      </c>
      <c r="B1304" s="1">
        <v>4.5</v>
      </c>
      <c r="C1304" s="1" t="s">
        <v>14</v>
      </c>
      <c r="D1304" s="13">
        <f>VALUE(MID(C1304,9,3))</f>
        <v>313</v>
      </c>
      <c r="E1304" s="14">
        <f>MONTH(A1304)</f>
        <v>12</v>
      </c>
      <c r="G1304" s="1" t="s">
        <v>175</v>
      </c>
      <c r="H1304" s="1">
        <v>119.34</v>
      </c>
      <c r="I1304" s="1" t="s">
        <v>110</v>
      </c>
      <c r="J1304" s="13">
        <f>VALUE(MID(I1304,1,3))</f>
        <v>227</v>
      </c>
      <c r="K1304" s="13">
        <f>VALUE(MID(G1304,5,2))</f>
        <v>7</v>
      </c>
    </row>
    <row r="1305" spans="1:11">
      <c r="A1305" s="7">
        <v>40091</v>
      </c>
      <c r="B1305" s="1">
        <v>4.5</v>
      </c>
      <c r="C1305" s="1" t="s">
        <v>37</v>
      </c>
      <c r="D1305" s="13">
        <f>VALUE(MID(C1305,9,3))</f>
        <v>313</v>
      </c>
      <c r="E1305" s="14">
        <f>MONTH(A1305)</f>
        <v>10</v>
      </c>
      <c r="G1305" s="1" t="s">
        <v>175</v>
      </c>
      <c r="H1305" s="1">
        <v>10.4</v>
      </c>
      <c r="I1305" s="1" t="s">
        <v>98</v>
      </c>
      <c r="J1305" s="13">
        <f>VALUE(MID(I1305,1,3))</f>
        <v>227</v>
      </c>
      <c r="K1305" s="13">
        <f>VALUE(MID(G1305,5,2))</f>
        <v>7</v>
      </c>
    </row>
    <row r="1306" spans="1:11">
      <c r="A1306" s="7">
        <v>40095</v>
      </c>
      <c r="B1306" s="1">
        <v>9</v>
      </c>
      <c r="C1306" s="1" t="s">
        <v>14</v>
      </c>
      <c r="D1306" s="13">
        <f>VALUE(MID(C1306,9,3))</f>
        <v>313</v>
      </c>
      <c r="E1306" s="14">
        <f>MONTH(A1306)</f>
        <v>10</v>
      </c>
      <c r="G1306" s="1" t="s">
        <v>175</v>
      </c>
      <c r="H1306" s="1">
        <v>229.5</v>
      </c>
      <c r="I1306" s="1" t="s">
        <v>110</v>
      </c>
      <c r="J1306" s="13">
        <f>VALUE(MID(I1306,1,3))</f>
        <v>227</v>
      </c>
      <c r="K1306" s="13">
        <f>VALUE(MID(G1306,5,2))</f>
        <v>7</v>
      </c>
    </row>
    <row r="1307" spans="1:11">
      <c r="A1307" s="7">
        <v>40158</v>
      </c>
      <c r="B1307" s="1">
        <v>9</v>
      </c>
      <c r="C1307" s="1" t="s">
        <v>14</v>
      </c>
      <c r="D1307" s="13">
        <f>VALUE(MID(C1307,9,3))</f>
        <v>313</v>
      </c>
      <c r="E1307" s="14">
        <f>MONTH(A1307)</f>
        <v>12</v>
      </c>
      <c r="G1307" s="1" t="s">
        <v>175</v>
      </c>
      <c r="H1307" s="1">
        <v>1701.51</v>
      </c>
      <c r="I1307" s="1" t="s">
        <v>98</v>
      </c>
      <c r="J1307" s="13">
        <f>VALUE(MID(I1307,1,3))</f>
        <v>227</v>
      </c>
      <c r="K1307" s="13">
        <f>VALUE(MID(G1307,5,2))</f>
        <v>7</v>
      </c>
    </row>
    <row r="1308" spans="1:11">
      <c r="A1308" s="7">
        <v>40008</v>
      </c>
      <c r="B1308" s="1">
        <v>4.5</v>
      </c>
      <c r="C1308" s="1" t="s">
        <v>37</v>
      </c>
      <c r="D1308" s="13">
        <f>VALUE(MID(C1308,9,3))</f>
        <v>313</v>
      </c>
      <c r="E1308" s="14">
        <f>MONTH(A1308)</f>
        <v>7</v>
      </c>
      <c r="G1308" s="1" t="s">
        <v>187</v>
      </c>
      <c r="H1308" s="1">
        <v>935.49</v>
      </c>
      <c r="I1308" s="1" t="s">
        <v>76</v>
      </c>
      <c r="J1308" s="13">
        <f>VALUE(MID(I1308,1,3))</f>
        <v>227</v>
      </c>
      <c r="K1308" s="13">
        <f>VALUE(MID(G1308,5,2))</f>
        <v>9</v>
      </c>
    </row>
    <row r="1309" spans="1:11">
      <c r="A1309" s="7">
        <v>40161</v>
      </c>
      <c r="B1309" s="1">
        <v>4.5</v>
      </c>
      <c r="C1309" s="1" t="s">
        <v>14</v>
      </c>
      <c r="D1309" s="13">
        <f>VALUE(MID(C1309,9,3))</f>
        <v>313</v>
      </c>
      <c r="E1309" s="14">
        <f>MONTH(A1309)</f>
        <v>12</v>
      </c>
      <c r="G1309" s="1" t="s">
        <v>187</v>
      </c>
      <c r="H1309" s="1">
        <v>3115.98</v>
      </c>
      <c r="I1309" s="1" t="s">
        <v>101</v>
      </c>
      <c r="J1309" s="13">
        <f>VALUE(MID(I1309,1,3))</f>
        <v>227</v>
      </c>
      <c r="K1309" s="13">
        <f>VALUE(MID(G1309,5,2))</f>
        <v>9</v>
      </c>
    </row>
    <row r="1310" spans="1:11">
      <c r="A1310" s="7">
        <v>39828</v>
      </c>
      <c r="B1310" s="1">
        <v>4.5</v>
      </c>
      <c r="C1310" s="1" t="s">
        <v>14</v>
      </c>
      <c r="D1310" s="13">
        <f>VALUE(MID(C1310,9,3))</f>
        <v>313</v>
      </c>
      <c r="E1310" s="14">
        <f>MONTH(A1310)</f>
        <v>1</v>
      </c>
      <c r="G1310" s="1" t="s">
        <v>187</v>
      </c>
      <c r="H1310" s="1">
        <v>1400.68</v>
      </c>
      <c r="I1310" s="1" t="s">
        <v>101</v>
      </c>
      <c r="J1310" s="13">
        <f>VALUE(MID(I1310,1,3))</f>
        <v>227</v>
      </c>
      <c r="K1310" s="13">
        <f>VALUE(MID(G1310,5,2))</f>
        <v>9</v>
      </c>
    </row>
    <row r="1311" spans="1:11">
      <c r="A1311" s="7">
        <v>40009</v>
      </c>
      <c r="B1311" s="1">
        <v>4.5</v>
      </c>
      <c r="C1311" s="1" t="s">
        <v>37</v>
      </c>
      <c r="D1311" s="13">
        <f>VALUE(MID(C1311,9,3))</f>
        <v>313</v>
      </c>
      <c r="E1311" s="14">
        <f>MONTH(A1311)</f>
        <v>7</v>
      </c>
      <c r="G1311" s="1" t="s">
        <v>187</v>
      </c>
      <c r="H1311" s="1">
        <v>2260</v>
      </c>
      <c r="I1311" s="1" t="s">
        <v>78</v>
      </c>
      <c r="J1311" s="13">
        <f>VALUE(MID(I1311,1,3))</f>
        <v>227</v>
      </c>
      <c r="K1311" s="13">
        <f>VALUE(MID(G1311,5,2))</f>
        <v>9</v>
      </c>
    </row>
    <row r="1312" spans="1:11">
      <c r="A1312" s="7">
        <v>40010</v>
      </c>
      <c r="B1312" s="1">
        <v>4.5</v>
      </c>
      <c r="C1312" s="1" t="s">
        <v>37</v>
      </c>
      <c r="D1312" s="13">
        <f>VALUE(MID(C1312,9,3))</f>
        <v>313</v>
      </c>
      <c r="E1312" s="14">
        <f>MONTH(A1312)</f>
        <v>7</v>
      </c>
      <c r="G1312" s="1" t="s">
        <v>187</v>
      </c>
      <c r="H1312" s="1">
        <v>341.07</v>
      </c>
      <c r="I1312" s="1" t="s">
        <v>103</v>
      </c>
      <c r="J1312" s="13">
        <f>VALUE(MID(I1312,1,3))</f>
        <v>227</v>
      </c>
      <c r="K1312" s="13">
        <f>VALUE(MID(G1312,5,2))</f>
        <v>9</v>
      </c>
    </row>
    <row r="1313" spans="1:11">
      <c r="A1313" s="7">
        <v>40163</v>
      </c>
      <c r="B1313" s="1">
        <v>4.5</v>
      </c>
      <c r="C1313" s="1" t="s">
        <v>55</v>
      </c>
      <c r="D1313" s="13">
        <f>VALUE(MID(C1313,9,3))</f>
        <v>313</v>
      </c>
      <c r="E1313" s="14">
        <f>MONTH(A1313)</f>
        <v>12</v>
      </c>
      <c r="G1313" s="1" t="s">
        <v>187</v>
      </c>
      <c r="H1313" s="1">
        <v>39.24</v>
      </c>
      <c r="I1313" s="1" t="s">
        <v>103</v>
      </c>
      <c r="J1313" s="13">
        <f>VALUE(MID(I1313,1,3))</f>
        <v>227</v>
      </c>
      <c r="K1313" s="13">
        <f>VALUE(MID(G1313,5,2))</f>
        <v>9</v>
      </c>
    </row>
    <row r="1314" spans="1:11">
      <c r="A1314" s="7">
        <v>39981</v>
      </c>
      <c r="B1314" s="1">
        <v>4.5</v>
      </c>
      <c r="C1314" s="1" t="s">
        <v>37</v>
      </c>
      <c r="D1314" s="13">
        <f>VALUE(MID(C1314,9,3))</f>
        <v>313</v>
      </c>
      <c r="E1314" s="14">
        <f>MONTH(A1314)</f>
        <v>6</v>
      </c>
      <c r="G1314" s="1" t="s">
        <v>187</v>
      </c>
      <c r="H1314" s="1">
        <v>26</v>
      </c>
      <c r="I1314" s="1" t="s">
        <v>98</v>
      </c>
      <c r="J1314" s="13">
        <f>VALUE(MID(I1314,1,3))</f>
        <v>227</v>
      </c>
      <c r="K1314" s="13">
        <f>VALUE(MID(G1314,5,2))</f>
        <v>9</v>
      </c>
    </row>
    <row r="1315" spans="1:11">
      <c r="A1315" s="7">
        <v>40011</v>
      </c>
      <c r="B1315" s="1">
        <v>4.5</v>
      </c>
      <c r="C1315" s="1" t="s">
        <v>37</v>
      </c>
      <c r="D1315" s="13">
        <f>VALUE(MID(C1315,9,3))</f>
        <v>313</v>
      </c>
      <c r="E1315" s="14">
        <f>MONTH(A1315)</f>
        <v>7</v>
      </c>
      <c r="G1315" s="1" t="s">
        <v>187</v>
      </c>
      <c r="H1315" s="1">
        <v>63.2</v>
      </c>
      <c r="I1315" s="1" t="s">
        <v>103</v>
      </c>
      <c r="J1315" s="13">
        <f>VALUE(MID(I1315,1,3))</f>
        <v>227</v>
      </c>
      <c r="K1315" s="13">
        <f>VALUE(MID(G1315,5,2))</f>
        <v>9</v>
      </c>
    </row>
    <row r="1316" spans="1:11">
      <c r="A1316" s="7">
        <v>40106</v>
      </c>
      <c r="B1316" s="1">
        <v>4.5</v>
      </c>
      <c r="C1316" s="1" t="s">
        <v>14</v>
      </c>
      <c r="D1316" s="13">
        <f>VALUE(MID(C1316,9,3))</f>
        <v>313</v>
      </c>
      <c r="E1316" s="14">
        <f>MONTH(A1316)</f>
        <v>10</v>
      </c>
      <c r="G1316" s="1" t="s">
        <v>187</v>
      </c>
      <c r="H1316" s="1">
        <v>322.61</v>
      </c>
      <c r="I1316" s="1" t="s">
        <v>98</v>
      </c>
      <c r="J1316" s="13">
        <f>VALUE(MID(I1316,1,3))</f>
        <v>227</v>
      </c>
      <c r="K1316" s="13">
        <f>VALUE(MID(G1316,5,2))</f>
        <v>9</v>
      </c>
    </row>
    <row r="1317" spans="1:11">
      <c r="A1317" s="7">
        <v>39868</v>
      </c>
      <c r="B1317" s="1">
        <v>4.5</v>
      </c>
      <c r="C1317" s="1" t="s">
        <v>37</v>
      </c>
      <c r="D1317" s="13">
        <f>VALUE(MID(C1317,9,3))</f>
        <v>313</v>
      </c>
      <c r="E1317" s="14">
        <f>MONTH(A1317)</f>
        <v>2</v>
      </c>
      <c r="G1317" s="1" t="s">
        <v>187</v>
      </c>
      <c r="H1317" s="1">
        <v>405.6</v>
      </c>
      <c r="I1317" s="1" t="s">
        <v>98</v>
      </c>
      <c r="J1317" s="13">
        <f>VALUE(MID(I1317,1,3))</f>
        <v>227</v>
      </c>
      <c r="K1317" s="13">
        <f>VALUE(MID(G1317,5,2))</f>
        <v>9</v>
      </c>
    </row>
    <row r="1318" spans="1:11">
      <c r="A1318" s="7">
        <v>39869</v>
      </c>
      <c r="B1318" s="1">
        <v>4.5</v>
      </c>
      <c r="C1318" s="1" t="s">
        <v>14</v>
      </c>
      <c r="D1318" s="13">
        <f>VALUE(MID(C1318,9,3))</f>
        <v>313</v>
      </c>
      <c r="E1318" s="14">
        <f>MONTH(A1318)</f>
        <v>2</v>
      </c>
      <c r="G1318" s="1" t="s">
        <v>187</v>
      </c>
      <c r="H1318" s="1">
        <v>669.24</v>
      </c>
      <c r="I1318" s="1" t="s">
        <v>98</v>
      </c>
      <c r="J1318" s="13">
        <f>VALUE(MID(I1318,1,3))</f>
        <v>227</v>
      </c>
      <c r="K1318" s="13">
        <f>VALUE(MID(G1318,5,2))</f>
        <v>9</v>
      </c>
    </row>
    <row r="1319" spans="1:11">
      <c r="A1319" s="7">
        <v>39989</v>
      </c>
      <c r="B1319" s="1">
        <v>22.5</v>
      </c>
      <c r="C1319" s="1" t="s">
        <v>37</v>
      </c>
      <c r="D1319" s="13">
        <f>VALUE(MID(C1319,9,3))</f>
        <v>313</v>
      </c>
      <c r="E1319" s="14">
        <f>MONTH(A1319)</f>
        <v>6</v>
      </c>
      <c r="G1319" s="1" t="s">
        <v>187</v>
      </c>
      <c r="H1319" s="1">
        <v>312.52</v>
      </c>
      <c r="I1319" s="1" t="s">
        <v>98</v>
      </c>
      <c r="J1319" s="13">
        <f>VALUE(MID(I1319,1,3))</f>
        <v>227</v>
      </c>
      <c r="K1319" s="13">
        <f>VALUE(MID(G1319,5,2))</f>
        <v>9</v>
      </c>
    </row>
    <row r="1320" spans="1:11">
      <c r="A1320" s="7">
        <v>40112</v>
      </c>
      <c r="B1320" s="1">
        <v>4.5</v>
      </c>
      <c r="C1320" s="1" t="s">
        <v>37</v>
      </c>
      <c r="D1320" s="13">
        <f>VALUE(MID(C1320,9,3))</f>
        <v>313</v>
      </c>
      <c r="E1320" s="14">
        <f>MONTH(A1320)</f>
        <v>10</v>
      </c>
      <c r="G1320" s="1" t="s">
        <v>187</v>
      </c>
      <c r="H1320" s="1">
        <v>494</v>
      </c>
      <c r="I1320" s="1" t="s">
        <v>98</v>
      </c>
      <c r="J1320" s="13">
        <f>VALUE(MID(I1320,1,3))</f>
        <v>227</v>
      </c>
      <c r="K1320" s="13">
        <f>VALUE(MID(G1320,5,2))</f>
        <v>9</v>
      </c>
    </row>
    <row r="1321" spans="1:11">
      <c r="A1321" s="7">
        <v>40115</v>
      </c>
      <c r="B1321" s="1">
        <v>4.5</v>
      </c>
      <c r="C1321" s="1" t="s">
        <v>55</v>
      </c>
      <c r="D1321" s="13">
        <f>VALUE(MID(C1321,9,3))</f>
        <v>313</v>
      </c>
      <c r="E1321" s="14">
        <f>MONTH(A1321)</f>
        <v>10</v>
      </c>
      <c r="G1321" s="1" t="s">
        <v>187</v>
      </c>
      <c r="H1321" s="1">
        <v>1701.51</v>
      </c>
      <c r="I1321" s="1" t="s">
        <v>98</v>
      </c>
      <c r="J1321" s="13">
        <f>VALUE(MID(I1321,1,3))</f>
        <v>227</v>
      </c>
      <c r="K1321" s="13">
        <f>VALUE(MID(G1321,5,2))</f>
        <v>9</v>
      </c>
    </row>
    <row r="1322" spans="1:11">
      <c r="A1322" s="7">
        <v>40115</v>
      </c>
      <c r="B1322" s="1">
        <v>4.5</v>
      </c>
      <c r="C1322" s="1" t="s">
        <v>14</v>
      </c>
      <c r="D1322" s="13">
        <f>VALUE(MID(C1322,9,3))</f>
        <v>313</v>
      </c>
      <c r="E1322" s="14">
        <f>MONTH(A1322)</f>
        <v>10</v>
      </c>
      <c r="G1322" s="1" t="s">
        <v>192</v>
      </c>
      <c r="H1322" s="1">
        <v>11484.5</v>
      </c>
      <c r="I1322" s="1" t="s">
        <v>98</v>
      </c>
      <c r="J1322" s="13">
        <f>VALUE(MID(I1322,1,3))</f>
        <v>227</v>
      </c>
      <c r="K1322" s="13">
        <f>VALUE(MID(G1322,5,2))</f>
        <v>9</v>
      </c>
    </row>
    <row r="1323" spans="1:11">
      <c r="A1323" s="7">
        <v>39933</v>
      </c>
      <c r="B1323" s="1">
        <v>4.5</v>
      </c>
      <c r="C1323" s="1" t="s">
        <v>37</v>
      </c>
      <c r="D1323" s="13">
        <f>VALUE(MID(C1323,9,3))</f>
        <v>313</v>
      </c>
      <c r="E1323" s="14">
        <f>MONTH(A1323)</f>
        <v>4</v>
      </c>
      <c r="G1323" s="1" t="s">
        <v>192</v>
      </c>
      <c r="H1323" s="1">
        <v>500</v>
      </c>
      <c r="I1323" s="1" t="s">
        <v>76</v>
      </c>
      <c r="J1323" s="13">
        <f>VALUE(MID(I1323,1,3))</f>
        <v>227</v>
      </c>
      <c r="K1323" s="13">
        <f>VALUE(MID(G1323,5,2))</f>
        <v>9</v>
      </c>
    </row>
    <row r="1324" spans="1:11">
      <c r="A1324" s="7">
        <v>40086</v>
      </c>
      <c r="B1324" s="1">
        <v>4.5</v>
      </c>
      <c r="C1324" s="1" t="s">
        <v>14</v>
      </c>
      <c r="D1324" s="13">
        <f>VALUE(MID(C1324,9,3))</f>
        <v>313</v>
      </c>
      <c r="E1324" s="14">
        <f>MONTH(A1324)</f>
        <v>9</v>
      </c>
      <c r="G1324" s="1" t="s">
        <v>192</v>
      </c>
      <c r="H1324" s="1">
        <v>353</v>
      </c>
      <c r="I1324" s="1" t="s">
        <v>76</v>
      </c>
      <c r="J1324" s="13">
        <f>VALUE(MID(I1324,1,3))</f>
        <v>227</v>
      </c>
      <c r="K1324" s="13">
        <f>VALUE(MID(G1324,5,2))</f>
        <v>9</v>
      </c>
    </row>
    <row r="1325" spans="1:11">
      <c r="A1325" s="7">
        <v>40057</v>
      </c>
      <c r="B1325" s="1">
        <v>34</v>
      </c>
      <c r="C1325" s="1" t="s">
        <v>10</v>
      </c>
      <c r="D1325" s="13">
        <f>VALUE(MID(C1325,9,3))</f>
        <v>319</v>
      </c>
      <c r="E1325" s="14">
        <f>MONTH(A1325)</f>
        <v>9</v>
      </c>
      <c r="G1325" s="1" t="s">
        <v>192</v>
      </c>
      <c r="H1325" s="1">
        <v>34736.42</v>
      </c>
      <c r="I1325" s="1" t="s">
        <v>98</v>
      </c>
      <c r="J1325" s="13">
        <f>VALUE(MID(I1325,1,3))</f>
        <v>227</v>
      </c>
      <c r="K1325" s="13">
        <f>VALUE(MID(G1325,5,2))</f>
        <v>9</v>
      </c>
    </row>
    <row r="1326" spans="1:11">
      <c r="A1326" s="7">
        <v>40057</v>
      </c>
      <c r="B1326" s="1">
        <v>34</v>
      </c>
      <c r="C1326" s="1" t="s">
        <v>10</v>
      </c>
      <c r="D1326" s="13">
        <f>VALUE(MID(C1326,9,3))</f>
        <v>319</v>
      </c>
      <c r="E1326" s="14">
        <f>MONTH(A1326)</f>
        <v>9</v>
      </c>
      <c r="G1326" s="1" t="s">
        <v>192</v>
      </c>
      <c r="H1326" s="1">
        <v>3831.98</v>
      </c>
      <c r="I1326" s="1" t="s">
        <v>76</v>
      </c>
      <c r="J1326" s="13">
        <f>VALUE(MID(I1326,1,3))</f>
        <v>227</v>
      </c>
      <c r="K1326" s="13">
        <f>VALUE(MID(G1326,5,2))</f>
        <v>9</v>
      </c>
    </row>
    <row r="1327" spans="1:11">
      <c r="A1327" s="7">
        <v>40057</v>
      </c>
      <c r="B1327" s="1">
        <v>78</v>
      </c>
      <c r="C1327" s="1" t="s">
        <v>11</v>
      </c>
      <c r="D1327" s="13">
        <f>VALUE(MID(C1327,9,3))</f>
        <v>319</v>
      </c>
      <c r="E1327" s="14">
        <f>MONTH(A1327)</f>
        <v>9</v>
      </c>
      <c r="G1327" s="1" t="s">
        <v>192</v>
      </c>
      <c r="H1327" s="1">
        <v>7851.6</v>
      </c>
      <c r="I1327" s="1" t="s">
        <v>76</v>
      </c>
      <c r="J1327" s="13">
        <f>VALUE(MID(I1327,1,3))</f>
        <v>227</v>
      </c>
      <c r="K1327" s="13">
        <f>VALUE(MID(G1327,5,2))</f>
        <v>9</v>
      </c>
    </row>
    <row r="1328" spans="1:11">
      <c r="A1328" s="7">
        <v>40057</v>
      </c>
      <c r="B1328" s="1">
        <v>78</v>
      </c>
      <c r="C1328" s="1" t="s">
        <v>11</v>
      </c>
      <c r="D1328" s="13">
        <f>VALUE(MID(C1328,9,3))</f>
        <v>319</v>
      </c>
      <c r="E1328" s="14">
        <f>MONTH(A1328)</f>
        <v>9</v>
      </c>
      <c r="G1328" s="1" t="s">
        <v>192</v>
      </c>
      <c r="H1328" s="1">
        <v>18032.740000000002</v>
      </c>
      <c r="I1328" s="1" t="s">
        <v>76</v>
      </c>
      <c r="J1328" s="13">
        <f>VALUE(MID(I1328,1,3))</f>
        <v>227</v>
      </c>
      <c r="K1328" s="13">
        <f>VALUE(MID(G1328,5,2))</f>
        <v>9</v>
      </c>
    </row>
    <row r="1329" spans="1:11">
      <c r="A1329" s="7">
        <v>40057</v>
      </c>
      <c r="B1329" s="1">
        <v>78</v>
      </c>
      <c r="C1329" s="1" t="s">
        <v>11</v>
      </c>
      <c r="D1329" s="13">
        <f>VALUE(MID(C1329,9,3))</f>
        <v>319</v>
      </c>
      <c r="E1329" s="14">
        <f>MONTH(A1329)</f>
        <v>9</v>
      </c>
      <c r="G1329" s="1" t="s">
        <v>192</v>
      </c>
      <c r="H1329" s="1">
        <v>122649.06</v>
      </c>
      <c r="I1329" s="1" t="s">
        <v>76</v>
      </c>
      <c r="J1329" s="13">
        <f>VALUE(MID(I1329,1,3))</f>
        <v>227</v>
      </c>
      <c r="K1329" s="13">
        <f>VALUE(MID(G1329,5,2))</f>
        <v>9</v>
      </c>
    </row>
    <row r="1330" spans="1:11">
      <c r="A1330" s="7">
        <v>40057</v>
      </c>
      <c r="B1330" s="1">
        <v>78</v>
      </c>
      <c r="C1330" s="1" t="s">
        <v>11</v>
      </c>
      <c r="D1330" s="13">
        <f>VALUE(MID(C1330,9,3))</f>
        <v>319</v>
      </c>
      <c r="E1330" s="14">
        <f>MONTH(A1330)</f>
        <v>9</v>
      </c>
      <c r="G1330" s="1" t="s">
        <v>192</v>
      </c>
      <c r="H1330" s="1">
        <v>2220.15</v>
      </c>
      <c r="I1330" s="1" t="s">
        <v>76</v>
      </c>
      <c r="J1330" s="13">
        <f>VALUE(MID(I1330,1,3))</f>
        <v>227</v>
      </c>
      <c r="K1330" s="13">
        <f>VALUE(MID(G1330,5,2))</f>
        <v>9</v>
      </c>
    </row>
    <row r="1331" spans="1:11">
      <c r="A1331" s="7">
        <v>40057</v>
      </c>
      <c r="B1331" s="1">
        <v>78</v>
      </c>
      <c r="C1331" s="1" t="s">
        <v>11</v>
      </c>
      <c r="D1331" s="13">
        <f>VALUE(MID(C1331,9,3))</f>
        <v>319</v>
      </c>
      <c r="E1331" s="14">
        <f>MONTH(A1331)</f>
        <v>9</v>
      </c>
      <c r="G1331" s="1" t="s">
        <v>192</v>
      </c>
      <c r="H1331" s="1">
        <v>2580</v>
      </c>
      <c r="I1331" s="1" t="s">
        <v>76</v>
      </c>
      <c r="J1331" s="13">
        <f>VALUE(MID(I1331,1,3))</f>
        <v>227</v>
      </c>
      <c r="K1331" s="13">
        <f>VALUE(MID(G1331,5,2))</f>
        <v>9</v>
      </c>
    </row>
    <row r="1332" spans="1:11">
      <c r="A1332" s="7">
        <v>40057</v>
      </c>
      <c r="B1332" s="1">
        <v>78</v>
      </c>
      <c r="C1332" s="1" t="s">
        <v>11</v>
      </c>
      <c r="D1332" s="13">
        <f>VALUE(MID(C1332,9,3))</f>
        <v>319</v>
      </c>
      <c r="E1332" s="14">
        <f>MONTH(A1332)</f>
        <v>9</v>
      </c>
      <c r="G1332" s="1" t="s">
        <v>192</v>
      </c>
      <c r="H1332" s="1">
        <v>1168.07</v>
      </c>
      <c r="I1332" s="1" t="s">
        <v>76</v>
      </c>
      <c r="J1332" s="13">
        <f>VALUE(MID(I1332,1,3))</f>
        <v>227</v>
      </c>
      <c r="K1332" s="13">
        <f>VALUE(MID(G1332,5,2))</f>
        <v>9</v>
      </c>
    </row>
    <row r="1333" spans="1:11">
      <c r="A1333" s="7">
        <v>40057</v>
      </c>
      <c r="B1333" s="1">
        <v>78</v>
      </c>
      <c r="C1333" s="1" t="s">
        <v>11</v>
      </c>
      <c r="D1333" s="13">
        <f>VALUE(MID(C1333,9,3))</f>
        <v>319</v>
      </c>
      <c r="E1333" s="14">
        <f>MONTH(A1333)</f>
        <v>9</v>
      </c>
      <c r="G1333" s="1" t="s">
        <v>192</v>
      </c>
      <c r="H1333" s="1">
        <v>400</v>
      </c>
      <c r="I1333" s="1" t="s">
        <v>76</v>
      </c>
      <c r="J1333" s="13">
        <f>VALUE(MID(I1333,1,3))</f>
        <v>227</v>
      </c>
      <c r="K1333" s="13">
        <f>VALUE(MID(G1333,5,2))</f>
        <v>9</v>
      </c>
    </row>
    <row r="1334" spans="1:11">
      <c r="A1334" s="7">
        <v>40057</v>
      </c>
      <c r="B1334" s="1">
        <v>78</v>
      </c>
      <c r="C1334" s="1" t="s">
        <v>11</v>
      </c>
      <c r="D1334" s="13">
        <f>VALUE(MID(C1334,9,3))</f>
        <v>319</v>
      </c>
      <c r="E1334" s="14">
        <f>MONTH(A1334)</f>
        <v>9</v>
      </c>
      <c r="G1334" s="1" t="s">
        <v>192</v>
      </c>
      <c r="H1334" s="1">
        <v>428.02</v>
      </c>
      <c r="I1334" s="1" t="s">
        <v>76</v>
      </c>
      <c r="J1334" s="13">
        <f>VALUE(MID(I1334,1,3))</f>
        <v>227</v>
      </c>
      <c r="K1334" s="13">
        <f>VALUE(MID(G1334,5,2))</f>
        <v>9</v>
      </c>
    </row>
    <row r="1335" spans="1:11">
      <c r="A1335" s="7">
        <v>40057</v>
      </c>
      <c r="B1335" s="1">
        <v>78</v>
      </c>
      <c r="C1335" s="1" t="s">
        <v>11</v>
      </c>
      <c r="D1335" s="13">
        <f>VALUE(MID(C1335,9,3))</f>
        <v>319</v>
      </c>
      <c r="E1335" s="14">
        <f>MONTH(A1335)</f>
        <v>9</v>
      </c>
      <c r="G1335" s="1" t="s">
        <v>192</v>
      </c>
      <c r="H1335" s="1">
        <v>3115.98</v>
      </c>
      <c r="I1335" s="1" t="s">
        <v>101</v>
      </c>
      <c r="J1335" s="13">
        <f>VALUE(MID(I1335,1,3))</f>
        <v>227</v>
      </c>
      <c r="K1335" s="13">
        <f>VALUE(MID(G1335,5,2))</f>
        <v>9</v>
      </c>
    </row>
    <row r="1336" spans="1:11">
      <c r="A1336" s="7">
        <v>40057</v>
      </c>
      <c r="B1336" s="1">
        <v>78</v>
      </c>
      <c r="C1336" s="1" t="s">
        <v>11</v>
      </c>
      <c r="D1336" s="13">
        <f>VALUE(MID(C1336,9,3))</f>
        <v>319</v>
      </c>
      <c r="E1336" s="14">
        <f>MONTH(A1336)</f>
        <v>9</v>
      </c>
      <c r="G1336" s="1" t="s">
        <v>192</v>
      </c>
      <c r="H1336" s="1">
        <v>173.76</v>
      </c>
      <c r="I1336" s="1" t="s">
        <v>101</v>
      </c>
      <c r="J1336" s="13">
        <f>VALUE(MID(I1336,1,3))</f>
        <v>227</v>
      </c>
      <c r="K1336" s="13">
        <f>VALUE(MID(G1336,5,2))</f>
        <v>9</v>
      </c>
    </row>
    <row r="1337" spans="1:11">
      <c r="A1337" s="7">
        <v>40057</v>
      </c>
      <c r="B1337" s="1">
        <v>78</v>
      </c>
      <c r="C1337" s="1" t="s">
        <v>11</v>
      </c>
      <c r="D1337" s="13">
        <f>VALUE(MID(C1337,9,3))</f>
        <v>319</v>
      </c>
      <c r="E1337" s="14">
        <f>MONTH(A1337)</f>
        <v>9</v>
      </c>
      <c r="G1337" s="1" t="s">
        <v>192</v>
      </c>
      <c r="H1337" s="1">
        <v>341.07</v>
      </c>
      <c r="I1337" s="1" t="s">
        <v>103</v>
      </c>
      <c r="J1337" s="13">
        <f>VALUE(MID(I1337,1,3))</f>
        <v>227</v>
      </c>
      <c r="K1337" s="13">
        <f>VALUE(MID(G1337,5,2))</f>
        <v>9</v>
      </c>
    </row>
    <row r="1338" spans="1:11">
      <c r="A1338" s="7">
        <v>40057</v>
      </c>
      <c r="B1338" s="1">
        <v>78</v>
      </c>
      <c r="C1338" s="1" t="s">
        <v>11</v>
      </c>
      <c r="D1338" s="13">
        <f>VALUE(MID(C1338,9,3))</f>
        <v>319</v>
      </c>
      <c r="E1338" s="14">
        <f>MONTH(A1338)</f>
        <v>9</v>
      </c>
      <c r="G1338" s="1" t="s">
        <v>192</v>
      </c>
      <c r="H1338" s="1">
        <v>39.24</v>
      </c>
      <c r="I1338" s="1" t="s">
        <v>103</v>
      </c>
      <c r="J1338" s="13">
        <f>VALUE(MID(I1338,1,3))</f>
        <v>227</v>
      </c>
      <c r="K1338" s="13">
        <f>VALUE(MID(G1338,5,2))</f>
        <v>9</v>
      </c>
    </row>
    <row r="1339" spans="1:11">
      <c r="A1339" s="7">
        <v>40087</v>
      </c>
      <c r="B1339" s="1">
        <v>10.5</v>
      </c>
      <c r="C1339" s="1" t="s">
        <v>16</v>
      </c>
      <c r="D1339" s="13">
        <f>VALUE(MID(C1339,9,3))</f>
        <v>319</v>
      </c>
      <c r="E1339" s="14">
        <f>MONTH(A1339)</f>
        <v>10</v>
      </c>
      <c r="G1339" s="1" t="s">
        <v>192</v>
      </c>
      <c r="H1339" s="1">
        <v>238.68</v>
      </c>
      <c r="I1339" s="1" t="s">
        <v>110</v>
      </c>
      <c r="J1339" s="13">
        <f>VALUE(MID(I1339,1,3))</f>
        <v>227</v>
      </c>
      <c r="K1339" s="13">
        <f>VALUE(MID(G1339,5,2))</f>
        <v>9</v>
      </c>
    </row>
    <row r="1340" spans="1:11">
      <c r="A1340" s="7">
        <v>40087</v>
      </c>
      <c r="B1340" s="1">
        <v>34</v>
      </c>
      <c r="C1340" s="1" t="s">
        <v>10</v>
      </c>
      <c r="D1340" s="13">
        <f>VALUE(MID(C1340,9,3))</f>
        <v>319</v>
      </c>
      <c r="E1340" s="14">
        <f>MONTH(A1340)</f>
        <v>10</v>
      </c>
      <c r="G1340" s="1" t="s">
        <v>192</v>
      </c>
      <c r="H1340" s="1">
        <v>63.2</v>
      </c>
      <c r="I1340" s="1" t="s">
        <v>103</v>
      </c>
      <c r="J1340" s="13">
        <f>VALUE(MID(I1340,1,3))</f>
        <v>227</v>
      </c>
      <c r="K1340" s="13">
        <f>VALUE(MID(G1340,5,2))</f>
        <v>9</v>
      </c>
    </row>
    <row r="1341" spans="1:11">
      <c r="A1341" s="7">
        <v>39966</v>
      </c>
      <c r="B1341" s="1">
        <v>75</v>
      </c>
      <c r="C1341" s="1" t="s">
        <v>24</v>
      </c>
      <c r="D1341" s="13">
        <f>VALUE(MID(C1341,9,3))</f>
        <v>319</v>
      </c>
      <c r="E1341" s="14">
        <f>MONTH(A1341)</f>
        <v>6</v>
      </c>
      <c r="G1341" s="1" t="s">
        <v>192</v>
      </c>
      <c r="H1341" s="1">
        <v>669.24</v>
      </c>
      <c r="I1341" s="1" t="s">
        <v>98</v>
      </c>
      <c r="J1341" s="13">
        <f>VALUE(MID(I1341,1,3))</f>
        <v>227</v>
      </c>
      <c r="K1341" s="13">
        <f>VALUE(MID(G1341,5,2))</f>
        <v>9</v>
      </c>
    </row>
    <row r="1342" spans="1:11">
      <c r="A1342" s="7">
        <v>40058</v>
      </c>
      <c r="B1342" s="1">
        <v>78</v>
      </c>
      <c r="C1342" s="1" t="s">
        <v>11</v>
      </c>
      <c r="D1342" s="13">
        <f>VALUE(MID(C1342,9,3))</f>
        <v>319</v>
      </c>
      <c r="E1342" s="14">
        <f>MONTH(A1342)</f>
        <v>9</v>
      </c>
      <c r="G1342" s="1" t="s">
        <v>192</v>
      </c>
      <c r="H1342" s="1">
        <v>208.02</v>
      </c>
      <c r="I1342" s="1" t="s">
        <v>76</v>
      </c>
      <c r="J1342" s="13">
        <f>VALUE(MID(I1342,1,3))</f>
        <v>227</v>
      </c>
      <c r="K1342" s="13">
        <f>VALUE(MID(G1342,5,2))</f>
        <v>9</v>
      </c>
    </row>
    <row r="1343" spans="1:11">
      <c r="A1343" s="7">
        <v>40058</v>
      </c>
      <c r="B1343" s="1">
        <v>78</v>
      </c>
      <c r="C1343" s="1" t="s">
        <v>11</v>
      </c>
      <c r="D1343" s="13">
        <f>VALUE(MID(C1343,9,3))</f>
        <v>319</v>
      </c>
      <c r="E1343" s="14">
        <f>MONTH(A1343)</f>
        <v>9</v>
      </c>
      <c r="G1343" s="1" t="s">
        <v>197</v>
      </c>
      <c r="H1343" s="1">
        <v>12</v>
      </c>
      <c r="I1343" s="1" t="s">
        <v>76</v>
      </c>
      <c r="J1343" s="13">
        <f>VALUE(MID(I1343,1,3))</f>
        <v>227</v>
      </c>
      <c r="K1343" s="13">
        <f>VALUE(MID(G1343,5,2))</f>
        <v>10</v>
      </c>
    </row>
    <row r="1344" spans="1:11">
      <c r="A1344" s="7">
        <v>40058</v>
      </c>
      <c r="B1344" s="1">
        <v>78</v>
      </c>
      <c r="C1344" s="1" t="s">
        <v>11</v>
      </c>
      <c r="D1344" s="13">
        <f>VALUE(MID(C1344,9,3))</f>
        <v>319</v>
      </c>
      <c r="E1344" s="14">
        <f>MONTH(A1344)</f>
        <v>9</v>
      </c>
      <c r="G1344" s="1" t="s">
        <v>197</v>
      </c>
      <c r="H1344" s="1">
        <v>3.8</v>
      </c>
      <c r="I1344" s="1" t="s">
        <v>76</v>
      </c>
      <c r="J1344" s="13">
        <f>VALUE(MID(I1344,1,3))</f>
        <v>227</v>
      </c>
      <c r="K1344" s="13">
        <f>VALUE(MID(G1344,5,2))</f>
        <v>10</v>
      </c>
    </row>
    <row r="1345" spans="1:11">
      <c r="A1345" s="7">
        <v>40058</v>
      </c>
      <c r="B1345" s="1">
        <v>78</v>
      </c>
      <c r="C1345" s="1" t="s">
        <v>11</v>
      </c>
      <c r="D1345" s="13">
        <f>VALUE(MID(C1345,9,3))</f>
        <v>319</v>
      </c>
      <c r="E1345" s="14">
        <f>MONTH(A1345)</f>
        <v>9</v>
      </c>
      <c r="G1345" s="1" t="s">
        <v>197</v>
      </c>
      <c r="H1345" s="1">
        <v>69.599999999999994</v>
      </c>
      <c r="I1345" s="1" t="s">
        <v>98</v>
      </c>
      <c r="J1345" s="13">
        <f>VALUE(MID(I1345,1,3))</f>
        <v>227</v>
      </c>
      <c r="K1345" s="13">
        <f>VALUE(MID(G1345,5,2))</f>
        <v>10</v>
      </c>
    </row>
    <row r="1346" spans="1:11">
      <c r="A1346" s="7">
        <v>40058</v>
      </c>
      <c r="B1346" s="1">
        <v>78</v>
      </c>
      <c r="C1346" s="1" t="s">
        <v>11</v>
      </c>
      <c r="D1346" s="13">
        <f>VALUE(MID(C1346,9,3))</f>
        <v>319</v>
      </c>
      <c r="E1346" s="14">
        <f>MONTH(A1346)</f>
        <v>9</v>
      </c>
      <c r="G1346" s="1" t="s">
        <v>197</v>
      </c>
      <c r="H1346" s="1">
        <v>60</v>
      </c>
      <c r="I1346" s="1" t="s">
        <v>76</v>
      </c>
      <c r="J1346" s="13">
        <f>VALUE(MID(I1346,1,3))</f>
        <v>227</v>
      </c>
      <c r="K1346" s="13">
        <f>VALUE(MID(G1346,5,2))</f>
        <v>10</v>
      </c>
    </row>
    <row r="1347" spans="1:11">
      <c r="A1347" s="7">
        <v>40058</v>
      </c>
      <c r="B1347" s="1">
        <v>78</v>
      </c>
      <c r="C1347" s="1" t="s">
        <v>11</v>
      </c>
      <c r="D1347" s="13">
        <f>VALUE(MID(C1347,9,3))</f>
        <v>319</v>
      </c>
      <c r="E1347" s="14">
        <f>MONTH(A1347)</f>
        <v>9</v>
      </c>
      <c r="G1347" s="1" t="s">
        <v>197</v>
      </c>
      <c r="H1347" s="1">
        <v>37.42</v>
      </c>
      <c r="I1347" s="1" t="s">
        <v>76</v>
      </c>
      <c r="J1347" s="13">
        <f>VALUE(MID(I1347,1,3))</f>
        <v>227</v>
      </c>
      <c r="K1347" s="13">
        <f>VALUE(MID(G1347,5,2))</f>
        <v>10</v>
      </c>
    </row>
    <row r="1348" spans="1:11">
      <c r="A1348" s="7">
        <v>40058</v>
      </c>
      <c r="B1348" s="1">
        <v>78</v>
      </c>
      <c r="C1348" s="1" t="s">
        <v>11</v>
      </c>
      <c r="D1348" s="13">
        <f>VALUE(MID(C1348,9,3))</f>
        <v>319</v>
      </c>
      <c r="E1348" s="14">
        <f>MONTH(A1348)</f>
        <v>9</v>
      </c>
      <c r="G1348" s="1" t="s">
        <v>197</v>
      </c>
      <c r="H1348" s="1">
        <v>14.12</v>
      </c>
      <c r="I1348" s="1" t="s">
        <v>76</v>
      </c>
      <c r="J1348" s="13">
        <f>VALUE(MID(I1348,1,3))</f>
        <v>227</v>
      </c>
      <c r="K1348" s="13">
        <f>VALUE(MID(G1348,5,2))</f>
        <v>10</v>
      </c>
    </row>
    <row r="1349" spans="1:11">
      <c r="A1349" s="7">
        <v>40088</v>
      </c>
      <c r="B1349" s="1">
        <v>2</v>
      </c>
      <c r="C1349" s="1" t="s">
        <v>16</v>
      </c>
      <c r="D1349" s="13">
        <f>VALUE(MID(C1349,9,3))</f>
        <v>319</v>
      </c>
      <c r="E1349" s="14">
        <f>MONTH(A1349)</f>
        <v>10</v>
      </c>
      <c r="G1349" s="1" t="s">
        <v>197</v>
      </c>
      <c r="H1349" s="1">
        <v>20</v>
      </c>
      <c r="I1349" s="1" t="s">
        <v>76</v>
      </c>
      <c r="J1349" s="13">
        <f>VALUE(MID(I1349,1,3))</f>
        <v>227</v>
      </c>
      <c r="K1349" s="13">
        <f>VALUE(MID(G1349,5,2))</f>
        <v>10</v>
      </c>
    </row>
    <row r="1350" spans="1:11">
      <c r="A1350" s="7">
        <v>40088</v>
      </c>
      <c r="B1350" s="1">
        <v>2</v>
      </c>
      <c r="C1350" s="1" t="s">
        <v>16</v>
      </c>
      <c r="D1350" s="13">
        <f>VALUE(MID(C1350,9,3))</f>
        <v>319</v>
      </c>
      <c r="E1350" s="14">
        <f>MONTH(A1350)</f>
        <v>10</v>
      </c>
      <c r="G1350" s="1" t="s">
        <v>197</v>
      </c>
      <c r="H1350" s="1">
        <v>103.2</v>
      </c>
      <c r="I1350" s="1" t="s">
        <v>76</v>
      </c>
      <c r="J1350" s="13">
        <f>VALUE(MID(I1350,1,3))</f>
        <v>227</v>
      </c>
      <c r="K1350" s="13">
        <f>VALUE(MID(G1350,5,2))</f>
        <v>10</v>
      </c>
    </row>
    <row r="1351" spans="1:11">
      <c r="A1351" s="7">
        <v>39875</v>
      </c>
      <c r="B1351" s="1">
        <v>34</v>
      </c>
      <c r="C1351" s="1" t="s">
        <v>32</v>
      </c>
      <c r="D1351" s="13">
        <f>VALUE(MID(C1351,9,3))</f>
        <v>319</v>
      </c>
      <c r="E1351" s="14">
        <f>MONTH(A1351)</f>
        <v>3</v>
      </c>
      <c r="G1351" s="1" t="s">
        <v>197</v>
      </c>
      <c r="H1351" s="1">
        <v>88.81</v>
      </c>
      <c r="I1351" s="1" t="s">
        <v>76</v>
      </c>
      <c r="J1351" s="13">
        <f>VALUE(MID(I1351,1,3))</f>
        <v>227</v>
      </c>
      <c r="K1351" s="13">
        <f>VALUE(MID(G1351,5,2))</f>
        <v>10</v>
      </c>
    </row>
    <row r="1352" spans="1:11">
      <c r="A1352" s="7">
        <v>39906</v>
      </c>
      <c r="B1352" s="1">
        <v>195</v>
      </c>
      <c r="C1352" s="1" t="s">
        <v>11</v>
      </c>
      <c r="D1352" s="13">
        <f>VALUE(MID(C1352,9,3))</f>
        <v>319</v>
      </c>
      <c r="E1352" s="14">
        <f>MONTH(A1352)</f>
        <v>4</v>
      </c>
      <c r="G1352" s="1" t="s">
        <v>197</v>
      </c>
      <c r="H1352" s="1">
        <v>8.32</v>
      </c>
      <c r="I1352" s="1" t="s">
        <v>76</v>
      </c>
      <c r="J1352" s="13">
        <f>VALUE(MID(I1352,1,3))</f>
        <v>227</v>
      </c>
      <c r="K1352" s="13">
        <f>VALUE(MID(G1352,5,2))</f>
        <v>10</v>
      </c>
    </row>
    <row r="1353" spans="1:11">
      <c r="A1353" s="7">
        <v>39967</v>
      </c>
      <c r="B1353" s="1">
        <v>75</v>
      </c>
      <c r="C1353" s="1" t="s">
        <v>24</v>
      </c>
      <c r="D1353" s="13">
        <f>VALUE(MID(C1353,9,3))</f>
        <v>319</v>
      </c>
      <c r="E1353" s="14">
        <f>MONTH(A1353)</f>
        <v>6</v>
      </c>
      <c r="G1353" s="1" t="s">
        <v>197</v>
      </c>
      <c r="H1353" s="1">
        <v>16</v>
      </c>
      <c r="I1353" s="1" t="s">
        <v>76</v>
      </c>
      <c r="J1353" s="13">
        <f>VALUE(MID(I1353,1,3))</f>
        <v>227</v>
      </c>
      <c r="K1353" s="13">
        <f>VALUE(MID(G1353,5,2))</f>
        <v>10</v>
      </c>
    </row>
    <row r="1354" spans="1:11">
      <c r="A1354" s="7">
        <v>40059</v>
      </c>
      <c r="B1354" s="1">
        <v>78</v>
      </c>
      <c r="C1354" s="1" t="s">
        <v>11</v>
      </c>
      <c r="D1354" s="13">
        <f>VALUE(MID(C1354,9,3))</f>
        <v>319</v>
      </c>
      <c r="E1354" s="14">
        <f>MONTH(A1354)</f>
        <v>9</v>
      </c>
      <c r="G1354" s="1" t="s">
        <v>197</v>
      </c>
      <c r="H1354" s="1">
        <v>17.12</v>
      </c>
      <c r="I1354" s="1" t="s">
        <v>76</v>
      </c>
      <c r="J1354" s="13">
        <f>VALUE(MID(I1354,1,3))</f>
        <v>227</v>
      </c>
      <c r="K1354" s="13">
        <f>VALUE(MID(G1354,5,2))</f>
        <v>10</v>
      </c>
    </row>
    <row r="1355" spans="1:11">
      <c r="A1355" s="7">
        <v>40059</v>
      </c>
      <c r="B1355" s="1">
        <v>78</v>
      </c>
      <c r="C1355" s="1" t="s">
        <v>11</v>
      </c>
      <c r="D1355" s="13">
        <f>VALUE(MID(C1355,9,3))</f>
        <v>319</v>
      </c>
      <c r="E1355" s="14">
        <f>MONTH(A1355)</f>
        <v>9</v>
      </c>
      <c r="G1355" s="1" t="s">
        <v>197</v>
      </c>
      <c r="H1355" s="1">
        <v>46.72</v>
      </c>
      <c r="I1355" s="1" t="s">
        <v>76</v>
      </c>
      <c r="J1355" s="13">
        <f>VALUE(MID(I1355,1,3))</f>
        <v>227</v>
      </c>
      <c r="K1355" s="13">
        <f>VALUE(MID(G1355,5,2))</f>
        <v>10</v>
      </c>
    </row>
    <row r="1356" spans="1:11">
      <c r="A1356" s="7">
        <v>40059</v>
      </c>
      <c r="B1356" s="1">
        <v>78</v>
      </c>
      <c r="C1356" s="1" t="s">
        <v>11</v>
      </c>
      <c r="D1356" s="13">
        <f>VALUE(MID(C1356,9,3))</f>
        <v>319</v>
      </c>
      <c r="E1356" s="14">
        <f>MONTH(A1356)</f>
        <v>9</v>
      </c>
      <c r="G1356" s="1" t="s">
        <v>203</v>
      </c>
      <c r="H1356" s="1">
        <v>140</v>
      </c>
      <c r="I1356" s="1" t="s">
        <v>98</v>
      </c>
      <c r="J1356" s="13">
        <f>VALUE(MID(I1356,1,3))</f>
        <v>227</v>
      </c>
      <c r="K1356" s="13">
        <f>VALUE(MID(G1356,5,2))</f>
        <v>10</v>
      </c>
    </row>
    <row r="1357" spans="1:11">
      <c r="A1357" s="7">
        <v>40059</v>
      </c>
      <c r="B1357" s="1">
        <v>78</v>
      </c>
      <c r="C1357" s="1" t="s">
        <v>11</v>
      </c>
      <c r="D1357" s="13">
        <f>VALUE(MID(C1357,9,3))</f>
        <v>319</v>
      </c>
      <c r="E1357" s="14">
        <f>MONTH(A1357)</f>
        <v>9</v>
      </c>
      <c r="G1357" s="1" t="s">
        <v>203</v>
      </c>
      <c r="H1357" s="1">
        <v>340.42</v>
      </c>
      <c r="I1357" s="1" t="s">
        <v>76</v>
      </c>
      <c r="J1357" s="13">
        <f>VALUE(MID(I1357,1,3))</f>
        <v>227</v>
      </c>
      <c r="K1357" s="13">
        <f>VALUE(MID(G1357,5,2))</f>
        <v>10</v>
      </c>
    </row>
    <row r="1358" spans="1:11">
      <c r="A1358" s="7">
        <v>40059</v>
      </c>
      <c r="B1358" s="1">
        <v>78</v>
      </c>
      <c r="C1358" s="1" t="s">
        <v>11</v>
      </c>
      <c r="D1358" s="13">
        <f>VALUE(MID(C1358,9,3))</f>
        <v>319</v>
      </c>
      <c r="E1358" s="14">
        <f>MONTH(A1358)</f>
        <v>9</v>
      </c>
      <c r="G1358" s="1" t="s">
        <v>203</v>
      </c>
      <c r="H1358" s="1">
        <v>1300</v>
      </c>
      <c r="I1358" s="1" t="s">
        <v>76</v>
      </c>
      <c r="J1358" s="13">
        <f>VALUE(MID(I1358,1,3))</f>
        <v>227</v>
      </c>
      <c r="K1358" s="13">
        <f>VALUE(MID(G1358,5,2))</f>
        <v>10</v>
      </c>
    </row>
    <row r="1359" spans="1:11">
      <c r="A1359" s="7">
        <v>40059</v>
      </c>
      <c r="B1359" s="1">
        <v>78</v>
      </c>
      <c r="C1359" s="1" t="s">
        <v>11</v>
      </c>
      <c r="D1359" s="13">
        <f>VALUE(MID(C1359,9,3))</f>
        <v>319</v>
      </c>
      <c r="E1359" s="14">
        <f>MONTH(A1359)</f>
        <v>9</v>
      </c>
      <c r="G1359" s="1" t="s">
        <v>203</v>
      </c>
      <c r="H1359" s="1">
        <v>1792.13</v>
      </c>
      <c r="I1359" s="1" t="s">
        <v>76</v>
      </c>
      <c r="J1359" s="13">
        <f>VALUE(MID(I1359,1,3))</f>
        <v>227</v>
      </c>
      <c r="K1359" s="13">
        <f>VALUE(MID(G1359,5,2))</f>
        <v>10</v>
      </c>
    </row>
    <row r="1360" spans="1:11">
      <c r="A1360" s="7">
        <v>40059</v>
      </c>
      <c r="B1360" s="1">
        <v>78</v>
      </c>
      <c r="C1360" s="1" t="s">
        <v>11</v>
      </c>
      <c r="D1360" s="13">
        <f>VALUE(MID(C1360,9,3))</f>
        <v>319</v>
      </c>
      <c r="E1360" s="14">
        <f>MONTH(A1360)</f>
        <v>9</v>
      </c>
      <c r="G1360" s="1" t="s">
        <v>203</v>
      </c>
      <c r="H1360" s="1">
        <v>528</v>
      </c>
      <c r="I1360" s="1" t="s">
        <v>76</v>
      </c>
      <c r="J1360" s="13">
        <f>VALUE(MID(I1360,1,3))</f>
        <v>227</v>
      </c>
      <c r="K1360" s="13">
        <f>VALUE(MID(G1360,5,2))</f>
        <v>10</v>
      </c>
    </row>
    <row r="1361" spans="1:11">
      <c r="A1361" s="7">
        <v>40059</v>
      </c>
      <c r="B1361" s="1">
        <v>78</v>
      </c>
      <c r="C1361" s="1" t="s">
        <v>11</v>
      </c>
      <c r="D1361" s="13">
        <f>VALUE(MID(C1361,9,3))</f>
        <v>319</v>
      </c>
      <c r="E1361" s="14">
        <f>MONTH(A1361)</f>
        <v>9</v>
      </c>
      <c r="G1361" s="1" t="s">
        <v>203</v>
      </c>
      <c r="H1361" s="1">
        <v>350</v>
      </c>
      <c r="I1361" s="1" t="s">
        <v>76</v>
      </c>
      <c r="J1361" s="13">
        <f>VALUE(MID(I1361,1,3))</f>
        <v>227</v>
      </c>
      <c r="K1361" s="13">
        <f>VALUE(MID(G1361,5,2))</f>
        <v>10</v>
      </c>
    </row>
    <row r="1362" spans="1:11">
      <c r="A1362" s="7">
        <v>40059</v>
      </c>
      <c r="B1362" s="1">
        <v>78</v>
      </c>
      <c r="C1362" s="1" t="s">
        <v>11</v>
      </c>
      <c r="D1362" s="13">
        <f>VALUE(MID(C1362,9,3))</f>
        <v>319</v>
      </c>
      <c r="E1362" s="14">
        <f>MONTH(A1362)</f>
        <v>9</v>
      </c>
      <c r="G1362" s="1" t="s">
        <v>203</v>
      </c>
      <c r="H1362" s="1">
        <v>400</v>
      </c>
      <c r="I1362" s="1" t="s">
        <v>76</v>
      </c>
      <c r="J1362" s="13">
        <f>VALUE(MID(I1362,1,3))</f>
        <v>227</v>
      </c>
      <c r="K1362" s="13">
        <f>VALUE(MID(G1362,5,2))</f>
        <v>10</v>
      </c>
    </row>
    <row r="1363" spans="1:11">
      <c r="A1363" s="7">
        <v>40059</v>
      </c>
      <c r="B1363" s="1">
        <v>39</v>
      </c>
      <c r="C1363" s="1" t="s">
        <v>11</v>
      </c>
      <c r="D1363" s="13">
        <f>VALUE(MID(C1363,9,3))</f>
        <v>319</v>
      </c>
      <c r="E1363" s="14">
        <f>MONTH(A1363)</f>
        <v>9</v>
      </c>
      <c r="G1363" s="1" t="s">
        <v>203</v>
      </c>
      <c r="H1363" s="1">
        <v>1478.3</v>
      </c>
      <c r="I1363" s="1" t="s">
        <v>110</v>
      </c>
      <c r="J1363" s="13">
        <f>VALUE(MID(I1363,1,3))</f>
        <v>227</v>
      </c>
      <c r="K1363" s="13">
        <f>VALUE(MID(G1363,5,2))</f>
        <v>10</v>
      </c>
    </row>
    <row r="1364" spans="1:11">
      <c r="A1364" s="7">
        <v>40182</v>
      </c>
      <c r="B1364" s="1">
        <v>75</v>
      </c>
      <c r="C1364" s="1" t="s">
        <v>24</v>
      </c>
      <c r="D1364" s="13">
        <f>VALUE(MID(C1364,9,3))</f>
        <v>319</v>
      </c>
      <c r="E1364" s="14">
        <f>MONTH(A1364)</f>
        <v>1</v>
      </c>
      <c r="G1364" s="1" t="s">
        <v>203</v>
      </c>
      <c r="H1364" s="1">
        <v>3115.98</v>
      </c>
      <c r="I1364" s="1" t="s">
        <v>101</v>
      </c>
      <c r="J1364" s="13">
        <f>VALUE(MID(I1364,1,3))</f>
        <v>227</v>
      </c>
      <c r="K1364" s="13">
        <f>VALUE(MID(G1364,5,2))</f>
        <v>10</v>
      </c>
    </row>
    <row r="1365" spans="1:11">
      <c r="A1365" s="7">
        <v>40060</v>
      </c>
      <c r="B1365" s="1">
        <v>78</v>
      </c>
      <c r="C1365" s="1" t="s">
        <v>11</v>
      </c>
      <c r="D1365" s="13">
        <f>VALUE(MID(C1365,9,3))</f>
        <v>319</v>
      </c>
      <c r="E1365" s="14">
        <f>MONTH(A1365)</f>
        <v>9</v>
      </c>
      <c r="G1365" s="1" t="s">
        <v>203</v>
      </c>
      <c r="H1365" s="1">
        <v>496.98</v>
      </c>
      <c r="I1365" s="1" t="s">
        <v>101</v>
      </c>
      <c r="J1365" s="13">
        <f>VALUE(MID(I1365,1,3))</f>
        <v>227</v>
      </c>
      <c r="K1365" s="13">
        <f>VALUE(MID(G1365,5,2))</f>
        <v>10</v>
      </c>
    </row>
    <row r="1366" spans="1:11">
      <c r="A1366" s="7">
        <v>40060</v>
      </c>
      <c r="B1366" s="1">
        <v>78</v>
      </c>
      <c r="C1366" s="1" t="s">
        <v>11</v>
      </c>
      <c r="D1366" s="13">
        <f>VALUE(MID(C1366,9,3))</f>
        <v>319</v>
      </c>
      <c r="E1366" s="14">
        <f>MONTH(A1366)</f>
        <v>9</v>
      </c>
      <c r="G1366" s="1" t="s">
        <v>203</v>
      </c>
      <c r="H1366" s="1">
        <v>1740</v>
      </c>
      <c r="I1366" s="1" t="s">
        <v>98</v>
      </c>
      <c r="J1366" s="13">
        <f>VALUE(MID(I1366,1,3))</f>
        <v>227</v>
      </c>
      <c r="K1366" s="13">
        <f>VALUE(MID(G1366,5,2))</f>
        <v>10</v>
      </c>
    </row>
    <row r="1367" spans="1:11">
      <c r="A1367" s="7">
        <v>40060</v>
      </c>
      <c r="B1367" s="1">
        <v>78</v>
      </c>
      <c r="C1367" s="1" t="s">
        <v>11</v>
      </c>
      <c r="D1367" s="13">
        <f>VALUE(MID(C1367,9,3))</f>
        <v>319</v>
      </c>
      <c r="E1367" s="14">
        <f>MONTH(A1367)</f>
        <v>9</v>
      </c>
      <c r="G1367" s="1" t="s">
        <v>203</v>
      </c>
      <c r="H1367" s="1">
        <v>341.07</v>
      </c>
      <c r="I1367" s="1" t="s">
        <v>103</v>
      </c>
      <c r="J1367" s="13">
        <f>VALUE(MID(I1367,1,3))</f>
        <v>227</v>
      </c>
      <c r="K1367" s="13">
        <f>VALUE(MID(G1367,5,2))</f>
        <v>10</v>
      </c>
    </row>
    <row r="1368" spans="1:11">
      <c r="A1368" s="7">
        <v>40060</v>
      </c>
      <c r="B1368" s="1">
        <v>78</v>
      </c>
      <c r="C1368" s="1" t="s">
        <v>11</v>
      </c>
      <c r="D1368" s="13">
        <f>VALUE(MID(C1368,9,3))</f>
        <v>319</v>
      </c>
      <c r="E1368" s="14">
        <f>MONTH(A1368)</f>
        <v>9</v>
      </c>
      <c r="G1368" s="1" t="s">
        <v>203</v>
      </c>
      <c r="H1368" s="1">
        <v>39.24</v>
      </c>
      <c r="I1368" s="1" t="s">
        <v>103</v>
      </c>
      <c r="J1368" s="13">
        <f>VALUE(MID(I1368,1,3))</f>
        <v>227</v>
      </c>
      <c r="K1368" s="13">
        <f>VALUE(MID(G1368,5,2))</f>
        <v>10</v>
      </c>
    </row>
    <row r="1369" spans="1:11">
      <c r="A1369" s="7">
        <v>40060</v>
      </c>
      <c r="B1369" s="1">
        <v>78</v>
      </c>
      <c r="C1369" s="1" t="s">
        <v>11</v>
      </c>
      <c r="D1369" s="13">
        <f>VALUE(MID(C1369,9,3))</f>
        <v>319</v>
      </c>
      <c r="E1369" s="14">
        <f>MONTH(A1369)</f>
        <v>9</v>
      </c>
      <c r="G1369" s="1" t="s">
        <v>203</v>
      </c>
      <c r="H1369" s="1">
        <v>5590.96</v>
      </c>
      <c r="I1369" s="1" t="s">
        <v>98</v>
      </c>
      <c r="J1369" s="13">
        <f>VALUE(MID(I1369,1,3))</f>
        <v>227</v>
      </c>
      <c r="K1369" s="13">
        <f>VALUE(MID(G1369,5,2))</f>
        <v>10</v>
      </c>
    </row>
    <row r="1370" spans="1:11">
      <c r="A1370" s="7">
        <v>40060</v>
      </c>
      <c r="B1370" s="1">
        <v>78</v>
      </c>
      <c r="C1370" s="1" t="s">
        <v>11</v>
      </c>
      <c r="D1370" s="13">
        <f>VALUE(MID(C1370,9,3))</f>
        <v>319</v>
      </c>
      <c r="E1370" s="14">
        <f>MONTH(A1370)</f>
        <v>9</v>
      </c>
      <c r="G1370" s="1" t="s">
        <v>203</v>
      </c>
      <c r="H1370" s="1">
        <v>63.2</v>
      </c>
      <c r="I1370" s="1" t="s">
        <v>103</v>
      </c>
      <c r="J1370" s="13">
        <f>VALUE(MID(I1370,1,3))</f>
        <v>227</v>
      </c>
      <c r="K1370" s="13">
        <f>VALUE(MID(G1370,5,2))</f>
        <v>10</v>
      </c>
    </row>
    <row r="1371" spans="1:11">
      <c r="A1371" s="7">
        <v>40060</v>
      </c>
      <c r="B1371" s="1">
        <v>78</v>
      </c>
      <c r="C1371" s="1" t="s">
        <v>11</v>
      </c>
      <c r="D1371" s="13">
        <f>VALUE(MID(C1371,9,3))</f>
        <v>319</v>
      </c>
      <c r="E1371" s="14">
        <f>MONTH(A1371)</f>
        <v>9</v>
      </c>
      <c r="G1371" s="1" t="s">
        <v>203</v>
      </c>
      <c r="H1371" s="1">
        <v>330</v>
      </c>
      <c r="I1371" s="1" t="s">
        <v>110</v>
      </c>
      <c r="J1371" s="13">
        <f>VALUE(MID(I1371,1,3))</f>
        <v>227</v>
      </c>
      <c r="K1371" s="13">
        <f>VALUE(MID(G1371,5,2))</f>
        <v>10</v>
      </c>
    </row>
    <row r="1372" spans="1:11">
      <c r="A1372" s="7">
        <v>40060</v>
      </c>
      <c r="B1372" s="1">
        <v>78</v>
      </c>
      <c r="C1372" s="1" t="s">
        <v>11</v>
      </c>
      <c r="D1372" s="13">
        <f>VALUE(MID(C1372,9,3))</f>
        <v>319</v>
      </c>
      <c r="E1372" s="14">
        <f>MONTH(A1372)</f>
        <v>9</v>
      </c>
      <c r="G1372" s="1" t="s">
        <v>203</v>
      </c>
      <c r="H1372" s="1">
        <v>1250</v>
      </c>
      <c r="I1372" s="1" t="s">
        <v>98</v>
      </c>
      <c r="J1372" s="13">
        <f>VALUE(MID(I1372,1,3))</f>
        <v>227</v>
      </c>
      <c r="K1372" s="13">
        <f>VALUE(MID(G1372,5,2))</f>
        <v>10</v>
      </c>
    </row>
    <row r="1373" spans="1:11">
      <c r="A1373" s="7">
        <v>40060</v>
      </c>
      <c r="B1373" s="1">
        <v>78</v>
      </c>
      <c r="C1373" s="1" t="s">
        <v>11</v>
      </c>
      <c r="D1373" s="13">
        <f>VALUE(MID(C1373,9,3))</f>
        <v>319</v>
      </c>
      <c r="E1373" s="14">
        <f>MONTH(A1373)</f>
        <v>9</v>
      </c>
      <c r="G1373" s="1" t="s">
        <v>203</v>
      </c>
      <c r="H1373" s="1">
        <v>200</v>
      </c>
      <c r="I1373" s="1" t="s">
        <v>78</v>
      </c>
      <c r="J1373" s="13">
        <f>VALUE(MID(I1373,1,3))</f>
        <v>227</v>
      </c>
      <c r="K1373" s="13">
        <f>VALUE(MID(G1373,5,2))</f>
        <v>10</v>
      </c>
    </row>
    <row r="1374" spans="1:11">
      <c r="A1374" s="7">
        <v>40060</v>
      </c>
      <c r="B1374" s="1">
        <v>78</v>
      </c>
      <c r="C1374" s="1" t="s">
        <v>11</v>
      </c>
      <c r="D1374" s="13">
        <f>VALUE(MID(C1374,9,3))</f>
        <v>319</v>
      </c>
      <c r="E1374" s="14">
        <f>MONTH(A1374)</f>
        <v>9</v>
      </c>
      <c r="G1374" s="1" t="s">
        <v>203</v>
      </c>
      <c r="H1374" s="1">
        <v>669.24</v>
      </c>
      <c r="I1374" s="1" t="s">
        <v>98</v>
      </c>
      <c r="J1374" s="13">
        <f>VALUE(MID(I1374,1,3))</f>
        <v>227</v>
      </c>
      <c r="K1374" s="13">
        <f>VALUE(MID(G1374,5,2))</f>
        <v>10</v>
      </c>
    </row>
    <row r="1375" spans="1:11">
      <c r="A1375" s="7">
        <v>39877</v>
      </c>
      <c r="B1375" s="1">
        <v>34</v>
      </c>
      <c r="C1375" s="1" t="s">
        <v>32</v>
      </c>
      <c r="D1375" s="13">
        <f>VALUE(MID(C1375,9,3))</f>
        <v>319</v>
      </c>
      <c r="E1375" s="14">
        <f>MONTH(A1375)</f>
        <v>3</v>
      </c>
      <c r="G1375" s="1" t="s">
        <v>203</v>
      </c>
      <c r="H1375" s="1">
        <v>936</v>
      </c>
      <c r="I1375" s="1" t="s">
        <v>111</v>
      </c>
      <c r="J1375" s="13">
        <f>VALUE(MID(I1375,1,3))</f>
        <v>227</v>
      </c>
      <c r="K1375" s="13">
        <f>VALUE(MID(G1375,5,2))</f>
        <v>10</v>
      </c>
    </row>
    <row r="1376" spans="1:11">
      <c r="A1376" s="7">
        <v>39969</v>
      </c>
      <c r="B1376" s="1">
        <v>116</v>
      </c>
      <c r="C1376" s="1" t="s">
        <v>16</v>
      </c>
      <c r="D1376" s="13">
        <f>VALUE(MID(C1376,9,3))</f>
        <v>319</v>
      </c>
      <c r="E1376" s="14">
        <f>MONTH(A1376)</f>
        <v>6</v>
      </c>
      <c r="G1376" s="1" t="s">
        <v>203</v>
      </c>
      <c r="H1376" s="1">
        <v>89.44</v>
      </c>
      <c r="I1376" s="1" t="s">
        <v>98</v>
      </c>
      <c r="J1376" s="13">
        <f>VALUE(MID(I1376,1,3))</f>
        <v>227</v>
      </c>
      <c r="K1376" s="13">
        <f>VALUE(MID(G1376,5,2))</f>
        <v>10</v>
      </c>
    </row>
    <row r="1377" spans="1:11">
      <c r="A1377" s="7">
        <v>40091</v>
      </c>
      <c r="B1377" s="1">
        <v>78</v>
      </c>
      <c r="C1377" s="1" t="s">
        <v>11</v>
      </c>
      <c r="D1377" s="13">
        <f>VALUE(MID(C1377,9,3))</f>
        <v>319</v>
      </c>
      <c r="E1377" s="14">
        <f>MONTH(A1377)</f>
        <v>10</v>
      </c>
      <c r="G1377" s="1" t="s">
        <v>203</v>
      </c>
      <c r="H1377" s="1">
        <v>728.07</v>
      </c>
      <c r="I1377" s="1" t="s">
        <v>76</v>
      </c>
      <c r="J1377" s="13">
        <f>VALUE(MID(I1377,1,3))</f>
        <v>227</v>
      </c>
      <c r="K1377" s="13">
        <f>VALUE(MID(G1377,5,2))</f>
        <v>10</v>
      </c>
    </row>
    <row r="1378" spans="1:11">
      <c r="A1378" s="7">
        <v>40091</v>
      </c>
      <c r="B1378" s="1">
        <v>16068.12</v>
      </c>
      <c r="C1378" s="1" t="s">
        <v>38</v>
      </c>
      <c r="D1378" s="13">
        <f>VALUE(MID(C1378,9,3))</f>
        <v>319</v>
      </c>
      <c r="E1378" s="14">
        <f>MONTH(A1378)</f>
        <v>10</v>
      </c>
      <c r="G1378" s="1" t="s">
        <v>203</v>
      </c>
      <c r="H1378" s="1">
        <v>728.07</v>
      </c>
      <c r="I1378" s="1" t="s">
        <v>110</v>
      </c>
      <c r="J1378" s="13">
        <f>VALUE(MID(I1378,1,3))</f>
        <v>227</v>
      </c>
      <c r="K1378" s="13">
        <f>VALUE(MID(G1378,5,2))</f>
        <v>10</v>
      </c>
    </row>
    <row r="1379" spans="1:11">
      <c r="A1379" s="7">
        <v>39878</v>
      </c>
      <c r="B1379" s="1">
        <v>34</v>
      </c>
      <c r="C1379" s="1" t="s">
        <v>32</v>
      </c>
      <c r="D1379" s="13">
        <f>VALUE(MID(C1379,9,3))</f>
        <v>319</v>
      </c>
      <c r="E1379" s="14">
        <f>MONTH(A1379)</f>
        <v>3</v>
      </c>
      <c r="G1379" s="1" t="s">
        <v>203</v>
      </c>
      <c r="H1379" s="1">
        <v>108.16</v>
      </c>
      <c r="I1379" s="1" t="s">
        <v>110</v>
      </c>
      <c r="J1379" s="13">
        <f>VALUE(MID(I1379,1,3))</f>
        <v>227</v>
      </c>
      <c r="K1379" s="13">
        <f>VALUE(MID(G1379,5,2))</f>
        <v>10</v>
      </c>
    </row>
    <row r="1380" spans="1:11">
      <c r="A1380" s="7">
        <v>40000</v>
      </c>
      <c r="B1380" s="1">
        <v>78</v>
      </c>
      <c r="C1380" s="1" t="s">
        <v>11</v>
      </c>
      <c r="D1380" s="13">
        <f>VALUE(MID(C1380,9,3))</f>
        <v>319</v>
      </c>
      <c r="E1380" s="14">
        <f>MONTH(A1380)</f>
        <v>7</v>
      </c>
      <c r="G1380" s="1" t="s">
        <v>203</v>
      </c>
      <c r="H1380" s="1">
        <v>865.36</v>
      </c>
      <c r="I1380" s="1" t="s">
        <v>110</v>
      </c>
      <c r="J1380" s="13">
        <f>VALUE(MID(I1380,1,3))</f>
        <v>227</v>
      </c>
      <c r="K1380" s="13">
        <f>VALUE(MID(G1380,5,2))</f>
        <v>10</v>
      </c>
    </row>
    <row r="1381" spans="1:11">
      <c r="A1381" s="7">
        <v>40063</v>
      </c>
      <c r="B1381" s="1">
        <v>78</v>
      </c>
      <c r="C1381" s="1" t="s">
        <v>11</v>
      </c>
      <c r="D1381" s="13">
        <f>VALUE(MID(C1381,9,3))</f>
        <v>319</v>
      </c>
      <c r="E1381" s="14">
        <f>MONTH(A1381)</f>
        <v>9</v>
      </c>
      <c r="G1381" s="1" t="s">
        <v>203</v>
      </c>
      <c r="H1381" s="1">
        <v>1189.8699999999999</v>
      </c>
      <c r="I1381" s="1" t="s">
        <v>110</v>
      </c>
      <c r="J1381" s="13">
        <f>VALUE(MID(I1381,1,3))</f>
        <v>227</v>
      </c>
      <c r="K1381" s="13">
        <f>VALUE(MID(G1381,5,2))</f>
        <v>10</v>
      </c>
    </row>
    <row r="1382" spans="1:11">
      <c r="A1382" s="7">
        <v>40063</v>
      </c>
      <c r="B1382" s="1">
        <v>78</v>
      </c>
      <c r="C1382" s="1" t="s">
        <v>11</v>
      </c>
      <c r="D1382" s="13">
        <f>VALUE(MID(C1382,9,3))</f>
        <v>319</v>
      </c>
      <c r="E1382" s="14">
        <f>MONTH(A1382)</f>
        <v>9</v>
      </c>
      <c r="G1382" s="1" t="s">
        <v>203</v>
      </c>
      <c r="H1382" s="1">
        <v>3665.92</v>
      </c>
      <c r="I1382" s="1" t="s">
        <v>76</v>
      </c>
      <c r="J1382" s="13">
        <f>VALUE(MID(I1382,1,3))</f>
        <v>227</v>
      </c>
      <c r="K1382" s="13">
        <f>VALUE(MID(G1382,5,2))</f>
        <v>10</v>
      </c>
    </row>
    <row r="1383" spans="1:11">
      <c r="A1383" s="7">
        <v>40093</v>
      </c>
      <c r="B1383" s="1">
        <v>39</v>
      </c>
      <c r="C1383" s="1" t="s">
        <v>11</v>
      </c>
      <c r="D1383" s="13">
        <f>VALUE(MID(C1383,9,3))</f>
        <v>319</v>
      </c>
      <c r="E1383" s="14">
        <f>MONTH(A1383)</f>
        <v>10</v>
      </c>
      <c r="G1383" s="1" t="s">
        <v>203</v>
      </c>
      <c r="H1383" s="1">
        <v>480</v>
      </c>
      <c r="I1383" s="1" t="s">
        <v>76</v>
      </c>
      <c r="J1383" s="13">
        <f>VALUE(MID(I1383,1,3))</f>
        <v>227</v>
      </c>
      <c r="K1383" s="13">
        <f>VALUE(MID(G1383,5,2))</f>
        <v>10</v>
      </c>
    </row>
    <row r="1384" spans="1:11">
      <c r="A1384" s="7">
        <v>39941</v>
      </c>
      <c r="B1384" s="1">
        <v>2064.41</v>
      </c>
      <c r="C1384" s="1" t="s">
        <v>16</v>
      </c>
      <c r="D1384" s="13">
        <f>VALUE(MID(C1384,9,3))</f>
        <v>319</v>
      </c>
      <c r="E1384" s="14">
        <f>MONTH(A1384)</f>
        <v>5</v>
      </c>
      <c r="G1384" s="1" t="s">
        <v>203</v>
      </c>
      <c r="H1384" s="1">
        <v>320</v>
      </c>
      <c r="I1384" s="1" t="s">
        <v>76</v>
      </c>
      <c r="J1384" s="13">
        <f>VALUE(MID(I1384,1,3))</f>
        <v>227</v>
      </c>
      <c r="K1384" s="13">
        <f>VALUE(MID(G1384,5,2))</f>
        <v>10</v>
      </c>
    </row>
    <row r="1385" spans="1:11">
      <c r="A1385" s="7">
        <v>39972</v>
      </c>
      <c r="B1385" s="1">
        <v>116</v>
      </c>
      <c r="C1385" s="1" t="s">
        <v>16</v>
      </c>
      <c r="D1385" s="13">
        <f>VALUE(MID(C1385,9,3))</f>
        <v>319</v>
      </c>
      <c r="E1385" s="14">
        <f>MONTH(A1385)</f>
        <v>6</v>
      </c>
      <c r="G1385" s="1" t="s">
        <v>203</v>
      </c>
      <c r="H1385" s="1">
        <v>200</v>
      </c>
      <c r="I1385" s="1" t="s">
        <v>76</v>
      </c>
      <c r="J1385" s="13">
        <f>VALUE(MID(I1385,1,3))</f>
        <v>227</v>
      </c>
      <c r="K1385" s="13">
        <f>VALUE(MID(G1385,5,2))</f>
        <v>10</v>
      </c>
    </row>
    <row r="1386" spans="1:11">
      <c r="A1386" s="7">
        <v>40002</v>
      </c>
      <c r="B1386" s="1">
        <v>78</v>
      </c>
      <c r="C1386" s="1" t="s">
        <v>11</v>
      </c>
      <c r="D1386" s="13">
        <f>VALUE(MID(C1386,9,3))</f>
        <v>319</v>
      </c>
      <c r="E1386" s="14">
        <f>MONTH(A1386)</f>
        <v>7</v>
      </c>
      <c r="G1386" s="1" t="s">
        <v>203</v>
      </c>
      <c r="H1386" s="1">
        <v>728.1</v>
      </c>
      <c r="I1386" s="1" t="s">
        <v>76</v>
      </c>
      <c r="J1386" s="13">
        <f>VALUE(MID(I1386,1,3))</f>
        <v>227</v>
      </c>
      <c r="K1386" s="13">
        <f>VALUE(MID(G1386,5,2))</f>
        <v>10</v>
      </c>
    </row>
    <row r="1387" spans="1:11">
      <c r="A1387" s="7">
        <v>40002</v>
      </c>
      <c r="B1387" s="1">
        <v>16068.12</v>
      </c>
      <c r="C1387" s="1" t="s">
        <v>38</v>
      </c>
      <c r="D1387" s="13">
        <f>VALUE(MID(C1387,9,3))</f>
        <v>319</v>
      </c>
      <c r="E1387" s="14">
        <f>MONTH(A1387)</f>
        <v>7</v>
      </c>
      <c r="G1387" s="1" t="s">
        <v>204</v>
      </c>
      <c r="H1387" s="1">
        <v>802.5</v>
      </c>
      <c r="I1387" s="1" t="s">
        <v>76</v>
      </c>
      <c r="J1387" s="13">
        <f>VALUE(MID(I1387,1,3))</f>
        <v>227</v>
      </c>
      <c r="K1387" s="13">
        <f>VALUE(MID(G1387,5,2))</f>
        <v>10</v>
      </c>
    </row>
    <row r="1388" spans="1:11">
      <c r="A1388" s="7">
        <v>39822</v>
      </c>
      <c r="B1388" s="1">
        <v>75</v>
      </c>
      <c r="C1388" s="1" t="s">
        <v>24</v>
      </c>
      <c r="D1388" s="13">
        <f>VALUE(MID(C1388,9,3))</f>
        <v>319</v>
      </c>
      <c r="E1388" s="14">
        <f>MONTH(A1388)</f>
        <v>1</v>
      </c>
      <c r="G1388" s="1" t="s">
        <v>210</v>
      </c>
      <c r="H1388" s="1">
        <v>220</v>
      </c>
      <c r="I1388" s="1" t="s">
        <v>76</v>
      </c>
      <c r="J1388" s="13">
        <f>VALUE(MID(I1388,1,3))</f>
        <v>227</v>
      </c>
      <c r="K1388" s="13">
        <f>VALUE(MID(G1388,5,2))</f>
        <v>11</v>
      </c>
    </row>
    <row r="1389" spans="1:11">
      <c r="A1389" s="7">
        <v>39881</v>
      </c>
      <c r="B1389" s="1">
        <v>60</v>
      </c>
      <c r="C1389" s="1" t="s">
        <v>16</v>
      </c>
      <c r="D1389" s="13">
        <f>VALUE(MID(C1389,9,3))</f>
        <v>319</v>
      </c>
      <c r="E1389" s="14">
        <f>MONTH(A1389)</f>
        <v>3</v>
      </c>
      <c r="G1389" s="1" t="s">
        <v>210</v>
      </c>
      <c r="H1389" s="1">
        <v>1300</v>
      </c>
      <c r="I1389" s="1" t="s">
        <v>76</v>
      </c>
      <c r="J1389" s="13">
        <f>VALUE(MID(I1389,1,3))</f>
        <v>227</v>
      </c>
      <c r="K1389" s="13">
        <f>VALUE(MID(G1389,5,2))</f>
        <v>11</v>
      </c>
    </row>
    <row r="1390" spans="1:11">
      <c r="A1390" s="7">
        <v>39881</v>
      </c>
      <c r="B1390" s="1">
        <v>89.92</v>
      </c>
      <c r="C1390" s="1" t="s">
        <v>16</v>
      </c>
      <c r="D1390" s="13">
        <f>VALUE(MID(C1390,9,3))</f>
        <v>319</v>
      </c>
      <c r="E1390" s="14">
        <f>MONTH(A1390)</f>
        <v>3</v>
      </c>
      <c r="G1390" s="1" t="s">
        <v>210</v>
      </c>
      <c r="H1390" s="1">
        <v>276.5</v>
      </c>
      <c r="I1390" s="1" t="s">
        <v>76</v>
      </c>
      <c r="J1390" s="13">
        <f>VALUE(MID(I1390,1,3))</f>
        <v>227</v>
      </c>
      <c r="K1390" s="13">
        <f>VALUE(MID(G1390,5,2))</f>
        <v>11</v>
      </c>
    </row>
    <row r="1391" spans="1:11">
      <c r="A1391" s="7">
        <v>39881</v>
      </c>
      <c r="B1391" s="1">
        <v>34</v>
      </c>
      <c r="C1391" s="1" t="s">
        <v>32</v>
      </c>
      <c r="D1391" s="13">
        <f>VALUE(MID(C1391,9,3))</f>
        <v>319</v>
      </c>
      <c r="E1391" s="14">
        <f>MONTH(A1391)</f>
        <v>3</v>
      </c>
      <c r="G1391" s="1" t="s">
        <v>210</v>
      </c>
      <c r="H1391" s="1">
        <v>1040.0999999999999</v>
      </c>
      <c r="I1391" s="1" t="s">
        <v>76</v>
      </c>
      <c r="J1391" s="13">
        <f>VALUE(MID(I1391,1,3))</f>
        <v>227</v>
      </c>
      <c r="K1391" s="13">
        <f>VALUE(MID(G1391,5,2))</f>
        <v>11</v>
      </c>
    </row>
    <row r="1392" spans="1:11">
      <c r="A1392" s="7">
        <v>40003</v>
      </c>
      <c r="B1392" s="1">
        <v>10.5</v>
      </c>
      <c r="C1392" s="1" t="s">
        <v>11</v>
      </c>
      <c r="D1392" s="13">
        <f>VALUE(MID(C1392,9,3))</f>
        <v>319</v>
      </c>
      <c r="E1392" s="14">
        <f>MONTH(A1392)</f>
        <v>7</v>
      </c>
      <c r="G1392" s="1" t="s">
        <v>210</v>
      </c>
      <c r="H1392" s="1">
        <v>208.02</v>
      </c>
      <c r="I1392" s="1" t="s">
        <v>76</v>
      </c>
      <c r="J1392" s="13">
        <f>VALUE(MID(I1392,1,3))</f>
        <v>227</v>
      </c>
      <c r="K1392" s="13">
        <f>VALUE(MID(G1392,5,2))</f>
        <v>11</v>
      </c>
    </row>
    <row r="1393" spans="1:11">
      <c r="A1393" s="7">
        <v>40065</v>
      </c>
      <c r="B1393" s="1">
        <v>78</v>
      </c>
      <c r="C1393" s="1" t="s">
        <v>11</v>
      </c>
      <c r="D1393" s="13">
        <f>VALUE(MID(C1393,9,3))</f>
        <v>319</v>
      </c>
      <c r="E1393" s="14">
        <f>MONTH(A1393)</f>
        <v>9</v>
      </c>
      <c r="G1393" s="1" t="s">
        <v>210</v>
      </c>
      <c r="H1393" s="1">
        <v>520</v>
      </c>
      <c r="I1393" s="1" t="s">
        <v>76</v>
      </c>
      <c r="J1393" s="13">
        <f>VALUE(MID(I1393,1,3))</f>
        <v>227</v>
      </c>
      <c r="K1393" s="13">
        <f>VALUE(MID(G1393,5,2))</f>
        <v>11</v>
      </c>
    </row>
    <row r="1394" spans="1:11">
      <c r="A1394" s="7">
        <v>40156</v>
      </c>
      <c r="B1394" s="1">
        <v>34</v>
      </c>
      <c r="C1394" s="1" t="s">
        <v>44</v>
      </c>
      <c r="D1394" s="13">
        <f>VALUE(MID(C1394,9,3))</f>
        <v>319</v>
      </c>
      <c r="E1394" s="14">
        <f>MONTH(A1394)</f>
        <v>12</v>
      </c>
      <c r="G1394" s="1" t="s">
        <v>210</v>
      </c>
      <c r="H1394" s="1">
        <v>1431.08</v>
      </c>
      <c r="I1394" s="1" t="s">
        <v>76</v>
      </c>
      <c r="J1394" s="13">
        <f>VALUE(MID(I1394,1,3))</f>
        <v>227</v>
      </c>
      <c r="K1394" s="13">
        <f>VALUE(MID(G1394,5,2))</f>
        <v>11</v>
      </c>
    </row>
    <row r="1395" spans="1:11">
      <c r="A1395" s="7">
        <v>40156</v>
      </c>
      <c r="B1395" s="1">
        <v>75</v>
      </c>
      <c r="C1395" s="1" t="s">
        <v>24</v>
      </c>
      <c r="D1395" s="13">
        <f>VALUE(MID(C1395,9,3))</f>
        <v>319</v>
      </c>
      <c r="E1395" s="14">
        <f>MONTH(A1395)</f>
        <v>12</v>
      </c>
      <c r="G1395" s="1" t="s">
        <v>210</v>
      </c>
      <c r="H1395" s="1">
        <v>600</v>
      </c>
      <c r="I1395" s="1" t="s">
        <v>76</v>
      </c>
      <c r="J1395" s="13">
        <f>VALUE(MID(I1395,1,3))</f>
        <v>227</v>
      </c>
      <c r="K1395" s="13">
        <f>VALUE(MID(G1395,5,2))</f>
        <v>11</v>
      </c>
    </row>
    <row r="1396" spans="1:11">
      <c r="A1396" s="7">
        <v>39854</v>
      </c>
      <c r="B1396" s="1">
        <v>1026</v>
      </c>
      <c r="C1396" s="1" t="s">
        <v>16</v>
      </c>
      <c r="D1396" s="13">
        <f>VALUE(MID(C1396,9,3))</f>
        <v>319</v>
      </c>
      <c r="E1396" s="14">
        <f>MONTH(A1396)</f>
        <v>2</v>
      </c>
      <c r="G1396" s="1" t="s">
        <v>210</v>
      </c>
      <c r="H1396" s="1">
        <v>856</v>
      </c>
      <c r="I1396" s="1" t="s">
        <v>76</v>
      </c>
      <c r="J1396" s="13">
        <f>VALUE(MID(I1396,1,3))</f>
        <v>227</v>
      </c>
      <c r="K1396" s="13">
        <f>VALUE(MID(G1396,5,2))</f>
        <v>11</v>
      </c>
    </row>
    <row r="1397" spans="1:11">
      <c r="A1397" s="7">
        <v>39882</v>
      </c>
      <c r="B1397" s="1">
        <v>34</v>
      </c>
      <c r="C1397" s="1" t="s">
        <v>32</v>
      </c>
      <c r="D1397" s="13">
        <f>VALUE(MID(C1397,9,3))</f>
        <v>319</v>
      </c>
      <c r="E1397" s="14">
        <f>MONTH(A1397)</f>
        <v>3</v>
      </c>
      <c r="G1397" s="1" t="s">
        <v>210</v>
      </c>
      <c r="H1397" s="1">
        <v>1511.12</v>
      </c>
      <c r="I1397" s="1" t="s">
        <v>110</v>
      </c>
      <c r="J1397" s="13">
        <f>VALUE(MID(I1397,1,3))</f>
        <v>227</v>
      </c>
      <c r="K1397" s="13">
        <f>VALUE(MID(G1397,5,2))</f>
        <v>11</v>
      </c>
    </row>
    <row r="1398" spans="1:11">
      <c r="A1398" s="7">
        <v>40004</v>
      </c>
      <c r="B1398" s="1">
        <v>72</v>
      </c>
      <c r="C1398" s="1" t="s">
        <v>16</v>
      </c>
      <c r="D1398" s="13">
        <f>VALUE(MID(C1398,9,3))</f>
        <v>319</v>
      </c>
      <c r="E1398" s="14">
        <f>MONTH(A1398)</f>
        <v>7</v>
      </c>
      <c r="G1398" s="1" t="s">
        <v>210</v>
      </c>
      <c r="H1398" s="1">
        <v>1969.55</v>
      </c>
      <c r="I1398" s="1" t="s">
        <v>110</v>
      </c>
      <c r="J1398" s="13">
        <f>VALUE(MID(I1398,1,3))</f>
        <v>227</v>
      </c>
      <c r="K1398" s="13">
        <f>VALUE(MID(G1398,5,2))</f>
        <v>11</v>
      </c>
    </row>
    <row r="1399" spans="1:11">
      <c r="A1399" s="7">
        <v>40004</v>
      </c>
      <c r="B1399" s="1">
        <v>34</v>
      </c>
      <c r="C1399" s="1" t="s">
        <v>10</v>
      </c>
      <c r="D1399" s="13">
        <f>VALUE(MID(C1399,9,3))</f>
        <v>319</v>
      </c>
      <c r="E1399" s="14">
        <f>MONTH(A1399)</f>
        <v>7</v>
      </c>
      <c r="G1399" s="1" t="s">
        <v>210</v>
      </c>
      <c r="H1399" s="1">
        <v>3115.98</v>
      </c>
      <c r="I1399" s="1" t="s">
        <v>101</v>
      </c>
      <c r="J1399" s="13">
        <f>VALUE(MID(I1399,1,3))</f>
        <v>227</v>
      </c>
      <c r="K1399" s="13">
        <f>VALUE(MID(G1399,5,2))</f>
        <v>11</v>
      </c>
    </row>
    <row r="1400" spans="1:11">
      <c r="A1400" s="7">
        <v>40004</v>
      </c>
      <c r="B1400" s="1">
        <v>78</v>
      </c>
      <c r="C1400" s="1" t="s">
        <v>11</v>
      </c>
      <c r="D1400" s="13">
        <f>VALUE(MID(C1400,9,3))</f>
        <v>319</v>
      </c>
      <c r="E1400" s="14">
        <f>MONTH(A1400)</f>
        <v>7</v>
      </c>
      <c r="G1400" s="1" t="s">
        <v>210</v>
      </c>
      <c r="H1400" s="1">
        <v>341.07</v>
      </c>
      <c r="I1400" s="1" t="s">
        <v>103</v>
      </c>
      <c r="J1400" s="13">
        <f>VALUE(MID(I1400,1,3))</f>
        <v>227</v>
      </c>
      <c r="K1400" s="13">
        <f>VALUE(MID(G1400,5,2))</f>
        <v>11</v>
      </c>
    </row>
    <row r="1401" spans="1:11">
      <c r="A1401" s="7">
        <v>40004</v>
      </c>
      <c r="B1401" s="1">
        <v>78</v>
      </c>
      <c r="C1401" s="1" t="s">
        <v>11</v>
      </c>
      <c r="D1401" s="13">
        <f>VALUE(MID(C1401,9,3))</f>
        <v>319</v>
      </c>
      <c r="E1401" s="14">
        <f>MONTH(A1401)</f>
        <v>7</v>
      </c>
      <c r="G1401" s="1" t="s">
        <v>210</v>
      </c>
      <c r="H1401" s="1">
        <v>39.24</v>
      </c>
      <c r="I1401" s="1" t="s">
        <v>103</v>
      </c>
      <c r="J1401" s="13">
        <f>VALUE(MID(I1401,1,3))</f>
        <v>227</v>
      </c>
      <c r="K1401" s="13">
        <f>VALUE(MID(G1401,5,2))</f>
        <v>11</v>
      </c>
    </row>
    <row r="1402" spans="1:11">
      <c r="A1402" s="7">
        <v>40066</v>
      </c>
      <c r="B1402" s="1">
        <v>78</v>
      </c>
      <c r="C1402" s="1" t="s">
        <v>11</v>
      </c>
      <c r="D1402" s="13">
        <f>VALUE(MID(C1402,9,3))</f>
        <v>319</v>
      </c>
      <c r="E1402" s="14">
        <f>MONTH(A1402)</f>
        <v>9</v>
      </c>
      <c r="G1402" s="1" t="s">
        <v>210</v>
      </c>
      <c r="H1402" s="1">
        <v>1674.45</v>
      </c>
      <c r="I1402" s="1" t="s">
        <v>78</v>
      </c>
      <c r="J1402" s="13">
        <f>VALUE(MID(I1402,1,3))</f>
        <v>227</v>
      </c>
      <c r="K1402" s="13">
        <f>VALUE(MID(G1402,5,2))</f>
        <v>11</v>
      </c>
    </row>
    <row r="1403" spans="1:11">
      <c r="A1403" s="7">
        <v>40127</v>
      </c>
      <c r="B1403" s="1">
        <v>15337.37</v>
      </c>
      <c r="C1403" s="1" t="s">
        <v>38</v>
      </c>
      <c r="D1403" s="13">
        <f>VALUE(MID(C1403,9,3))</f>
        <v>319</v>
      </c>
      <c r="E1403" s="14">
        <f>MONTH(A1403)</f>
        <v>11</v>
      </c>
      <c r="G1403" s="1" t="s">
        <v>210</v>
      </c>
      <c r="H1403" s="1">
        <v>2609</v>
      </c>
      <c r="I1403" s="1" t="s">
        <v>76</v>
      </c>
      <c r="J1403" s="13">
        <f>VALUE(MID(I1403,1,3))</f>
        <v>227</v>
      </c>
      <c r="K1403" s="13">
        <f>VALUE(MID(G1403,5,2))</f>
        <v>11</v>
      </c>
    </row>
    <row r="1404" spans="1:11">
      <c r="A1404" s="7">
        <v>39883</v>
      </c>
      <c r="B1404" s="1">
        <v>34</v>
      </c>
      <c r="C1404" s="1" t="s">
        <v>32</v>
      </c>
      <c r="D1404" s="13">
        <f>VALUE(MID(C1404,9,3))</f>
        <v>319</v>
      </c>
      <c r="E1404" s="14">
        <f>MONTH(A1404)</f>
        <v>3</v>
      </c>
      <c r="G1404" s="1" t="s">
        <v>210</v>
      </c>
      <c r="H1404" s="1">
        <v>63.2</v>
      </c>
      <c r="I1404" s="1" t="s">
        <v>103</v>
      </c>
      <c r="J1404" s="13">
        <f>VALUE(MID(I1404,1,3))</f>
        <v>227</v>
      </c>
      <c r="K1404" s="13">
        <f>VALUE(MID(G1404,5,2))</f>
        <v>11</v>
      </c>
    </row>
    <row r="1405" spans="1:11">
      <c r="A1405" s="7">
        <v>39883</v>
      </c>
      <c r="B1405" s="1">
        <v>34</v>
      </c>
      <c r="C1405" s="1" t="s">
        <v>32</v>
      </c>
      <c r="D1405" s="13">
        <f>VALUE(MID(C1405,9,3))</f>
        <v>319</v>
      </c>
      <c r="E1405" s="14">
        <f>MONTH(A1405)</f>
        <v>3</v>
      </c>
      <c r="G1405" s="1" t="s">
        <v>210</v>
      </c>
      <c r="H1405" s="1">
        <v>2017.5</v>
      </c>
      <c r="I1405" s="1" t="s">
        <v>110</v>
      </c>
      <c r="J1405" s="13">
        <f>VALUE(MID(I1405,1,3))</f>
        <v>227</v>
      </c>
      <c r="K1405" s="13">
        <f>VALUE(MID(G1405,5,2))</f>
        <v>11</v>
      </c>
    </row>
    <row r="1406" spans="1:11">
      <c r="A1406" s="7">
        <v>39944</v>
      </c>
      <c r="B1406" s="1">
        <v>13</v>
      </c>
      <c r="C1406" s="1" t="s">
        <v>16</v>
      </c>
      <c r="D1406" s="13">
        <f>VALUE(MID(C1406,9,3))</f>
        <v>319</v>
      </c>
      <c r="E1406" s="14">
        <f>MONTH(A1406)</f>
        <v>5</v>
      </c>
      <c r="G1406" s="1" t="s">
        <v>210</v>
      </c>
      <c r="H1406" s="1">
        <v>710</v>
      </c>
      <c r="I1406" s="1" t="s">
        <v>78</v>
      </c>
      <c r="J1406" s="13">
        <f>VALUE(MID(I1406,1,3))</f>
        <v>227</v>
      </c>
      <c r="K1406" s="13">
        <f>VALUE(MID(G1406,5,2))</f>
        <v>11</v>
      </c>
    </row>
    <row r="1407" spans="1:11">
      <c r="A1407" s="7">
        <v>40067</v>
      </c>
      <c r="B1407" s="1">
        <v>78</v>
      </c>
      <c r="C1407" s="1" t="s">
        <v>11</v>
      </c>
      <c r="D1407" s="13">
        <f>VALUE(MID(C1407,9,3))</f>
        <v>319</v>
      </c>
      <c r="E1407" s="14">
        <f>MONTH(A1407)</f>
        <v>9</v>
      </c>
      <c r="G1407" s="1" t="s">
        <v>210</v>
      </c>
      <c r="H1407" s="1">
        <v>475</v>
      </c>
      <c r="I1407" s="1" t="s">
        <v>78</v>
      </c>
      <c r="J1407" s="13">
        <f>VALUE(MID(I1407,1,3))</f>
        <v>227</v>
      </c>
      <c r="K1407" s="13">
        <f>VALUE(MID(G1407,5,2))</f>
        <v>11</v>
      </c>
    </row>
    <row r="1408" spans="1:11">
      <c r="A1408" s="7">
        <v>40067</v>
      </c>
      <c r="B1408" s="1">
        <v>78</v>
      </c>
      <c r="C1408" s="1" t="s">
        <v>11</v>
      </c>
      <c r="D1408" s="13">
        <f>VALUE(MID(C1408,9,3))</f>
        <v>319</v>
      </c>
      <c r="E1408" s="14">
        <f>MONTH(A1408)</f>
        <v>9</v>
      </c>
      <c r="G1408" s="1" t="s">
        <v>210</v>
      </c>
      <c r="H1408" s="1">
        <v>1800</v>
      </c>
      <c r="I1408" s="1" t="s">
        <v>78</v>
      </c>
      <c r="J1408" s="13">
        <f>VALUE(MID(I1408,1,3))</f>
        <v>227</v>
      </c>
      <c r="K1408" s="13">
        <f>VALUE(MID(G1408,5,2))</f>
        <v>11</v>
      </c>
    </row>
    <row r="1409" spans="1:11">
      <c r="A1409" s="7">
        <v>39856</v>
      </c>
      <c r="B1409" s="1">
        <v>568.36</v>
      </c>
      <c r="C1409" s="1" t="s">
        <v>47</v>
      </c>
      <c r="D1409" s="13">
        <f>VALUE(MID(C1409,9,3))</f>
        <v>319</v>
      </c>
      <c r="E1409" s="14">
        <f>MONTH(A1409)</f>
        <v>2</v>
      </c>
      <c r="G1409" s="1" t="s">
        <v>210</v>
      </c>
      <c r="H1409" s="1">
        <v>669.24</v>
      </c>
      <c r="I1409" s="1" t="s">
        <v>98</v>
      </c>
      <c r="J1409" s="13">
        <f>VALUE(MID(I1409,1,3))</f>
        <v>227</v>
      </c>
      <c r="K1409" s="13">
        <f>VALUE(MID(G1409,5,2))</f>
        <v>11</v>
      </c>
    </row>
    <row r="1410" spans="1:11">
      <c r="A1410" s="7">
        <v>40191</v>
      </c>
      <c r="B1410" s="1">
        <v>130</v>
      </c>
      <c r="C1410" s="1" t="s">
        <v>50</v>
      </c>
      <c r="D1410" s="13">
        <f>VALUE(MID(C1410,9,3))</f>
        <v>319</v>
      </c>
      <c r="E1410" s="14">
        <f>MONTH(A1410)</f>
        <v>1</v>
      </c>
      <c r="G1410" s="1" t="s">
        <v>210</v>
      </c>
      <c r="H1410" s="1">
        <v>208.02</v>
      </c>
      <c r="I1410" s="1" t="s">
        <v>110</v>
      </c>
      <c r="J1410" s="13">
        <f>VALUE(MID(I1410,1,3))</f>
        <v>227</v>
      </c>
      <c r="K1410" s="13">
        <f>VALUE(MID(G1410,5,2))</f>
        <v>11</v>
      </c>
    </row>
    <row r="1411" spans="1:11">
      <c r="A1411" s="7">
        <v>40007</v>
      </c>
      <c r="B1411" s="1">
        <v>1301.73</v>
      </c>
      <c r="C1411" s="1" t="s">
        <v>16</v>
      </c>
      <c r="D1411" s="13">
        <f>VALUE(MID(C1411,9,3))</f>
        <v>319</v>
      </c>
      <c r="E1411" s="14">
        <f>MONTH(A1411)</f>
        <v>7</v>
      </c>
      <c r="G1411" s="1" t="s">
        <v>210</v>
      </c>
      <c r="H1411" s="1">
        <v>832.08</v>
      </c>
      <c r="I1411" s="1" t="s">
        <v>110</v>
      </c>
      <c r="J1411" s="13">
        <f>VALUE(MID(I1411,1,3))</f>
        <v>227</v>
      </c>
      <c r="K1411" s="13">
        <f>VALUE(MID(G1411,5,2))</f>
        <v>11</v>
      </c>
    </row>
    <row r="1412" spans="1:11">
      <c r="A1412" s="7">
        <v>40007</v>
      </c>
      <c r="B1412" s="1">
        <v>78</v>
      </c>
      <c r="C1412" s="1" t="s">
        <v>11</v>
      </c>
      <c r="D1412" s="13">
        <f>VALUE(MID(C1412,9,3))</f>
        <v>319</v>
      </c>
      <c r="E1412" s="14">
        <f>MONTH(A1412)</f>
        <v>7</v>
      </c>
      <c r="G1412" s="1" t="s">
        <v>210</v>
      </c>
      <c r="H1412" s="1">
        <v>5.2</v>
      </c>
      <c r="I1412" s="1" t="s">
        <v>98</v>
      </c>
      <c r="J1412" s="13">
        <f>VALUE(MID(I1412,1,3))</f>
        <v>227</v>
      </c>
      <c r="K1412" s="13">
        <f>VALUE(MID(G1412,5,2))</f>
        <v>11</v>
      </c>
    </row>
    <row r="1413" spans="1:11">
      <c r="A1413" s="7">
        <v>40130</v>
      </c>
      <c r="B1413" s="1">
        <v>102</v>
      </c>
      <c r="C1413" s="1" t="s">
        <v>11</v>
      </c>
      <c r="D1413" s="13">
        <f>VALUE(MID(C1413,9,3))</f>
        <v>319</v>
      </c>
      <c r="E1413" s="14">
        <f>MONTH(A1413)</f>
        <v>11</v>
      </c>
      <c r="G1413" s="1" t="s">
        <v>210</v>
      </c>
      <c r="H1413" s="1">
        <v>901.42</v>
      </c>
      <c r="I1413" s="1" t="s">
        <v>76</v>
      </c>
      <c r="J1413" s="13">
        <f>VALUE(MID(I1413,1,3))</f>
        <v>227</v>
      </c>
      <c r="K1413" s="13">
        <f>VALUE(MID(G1413,5,2))</f>
        <v>11</v>
      </c>
    </row>
    <row r="1414" spans="1:11">
      <c r="A1414" s="7">
        <v>40008</v>
      </c>
      <c r="B1414" s="1">
        <v>78</v>
      </c>
      <c r="C1414" s="1" t="s">
        <v>11</v>
      </c>
      <c r="D1414" s="13">
        <f>VALUE(MID(C1414,9,3))</f>
        <v>319</v>
      </c>
      <c r="E1414" s="14">
        <f>MONTH(A1414)</f>
        <v>7</v>
      </c>
      <c r="G1414" s="1" t="s">
        <v>210</v>
      </c>
      <c r="H1414" s="1">
        <v>520</v>
      </c>
      <c r="I1414" s="1" t="s">
        <v>110</v>
      </c>
      <c r="J1414" s="13">
        <f>VALUE(MID(I1414,1,3))</f>
        <v>227</v>
      </c>
      <c r="K1414" s="13">
        <f>VALUE(MID(G1414,5,2))</f>
        <v>11</v>
      </c>
    </row>
    <row r="1415" spans="1:11">
      <c r="A1415" s="7">
        <v>40070</v>
      </c>
      <c r="B1415" s="1">
        <v>78</v>
      </c>
      <c r="C1415" s="1" t="s">
        <v>11</v>
      </c>
      <c r="D1415" s="13">
        <f>VALUE(MID(C1415,9,3))</f>
        <v>319</v>
      </c>
      <c r="E1415" s="14">
        <f>MONTH(A1415)</f>
        <v>9</v>
      </c>
      <c r="G1415" s="1" t="s">
        <v>210</v>
      </c>
      <c r="H1415" s="1">
        <v>216.34</v>
      </c>
      <c r="I1415" s="1" t="s">
        <v>110</v>
      </c>
      <c r="J1415" s="13">
        <f>VALUE(MID(I1415,1,3))</f>
        <v>227</v>
      </c>
      <c r="K1415" s="13">
        <f>VALUE(MID(G1415,5,2))</f>
        <v>11</v>
      </c>
    </row>
    <row r="1416" spans="1:11">
      <c r="A1416" s="7">
        <v>40070</v>
      </c>
      <c r="B1416" s="1">
        <v>78</v>
      </c>
      <c r="C1416" s="1" t="s">
        <v>11</v>
      </c>
      <c r="D1416" s="13">
        <f>VALUE(MID(C1416,9,3))</f>
        <v>319</v>
      </c>
      <c r="E1416" s="14">
        <f>MONTH(A1416)</f>
        <v>9</v>
      </c>
      <c r="G1416" s="1" t="s">
        <v>210</v>
      </c>
      <c r="H1416" s="1">
        <v>1674.4</v>
      </c>
      <c r="I1416" s="1" t="s">
        <v>78</v>
      </c>
      <c r="J1416" s="13">
        <f>VALUE(MID(I1416,1,3))</f>
        <v>227</v>
      </c>
      <c r="K1416" s="13">
        <f>VALUE(MID(G1416,5,2))</f>
        <v>11</v>
      </c>
    </row>
    <row r="1417" spans="1:11">
      <c r="A1417" s="7">
        <v>40070</v>
      </c>
      <c r="B1417" s="1">
        <v>78</v>
      </c>
      <c r="C1417" s="1" t="s">
        <v>11</v>
      </c>
      <c r="D1417" s="13">
        <f>VALUE(MID(C1417,9,3))</f>
        <v>319</v>
      </c>
      <c r="E1417" s="14">
        <f>MONTH(A1417)</f>
        <v>9</v>
      </c>
      <c r="G1417" s="1" t="s">
        <v>210</v>
      </c>
      <c r="H1417" s="1">
        <v>216.34</v>
      </c>
      <c r="I1417" s="1" t="s">
        <v>110</v>
      </c>
      <c r="J1417" s="13">
        <f>VALUE(MID(I1417,1,3))</f>
        <v>227</v>
      </c>
      <c r="K1417" s="13">
        <f>VALUE(MID(G1417,5,2))</f>
        <v>11</v>
      </c>
    </row>
    <row r="1418" spans="1:11">
      <c r="A1418" s="7">
        <v>40161</v>
      </c>
      <c r="B1418" s="1">
        <v>75</v>
      </c>
      <c r="C1418" s="1" t="s">
        <v>24</v>
      </c>
      <c r="D1418" s="13">
        <f>VALUE(MID(C1418,9,3))</f>
        <v>319</v>
      </c>
      <c r="E1418" s="14">
        <f>MONTH(A1418)</f>
        <v>12</v>
      </c>
      <c r="G1418" s="1" t="s">
        <v>211</v>
      </c>
      <c r="H1418" s="1">
        <v>367.02</v>
      </c>
      <c r="I1418" s="1" t="s">
        <v>76</v>
      </c>
      <c r="J1418" s="13">
        <f>VALUE(MID(I1418,1,3))</f>
        <v>227</v>
      </c>
      <c r="K1418" s="13">
        <f>VALUE(MID(G1418,5,2))</f>
        <v>11</v>
      </c>
    </row>
    <row r="1419" spans="1:11">
      <c r="A1419" s="7">
        <v>40009</v>
      </c>
      <c r="B1419" s="1">
        <v>78</v>
      </c>
      <c r="C1419" s="1" t="s">
        <v>11</v>
      </c>
      <c r="D1419" s="13">
        <f>VALUE(MID(C1419,9,3))</f>
        <v>319</v>
      </c>
      <c r="E1419" s="14">
        <f>MONTH(A1419)</f>
        <v>7</v>
      </c>
      <c r="G1419" s="1" t="s">
        <v>211</v>
      </c>
      <c r="H1419" s="1">
        <v>216.34</v>
      </c>
      <c r="I1419" s="1" t="s">
        <v>110</v>
      </c>
      <c r="J1419" s="13">
        <f>VALUE(MID(I1419,1,3))</f>
        <v>227</v>
      </c>
      <c r="K1419" s="13">
        <f>VALUE(MID(G1419,5,2))</f>
        <v>11</v>
      </c>
    </row>
    <row r="1420" spans="1:11">
      <c r="A1420" s="7">
        <v>40009</v>
      </c>
      <c r="B1420" s="1">
        <v>78</v>
      </c>
      <c r="C1420" s="1" t="s">
        <v>11</v>
      </c>
      <c r="D1420" s="13">
        <f>VALUE(MID(C1420,9,3))</f>
        <v>319</v>
      </c>
      <c r="E1420" s="14">
        <f>MONTH(A1420)</f>
        <v>7</v>
      </c>
      <c r="G1420" s="1" t="s">
        <v>212</v>
      </c>
      <c r="H1420" s="1">
        <v>504</v>
      </c>
      <c r="I1420" s="1" t="s">
        <v>76</v>
      </c>
      <c r="J1420" s="13">
        <f>VALUE(MID(I1420,1,3))</f>
        <v>227</v>
      </c>
      <c r="K1420" s="13">
        <f>VALUE(MID(G1420,5,2))</f>
        <v>11</v>
      </c>
    </row>
    <row r="1421" spans="1:11">
      <c r="A1421" s="7">
        <v>40071</v>
      </c>
      <c r="B1421" s="1">
        <v>78</v>
      </c>
      <c r="C1421" s="1" t="s">
        <v>11</v>
      </c>
      <c r="D1421" s="13">
        <f>VALUE(MID(C1421,9,3))</f>
        <v>319</v>
      </c>
      <c r="E1421" s="14">
        <f>MONTH(A1421)</f>
        <v>9</v>
      </c>
      <c r="G1421" s="1" t="s">
        <v>219</v>
      </c>
      <c r="H1421" s="1">
        <v>1500</v>
      </c>
      <c r="I1421" s="1" t="s">
        <v>76</v>
      </c>
      <c r="J1421" s="13">
        <f>VALUE(MID(I1421,1,3))</f>
        <v>227</v>
      </c>
      <c r="K1421" s="13">
        <f>VALUE(MID(G1421,5,2))</f>
        <v>12</v>
      </c>
    </row>
    <row r="1422" spans="1:11">
      <c r="A1422" s="7">
        <v>40071</v>
      </c>
      <c r="B1422" s="1">
        <v>34</v>
      </c>
      <c r="C1422" s="1" t="s">
        <v>44</v>
      </c>
      <c r="D1422" s="13">
        <f>VALUE(MID(C1422,9,3))</f>
        <v>319</v>
      </c>
      <c r="E1422" s="14">
        <f>MONTH(A1422)</f>
        <v>9</v>
      </c>
      <c r="G1422" s="1" t="s">
        <v>219</v>
      </c>
      <c r="H1422" s="1">
        <v>1300</v>
      </c>
      <c r="I1422" s="1" t="s">
        <v>76</v>
      </c>
      <c r="J1422" s="13">
        <f>VALUE(MID(I1422,1,3))</f>
        <v>227</v>
      </c>
      <c r="K1422" s="13">
        <f>VALUE(MID(G1422,5,2))</f>
        <v>12</v>
      </c>
    </row>
    <row r="1423" spans="1:11">
      <c r="A1423" s="7">
        <v>40071</v>
      </c>
      <c r="B1423" s="1">
        <v>34</v>
      </c>
      <c r="C1423" s="1" t="s">
        <v>32</v>
      </c>
      <c r="D1423" s="13">
        <f>VALUE(MID(C1423,9,3))</f>
        <v>319</v>
      </c>
      <c r="E1423" s="14">
        <f>MONTH(A1423)</f>
        <v>9</v>
      </c>
      <c r="G1423" s="1" t="s">
        <v>219</v>
      </c>
      <c r="H1423" s="1">
        <v>3465.04</v>
      </c>
      <c r="I1423" s="1" t="s">
        <v>76</v>
      </c>
      <c r="J1423" s="13">
        <f>VALUE(MID(I1423,1,3))</f>
        <v>227</v>
      </c>
      <c r="K1423" s="13">
        <f>VALUE(MID(G1423,5,2))</f>
        <v>12</v>
      </c>
    </row>
    <row r="1424" spans="1:11">
      <c r="A1424" s="7">
        <v>40101</v>
      </c>
      <c r="B1424" s="1">
        <v>21</v>
      </c>
      <c r="C1424" s="1" t="s">
        <v>11</v>
      </c>
      <c r="D1424" s="13">
        <f>VALUE(MID(C1424,9,3))</f>
        <v>319</v>
      </c>
      <c r="E1424" s="14">
        <f>MONTH(A1424)</f>
        <v>10</v>
      </c>
      <c r="G1424" s="1" t="s">
        <v>219</v>
      </c>
      <c r="H1424" s="1">
        <v>2428.17</v>
      </c>
      <c r="I1424" s="1" t="s">
        <v>76</v>
      </c>
      <c r="J1424" s="13">
        <f>VALUE(MID(I1424,1,3))</f>
        <v>227</v>
      </c>
      <c r="K1424" s="13">
        <f>VALUE(MID(G1424,5,2))</f>
        <v>12</v>
      </c>
    </row>
    <row r="1425" spans="1:11">
      <c r="A1425" s="7">
        <v>40072</v>
      </c>
      <c r="B1425" s="1">
        <v>78</v>
      </c>
      <c r="C1425" s="1" t="s">
        <v>11</v>
      </c>
      <c r="D1425" s="13">
        <f>VALUE(MID(C1425,9,3))</f>
        <v>319</v>
      </c>
      <c r="E1425" s="14">
        <f>MONTH(A1425)</f>
        <v>9</v>
      </c>
      <c r="G1425" s="1" t="s">
        <v>219</v>
      </c>
      <c r="H1425" s="1">
        <v>2712.15</v>
      </c>
      <c r="I1425" s="1" t="s">
        <v>76</v>
      </c>
      <c r="J1425" s="13">
        <f>VALUE(MID(I1425,1,3))</f>
        <v>227</v>
      </c>
      <c r="K1425" s="13">
        <f>VALUE(MID(G1425,5,2))</f>
        <v>12</v>
      </c>
    </row>
    <row r="1426" spans="1:11">
      <c r="A1426" s="7">
        <v>40072</v>
      </c>
      <c r="B1426" s="1">
        <v>78</v>
      </c>
      <c r="C1426" s="1" t="s">
        <v>11</v>
      </c>
      <c r="D1426" s="13">
        <f>VALUE(MID(C1426,9,3))</f>
        <v>319</v>
      </c>
      <c r="E1426" s="14">
        <f>MONTH(A1426)</f>
        <v>9</v>
      </c>
      <c r="G1426" s="1" t="s">
        <v>219</v>
      </c>
      <c r="H1426" s="1">
        <v>208.02</v>
      </c>
      <c r="I1426" s="1" t="s">
        <v>76</v>
      </c>
      <c r="J1426" s="13">
        <f>VALUE(MID(I1426,1,3))</f>
        <v>227</v>
      </c>
      <c r="K1426" s="13">
        <f>VALUE(MID(G1426,5,2))</f>
        <v>12</v>
      </c>
    </row>
    <row r="1427" spans="1:11">
      <c r="A1427" s="7">
        <v>40042</v>
      </c>
      <c r="B1427" s="1">
        <v>296.45999999999998</v>
      </c>
      <c r="C1427" s="1" t="s">
        <v>16</v>
      </c>
      <c r="D1427" s="13">
        <f>VALUE(MID(C1427,9,3))</f>
        <v>319</v>
      </c>
      <c r="E1427" s="14">
        <f>MONTH(A1427)</f>
        <v>8</v>
      </c>
      <c r="G1427" s="1" t="s">
        <v>219</v>
      </c>
      <c r="H1427" s="1">
        <v>416.04</v>
      </c>
      <c r="I1427" s="1" t="s">
        <v>76</v>
      </c>
      <c r="J1427" s="13">
        <f>VALUE(MID(I1427,1,3))</f>
        <v>227</v>
      </c>
      <c r="K1427" s="13">
        <f>VALUE(MID(G1427,5,2))</f>
        <v>12</v>
      </c>
    </row>
    <row r="1428" spans="1:11">
      <c r="A1428" s="7">
        <v>40073</v>
      </c>
      <c r="B1428" s="1">
        <v>78</v>
      </c>
      <c r="C1428" s="1" t="s">
        <v>11</v>
      </c>
      <c r="D1428" s="13">
        <f>VALUE(MID(C1428,9,3))</f>
        <v>319</v>
      </c>
      <c r="E1428" s="14">
        <f>MONTH(A1428)</f>
        <v>9</v>
      </c>
      <c r="G1428" s="1" t="s">
        <v>219</v>
      </c>
      <c r="H1428" s="1">
        <v>1664.16</v>
      </c>
      <c r="I1428" s="1" t="s">
        <v>76</v>
      </c>
      <c r="J1428" s="13">
        <f>VALUE(MID(I1428,1,3))</f>
        <v>227</v>
      </c>
      <c r="K1428" s="13">
        <f>VALUE(MID(G1428,5,2))</f>
        <v>12</v>
      </c>
    </row>
    <row r="1429" spans="1:11">
      <c r="A1429" s="7">
        <v>40073</v>
      </c>
      <c r="B1429" s="1">
        <v>78</v>
      </c>
      <c r="C1429" s="1" t="s">
        <v>11</v>
      </c>
      <c r="D1429" s="13">
        <f>VALUE(MID(C1429,9,3))</f>
        <v>319</v>
      </c>
      <c r="E1429" s="14">
        <f>MONTH(A1429)</f>
        <v>9</v>
      </c>
      <c r="G1429" s="1" t="s">
        <v>219</v>
      </c>
      <c r="H1429" s="1">
        <v>520</v>
      </c>
      <c r="I1429" s="1" t="s">
        <v>76</v>
      </c>
      <c r="J1429" s="13">
        <f>VALUE(MID(I1429,1,3))</f>
        <v>227</v>
      </c>
      <c r="K1429" s="13">
        <f>VALUE(MID(G1429,5,2))</f>
        <v>12</v>
      </c>
    </row>
    <row r="1430" spans="1:11">
      <c r="A1430" s="7">
        <v>40164</v>
      </c>
      <c r="B1430" s="1">
        <v>34</v>
      </c>
      <c r="C1430" s="1" t="s">
        <v>44</v>
      </c>
      <c r="D1430" s="13">
        <f>VALUE(MID(C1430,9,3))</f>
        <v>319</v>
      </c>
      <c r="E1430" s="14">
        <f>MONTH(A1430)</f>
        <v>12</v>
      </c>
      <c r="G1430" s="1" t="s">
        <v>219</v>
      </c>
      <c r="H1430" s="1">
        <v>1406.21</v>
      </c>
      <c r="I1430" s="1" t="s">
        <v>110</v>
      </c>
      <c r="J1430" s="13">
        <f>VALUE(MID(I1430,1,3))</f>
        <v>227</v>
      </c>
      <c r="K1430" s="13">
        <f>VALUE(MID(G1430,5,2))</f>
        <v>12</v>
      </c>
    </row>
    <row r="1431" spans="1:11">
      <c r="A1431" s="7">
        <v>39862</v>
      </c>
      <c r="B1431" s="1">
        <v>0.6</v>
      </c>
      <c r="C1431" s="1" t="s">
        <v>16</v>
      </c>
      <c r="D1431" s="13">
        <f>VALUE(MID(C1431,9,3))</f>
        <v>319</v>
      </c>
      <c r="E1431" s="14">
        <f>MONTH(A1431)</f>
        <v>2</v>
      </c>
      <c r="G1431" s="1" t="s">
        <v>219</v>
      </c>
      <c r="H1431" s="1">
        <v>1064.06</v>
      </c>
      <c r="I1431" s="1" t="s">
        <v>76</v>
      </c>
      <c r="J1431" s="13">
        <f>VALUE(MID(I1431,1,3))</f>
        <v>227</v>
      </c>
      <c r="K1431" s="13">
        <f>VALUE(MID(G1431,5,2))</f>
        <v>12</v>
      </c>
    </row>
    <row r="1432" spans="1:11">
      <c r="A1432" s="7">
        <v>40074</v>
      </c>
      <c r="B1432" s="1">
        <v>78</v>
      </c>
      <c r="C1432" s="1" t="s">
        <v>11</v>
      </c>
      <c r="D1432" s="13">
        <f>VALUE(MID(C1432,9,3))</f>
        <v>319</v>
      </c>
      <c r="E1432" s="14">
        <f>MONTH(A1432)</f>
        <v>9</v>
      </c>
      <c r="G1432" s="1" t="s">
        <v>219</v>
      </c>
      <c r="H1432" s="1">
        <v>856</v>
      </c>
      <c r="I1432" s="1" t="s">
        <v>76</v>
      </c>
      <c r="J1432" s="13">
        <f>VALUE(MID(I1432,1,3))</f>
        <v>227</v>
      </c>
      <c r="K1432" s="13">
        <f>VALUE(MID(G1432,5,2))</f>
        <v>12</v>
      </c>
    </row>
    <row r="1433" spans="1:11">
      <c r="A1433" s="7">
        <v>40135</v>
      </c>
      <c r="B1433" s="1">
        <v>34</v>
      </c>
      <c r="C1433" s="1" t="s">
        <v>32</v>
      </c>
      <c r="D1433" s="13">
        <f>VALUE(MID(C1433,9,3))</f>
        <v>319</v>
      </c>
      <c r="E1433" s="14">
        <f>MONTH(A1433)</f>
        <v>11</v>
      </c>
      <c r="G1433" s="1" t="s">
        <v>219</v>
      </c>
      <c r="H1433" s="1">
        <v>456</v>
      </c>
      <c r="I1433" s="1" t="s">
        <v>76</v>
      </c>
      <c r="J1433" s="13">
        <f>VALUE(MID(I1433,1,3))</f>
        <v>227</v>
      </c>
      <c r="K1433" s="13">
        <f>VALUE(MID(G1433,5,2))</f>
        <v>12</v>
      </c>
    </row>
    <row r="1434" spans="1:11">
      <c r="A1434" s="7">
        <v>40044</v>
      </c>
      <c r="B1434" s="1">
        <v>9</v>
      </c>
      <c r="C1434" s="1" t="s">
        <v>16</v>
      </c>
      <c r="D1434" s="13">
        <f>VALUE(MID(C1434,9,3))</f>
        <v>319</v>
      </c>
      <c r="E1434" s="14">
        <f>MONTH(A1434)</f>
        <v>8</v>
      </c>
      <c r="G1434" s="1" t="s">
        <v>219</v>
      </c>
      <c r="H1434" s="1">
        <v>1596.09</v>
      </c>
      <c r="I1434" s="1" t="s">
        <v>76</v>
      </c>
      <c r="J1434" s="13">
        <f>VALUE(MID(I1434,1,3))</f>
        <v>227</v>
      </c>
      <c r="K1434" s="13">
        <f>VALUE(MID(G1434,5,2))</f>
        <v>12</v>
      </c>
    </row>
    <row r="1435" spans="1:11">
      <c r="A1435" s="7">
        <v>40105</v>
      </c>
      <c r="B1435" s="1">
        <v>39</v>
      </c>
      <c r="C1435" s="1" t="s">
        <v>11</v>
      </c>
      <c r="D1435" s="13">
        <f>VALUE(MID(C1435,9,3))</f>
        <v>319</v>
      </c>
      <c r="E1435" s="14">
        <f>MONTH(A1435)</f>
        <v>10</v>
      </c>
      <c r="G1435" s="1" t="s">
        <v>219</v>
      </c>
      <c r="H1435" s="1">
        <v>1372.39</v>
      </c>
      <c r="I1435" s="1" t="s">
        <v>110</v>
      </c>
      <c r="J1435" s="13">
        <f>VALUE(MID(I1435,1,3))</f>
        <v>227</v>
      </c>
      <c r="K1435" s="13">
        <f>VALUE(MID(G1435,5,2))</f>
        <v>12</v>
      </c>
    </row>
    <row r="1436" spans="1:11">
      <c r="A1436" s="7">
        <v>40105</v>
      </c>
      <c r="B1436" s="1">
        <v>-34</v>
      </c>
      <c r="C1436" s="1" t="s">
        <v>44</v>
      </c>
      <c r="D1436" s="13">
        <f>VALUE(MID(C1436,9,3))</f>
        <v>319</v>
      </c>
      <c r="E1436" s="14">
        <f>MONTH(A1436)</f>
        <v>10</v>
      </c>
      <c r="G1436" s="1" t="s">
        <v>219</v>
      </c>
      <c r="H1436" s="1">
        <v>3115.98</v>
      </c>
      <c r="I1436" s="1" t="s">
        <v>101</v>
      </c>
      <c r="J1436" s="13">
        <f>VALUE(MID(I1436,1,3))</f>
        <v>227</v>
      </c>
      <c r="K1436" s="13">
        <f>VALUE(MID(G1436,5,2))</f>
        <v>12</v>
      </c>
    </row>
    <row r="1437" spans="1:11">
      <c r="A1437" s="7">
        <v>40105</v>
      </c>
      <c r="B1437" s="1">
        <v>-34</v>
      </c>
      <c r="C1437" s="1" t="s">
        <v>32</v>
      </c>
      <c r="D1437" s="13">
        <f>VALUE(MID(C1437,9,3))</f>
        <v>319</v>
      </c>
      <c r="E1437" s="14">
        <f>MONTH(A1437)</f>
        <v>10</v>
      </c>
      <c r="G1437" s="1" t="s">
        <v>219</v>
      </c>
      <c r="H1437" s="1">
        <v>1740</v>
      </c>
      <c r="I1437" s="1" t="s">
        <v>98</v>
      </c>
      <c r="J1437" s="13">
        <f>VALUE(MID(I1437,1,3))</f>
        <v>227</v>
      </c>
      <c r="K1437" s="13">
        <f>VALUE(MID(G1437,5,2))</f>
        <v>12</v>
      </c>
    </row>
    <row r="1438" spans="1:11">
      <c r="A1438" s="7">
        <v>40014</v>
      </c>
      <c r="B1438" s="1">
        <v>116</v>
      </c>
      <c r="C1438" s="1" t="s">
        <v>16</v>
      </c>
      <c r="D1438" s="13">
        <f>VALUE(MID(C1438,9,3))</f>
        <v>319</v>
      </c>
      <c r="E1438" s="14">
        <f>MONTH(A1438)</f>
        <v>7</v>
      </c>
      <c r="G1438" s="1" t="s">
        <v>219</v>
      </c>
      <c r="H1438" s="1">
        <v>341.07</v>
      </c>
      <c r="I1438" s="1" t="s">
        <v>103</v>
      </c>
      <c r="J1438" s="13">
        <f>VALUE(MID(I1438,1,3))</f>
        <v>227</v>
      </c>
      <c r="K1438" s="13">
        <f>VALUE(MID(G1438,5,2))</f>
        <v>12</v>
      </c>
    </row>
    <row r="1439" spans="1:11">
      <c r="A1439" s="7">
        <v>40014</v>
      </c>
      <c r="B1439" s="1">
        <v>102</v>
      </c>
      <c r="C1439" s="1" t="s">
        <v>11</v>
      </c>
      <c r="D1439" s="13">
        <f>VALUE(MID(C1439,9,3))</f>
        <v>319</v>
      </c>
      <c r="E1439" s="14">
        <f>MONTH(A1439)</f>
        <v>7</v>
      </c>
      <c r="G1439" s="1" t="s">
        <v>219</v>
      </c>
      <c r="H1439" s="1">
        <v>39.24</v>
      </c>
      <c r="I1439" s="1" t="s">
        <v>103</v>
      </c>
      <c r="J1439" s="13">
        <f>VALUE(MID(I1439,1,3))</f>
        <v>227</v>
      </c>
      <c r="K1439" s="13">
        <f>VALUE(MID(G1439,5,2))</f>
        <v>12</v>
      </c>
    </row>
    <row r="1440" spans="1:11">
      <c r="A1440" s="7">
        <v>40045</v>
      </c>
      <c r="B1440" s="1">
        <v>78</v>
      </c>
      <c r="C1440" s="1" t="s">
        <v>11</v>
      </c>
      <c r="D1440" s="13">
        <f>VALUE(MID(C1440,9,3))</f>
        <v>319</v>
      </c>
      <c r="E1440" s="14">
        <f>MONTH(A1440)</f>
        <v>8</v>
      </c>
      <c r="G1440" s="1" t="s">
        <v>219</v>
      </c>
      <c r="H1440" s="1">
        <v>428.02</v>
      </c>
      <c r="I1440" s="1" t="s">
        <v>76</v>
      </c>
      <c r="J1440" s="13">
        <f>VALUE(MID(I1440,1,3))</f>
        <v>227</v>
      </c>
      <c r="K1440" s="13">
        <f>VALUE(MID(G1440,5,2))</f>
        <v>12</v>
      </c>
    </row>
    <row r="1441" spans="1:11">
      <c r="A1441" s="7">
        <v>40199</v>
      </c>
      <c r="B1441" s="1">
        <v>5</v>
      </c>
      <c r="C1441" s="1" t="s">
        <v>50</v>
      </c>
      <c r="D1441" s="13">
        <f>VALUE(MID(C1441,9,3))</f>
        <v>319</v>
      </c>
      <c r="E1441" s="14">
        <f>MONTH(A1441)</f>
        <v>1</v>
      </c>
      <c r="G1441" s="1" t="s">
        <v>219</v>
      </c>
      <c r="H1441" s="1">
        <v>2271.5700000000002</v>
      </c>
      <c r="I1441" s="1" t="s">
        <v>110</v>
      </c>
      <c r="J1441" s="13">
        <f>VALUE(MID(I1441,1,3))</f>
        <v>227</v>
      </c>
      <c r="K1441" s="13">
        <f>VALUE(MID(G1441,5,2))</f>
        <v>12</v>
      </c>
    </row>
    <row r="1442" spans="1:11">
      <c r="A1442" s="7">
        <v>40077</v>
      </c>
      <c r="B1442" s="1">
        <v>78</v>
      </c>
      <c r="C1442" s="1" t="s">
        <v>11</v>
      </c>
      <c r="D1442" s="13">
        <f>VALUE(MID(C1442,9,3))</f>
        <v>319</v>
      </c>
      <c r="E1442" s="14">
        <f>MONTH(A1442)</f>
        <v>9</v>
      </c>
      <c r="G1442" s="1" t="s">
        <v>219</v>
      </c>
      <c r="H1442" s="1">
        <v>63.2</v>
      </c>
      <c r="I1442" s="1" t="s">
        <v>103</v>
      </c>
      <c r="J1442" s="13">
        <f>VALUE(MID(I1442,1,3))</f>
        <v>227</v>
      </c>
      <c r="K1442" s="13">
        <f>VALUE(MID(G1442,5,2))</f>
        <v>12</v>
      </c>
    </row>
    <row r="1443" spans="1:11">
      <c r="A1443" s="7">
        <v>39925</v>
      </c>
      <c r="B1443" s="1">
        <v>104.96</v>
      </c>
      <c r="C1443" s="1" t="s">
        <v>16</v>
      </c>
      <c r="D1443" s="13">
        <f>VALUE(MID(C1443,9,3))</f>
        <v>319</v>
      </c>
      <c r="E1443" s="14">
        <f>MONTH(A1443)</f>
        <v>4</v>
      </c>
      <c r="G1443" s="1" t="s">
        <v>219</v>
      </c>
      <c r="H1443" s="1">
        <v>3660</v>
      </c>
      <c r="I1443" s="1" t="s">
        <v>110</v>
      </c>
      <c r="J1443" s="13">
        <f>VALUE(MID(I1443,1,3))</f>
        <v>227</v>
      </c>
      <c r="K1443" s="13">
        <f>VALUE(MID(G1443,5,2))</f>
        <v>12</v>
      </c>
    </row>
    <row r="1444" spans="1:11">
      <c r="A1444" s="7">
        <v>40016</v>
      </c>
      <c r="B1444" s="1">
        <v>38.4</v>
      </c>
      <c r="C1444" s="1" t="s">
        <v>16</v>
      </c>
      <c r="D1444" s="13">
        <f>VALUE(MID(C1444,9,3))</f>
        <v>319</v>
      </c>
      <c r="E1444" s="14">
        <f>MONTH(A1444)</f>
        <v>7</v>
      </c>
      <c r="G1444" s="1" t="s">
        <v>219</v>
      </c>
      <c r="H1444" s="1">
        <v>475</v>
      </c>
      <c r="I1444" s="1" t="s">
        <v>78</v>
      </c>
      <c r="J1444" s="13">
        <f>VALUE(MID(I1444,1,3))</f>
        <v>227</v>
      </c>
      <c r="K1444" s="13">
        <f>VALUE(MID(G1444,5,2))</f>
        <v>12</v>
      </c>
    </row>
    <row r="1445" spans="1:11">
      <c r="A1445" s="7">
        <v>40078</v>
      </c>
      <c r="B1445" s="1">
        <v>78</v>
      </c>
      <c r="C1445" s="1" t="s">
        <v>11</v>
      </c>
      <c r="D1445" s="13">
        <f>VALUE(MID(C1445,9,3))</f>
        <v>319</v>
      </c>
      <c r="E1445" s="14">
        <f>MONTH(A1445)</f>
        <v>9</v>
      </c>
      <c r="G1445" s="1" t="s">
        <v>219</v>
      </c>
      <c r="H1445" s="1">
        <v>669.24</v>
      </c>
      <c r="I1445" s="1" t="s">
        <v>98</v>
      </c>
      <c r="J1445" s="13">
        <f>VALUE(MID(I1445,1,3))</f>
        <v>227</v>
      </c>
      <c r="K1445" s="13">
        <f>VALUE(MID(G1445,5,2))</f>
        <v>12</v>
      </c>
    </row>
    <row r="1446" spans="1:11">
      <c r="A1446" s="7">
        <v>40079</v>
      </c>
      <c r="B1446" s="1">
        <v>78</v>
      </c>
      <c r="C1446" s="1" t="s">
        <v>11</v>
      </c>
      <c r="D1446" s="13">
        <f>VALUE(MID(C1446,9,3))</f>
        <v>319</v>
      </c>
      <c r="E1446" s="14">
        <f>MONTH(A1446)</f>
        <v>9</v>
      </c>
      <c r="G1446" s="1" t="s">
        <v>219</v>
      </c>
      <c r="H1446" s="1">
        <v>1352.13</v>
      </c>
      <c r="I1446" s="1" t="s">
        <v>76</v>
      </c>
      <c r="J1446" s="13">
        <f>VALUE(MID(I1446,1,3))</f>
        <v>227</v>
      </c>
      <c r="K1446" s="13">
        <f>VALUE(MID(G1446,5,2))</f>
        <v>12</v>
      </c>
    </row>
    <row r="1447" spans="1:11">
      <c r="A1447" s="7">
        <v>39868</v>
      </c>
      <c r="B1447" s="1">
        <v>208</v>
      </c>
      <c r="C1447" s="1" t="s">
        <v>16</v>
      </c>
      <c r="D1447" s="13">
        <f>VALUE(MID(C1447,9,3))</f>
        <v>319</v>
      </c>
      <c r="E1447" s="14">
        <f>MONTH(A1447)</f>
        <v>2</v>
      </c>
      <c r="G1447" s="1" t="s">
        <v>219</v>
      </c>
      <c r="H1447" s="1">
        <v>1040.0999999999999</v>
      </c>
      <c r="I1447" s="1" t="s">
        <v>110</v>
      </c>
      <c r="J1447" s="13">
        <f>VALUE(MID(I1447,1,3))</f>
        <v>227</v>
      </c>
      <c r="K1447" s="13">
        <f>VALUE(MID(G1447,5,2))</f>
        <v>12</v>
      </c>
    </row>
    <row r="1448" spans="1:11">
      <c r="A1448" s="7">
        <v>40080</v>
      </c>
      <c r="B1448" s="1">
        <v>34</v>
      </c>
      <c r="C1448" s="1" t="s">
        <v>44</v>
      </c>
      <c r="D1448" s="13">
        <f>VALUE(MID(C1448,9,3))</f>
        <v>319</v>
      </c>
      <c r="E1448" s="14">
        <f>MONTH(A1448)</f>
        <v>9</v>
      </c>
      <c r="G1448" s="1" t="s">
        <v>219</v>
      </c>
      <c r="H1448" s="1">
        <v>1040.0999999999999</v>
      </c>
      <c r="I1448" s="1" t="s">
        <v>76</v>
      </c>
      <c r="J1448" s="13">
        <f>VALUE(MID(I1448,1,3))</f>
        <v>227</v>
      </c>
      <c r="K1448" s="13">
        <f>VALUE(MID(G1448,5,2))</f>
        <v>12</v>
      </c>
    </row>
    <row r="1449" spans="1:11">
      <c r="A1449" s="7">
        <v>40080</v>
      </c>
      <c r="B1449" s="1">
        <v>34</v>
      </c>
      <c r="C1449" s="1" t="s">
        <v>32</v>
      </c>
      <c r="D1449" s="13">
        <f>VALUE(MID(C1449,9,3))</f>
        <v>319</v>
      </c>
      <c r="E1449" s="14">
        <f>MONTH(A1449)</f>
        <v>9</v>
      </c>
      <c r="G1449" s="1" t="s">
        <v>219</v>
      </c>
      <c r="H1449" s="1">
        <v>317.72000000000003</v>
      </c>
      <c r="I1449" s="1" t="s">
        <v>98</v>
      </c>
      <c r="J1449" s="13">
        <f>VALUE(MID(I1449,1,3))</f>
        <v>227</v>
      </c>
      <c r="K1449" s="13">
        <f>VALUE(MID(G1449,5,2))</f>
        <v>12</v>
      </c>
    </row>
    <row r="1450" spans="1:11">
      <c r="A1450" s="7">
        <v>40080</v>
      </c>
      <c r="B1450" s="1">
        <v>34</v>
      </c>
      <c r="C1450" s="1" t="s">
        <v>32</v>
      </c>
      <c r="D1450" s="13">
        <f>VALUE(MID(C1450,9,3))</f>
        <v>319</v>
      </c>
      <c r="E1450" s="14">
        <f>MONTH(A1450)</f>
        <v>9</v>
      </c>
      <c r="G1450" s="1" t="s">
        <v>219</v>
      </c>
      <c r="H1450" s="1">
        <v>312</v>
      </c>
      <c r="I1450" s="1" t="s">
        <v>110</v>
      </c>
      <c r="J1450" s="13">
        <f>VALUE(MID(I1450,1,3))</f>
        <v>227</v>
      </c>
      <c r="K1450" s="13">
        <f>VALUE(MID(G1450,5,2))</f>
        <v>12</v>
      </c>
    </row>
    <row r="1451" spans="1:11">
      <c r="A1451" s="7">
        <v>40080</v>
      </c>
      <c r="B1451" s="1">
        <v>34</v>
      </c>
      <c r="C1451" s="1" t="s">
        <v>32</v>
      </c>
      <c r="D1451" s="13">
        <f>VALUE(MID(C1451,9,3))</f>
        <v>319</v>
      </c>
      <c r="E1451" s="14">
        <f>MONTH(A1451)</f>
        <v>9</v>
      </c>
      <c r="G1451" s="1" t="s">
        <v>219</v>
      </c>
      <c r="H1451" s="1">
        <v>649.02</v>
      </c>
      <c r="I1451" s="1" t="s">
        <v>110</v>
      </c>
      <c r="J1451" s="13">
        <f>VALUE(MID(I1451,1,3))</f>
        <v>227</v>
      </c>
      <c r="K1451" s="13">
        <f>VALUE(MID(G1451,5,2))</f>
        <v>12</v>
      </c>
    </row>
    <row r="1452" spans="1:11">
      <c r="A1452" s="7">
        <v>40141</v>
      </c>
      <c r="B1452" s="1">
        <v>34</v>
      </c>
      <c r="C1452" s="1" t="s">
        <v>32</v>
      </c>
      <c r="D1452" s="13">
        <f>VALUE(MID(C1452,9,3))</f>
        <v>319</v>
      </c>
      <c r="E1452" s="14">
        <f>MONTH(A1452)</f>
        <v>11</v>
      </c>
      <c r="G1452" s="1" t="s">
        <v>219</v>
      </c>
      <c r="H1452" s="1">
        <v>757.19</v>
      </c>
      <c r="I1452" s="1" t="s">
        <v>110</v>
      </c>
      <c r="J1452" s="13">
        <f>VALUE(MID(I1452,1,3))</f>
        <v>227</v>
      </c>
      <c r="K1452" s="13">
        <f>VALUE(MID(G1452,5,2))</f>
        <v>12</v>
      </c>
    </row>
    <row r="1453" spans="1:11">
      <c r="A1453" s="7">
        <v>40081</v>
      </c>
      <c r="B1453" s="1">
        <v>34</v>
      </c>
      <c r="C1453" s="1" t="s">
        <v>32</v>
      </c>
      <c r="D1453" s="13">
        <f>VALUE(MID(C1453,9,3))</f>
        <v>319</v>
      </c>
      <c r="E1453" s="14">
        <f>MONTH(A1453)</f>
        <v>9</v>
      </c>
      <c r="G1453" s="1" t="s">
        <v>219</v>
      </c>
      <c r="H1453" s="1">
        <v>119.34</v>
      </c>
      <c r="I1453" s="1" t="s">
        <v>110</v>
      </c>
      <c r="J1453" s="13">
        <f>VALUE(MID(I1453,1,3))</f>
        <v>227</v>
      </c>
      <c r="K1453" s="13">
        <f>VALUE(MID(G1453,5,2))</f>
        <v>12</v>
      </c>
    </row>
    <row r="1454" spans="1:11">
      <c r="A1454" s="7">
        <v>40081</v>
      </c>
      <c r="B1454" s="1">
        <v>34</v>
      </c>
      <c r="C1454" s="1" t="s">
        <v>32</v>
      </c>
      <c r="D1454" s="13">
        <f>VALUE(MID(C1454,9,3))</f>
        <v>319</v>
      </c>
      <c r="E1454" s="14">
        <f>MONTH(A1454)</f>
        <v>9</v>
      </c>
      <c r="G1454" s="1" t="s">
        <v>223</v>
      </c>
      <c r="H1454" s="1">
        <v>52</v>
      </c>
      <c r="I1454" s="1" t="s">
        <v>76</v>
      </c>
      <c r="J1454" s="13">
        <f>VALUE(MID(I1454,1,3))</f>
        <v>227</v>
      </c>
      <c r="K1454" s="13">
        <f>VALUE(MID(G1454,5,2))</f>
        <v>12</v>
      </c>
    </row>
    <row r="1455" spans="1:11">
      <c r="A1455" s="7">
        <v>39870</v>
      </c>
      <c r="B1455" s="1">
        <v>1062</v>
      </c>
      <c r="C1455" s="1" t="s">
        <v>16</v>
      </c>
      <c r="D1455" s="13">
        <f>VALUE(MID(C1455,9,3))</f>
        <v>319</v>
      </c>
      <c r="E1455" s="14">
        <f>MONTH(A1455)</f>
        <v>2</v>
      </c>
      <c r="G1455" s="1" t="s">
        <v>223</v>
      </c>
      <c r="H1455" s="1">
        <v>29.12</v>
      </c>
      <c r="I1455" s="1" t="s">
        <v>76</v>
      </c>
      <c r="J1455" s="13">
        <f>VALUE(MID(I1455,1,3))</f>
        <v>227</v>
      </c>
      <c r="K1455" s="13">
        <f>VALUE(MID(G1455,5,2))</f>
        <v>12</v>
      </c>
    </row>
    <row r="1456" spans="1:11">
      <c r="A1456" s="7">
        <v>39870</v>
      </c>
      <c r="B1456" s="1">
        <v>26.24</v>
      </c>
      <c r="C1456" s="1" t="s">
        <v>16</v>
      </c>
      <c r="D1456" s="13">
        <f>VALUE(MID(C1456,9,3))</f>
        <v>319</v>
      </c>
      <c r="E1456" s="14">
        <f>MONTH(A1456)</f>
        <v>2</v>
      </c>
      <c r="G1456" s="1" t="s">
        <v>223</v>
      </c>
      <c r="H1456" s="1">
        <v>71.69</v>
      </c>
      <c r="I1456" s="1" t="s">
        <v>76</v>
      </c>
      <c r="J1456" s="13">
        <f>VALUE(MID(I1456,1,3))</f>
        <v>227</v>
      </c>
      <c r="K1456" s="13">
        <f>VALUE(MID(G1456,5,2))</f>
        <v>12</v>
      </c>
    </row>
    <row r="1457" spans="1:11">
      <c r="A1457" s="7">
        <v>39871</v>
      </c>
      <c r="B1457" s="1">
        <v>85.4</v>
      </c>
      <c r="C1457" s="1" t="s">
        <v>16</v>
      </c>
      <c r="D1457" s="13">
        <f>VALUE(MID(C1457,9,3))</f>
        <v>319</v>
      </c>
      <c r="E1457" s="14">
        <f>MONTH(A1457)</f>
        <v>2</v>
      </c>
      <c r="G1457" s="1" t="s">
        <v>223</v>
      </c>
      <c r="H1457" s="1">
        <v>21.12</v>
      </c>
      <c r="I1457" s="1" t="s">
        <v>76</v>
      </c>
      <c r="J1457" s="13">
        <f>VALUE(MID(I1457,1,3))</f>
        <v>227</v>
      </c>
      <c r="K1457" s="13">
        <f>VALUE(MID(G1457,5,2))</f>
        <v>12</v>
      </c>
    </row>
    <row r="1458" spans="1:11">
      <c r="A1458" s="7">
        <v>39899</v>
      </c>
      <c r="B1458" s="1">
        <v>34</v>
      </c>
      <c r="C1458" s="1" t="s">
        <v>32</v>
      </c>
      <c r="D1458" s="13">
        <f>VALUE(MID(C1458,9,3))</f>
        <v>319</v>
      </c>
      <c r="E1458" s="14">
        <f>MONTH(A1458)</f>
        <v>3</v>
      </c>
      <c r="G1458" s="1" t="s">
        <v>223</v>
      </c>
      <c r="H1458" s="1">
        <v>146.63999999999999</v>
      </c>
      <c r="I1458" s="1" t="s">
        <v>76</v>
      </c>
      <c r="J1458" s="13">
        <f>VALUE(MID(I1458,1,3))</f>
        <v>227</v>
      </c>
      <c r="K1458" s="13">
        <f>VALUE(MID(G1458,5,2))</f>
        <v>12</v>
      </c>
    </row>
    <row r="1459" spans="1:11">
      <c r="A1459" s="7">
        <v>40144</v>
      </c>
      <c r="B1459" s="1">
        <v>102</v>
      </c>
      <c r="C1459" s="1" t="s">
        <v>11</v>
      </c>
      <c r="D1459" s="13">
        <f>VALUE(MID(C1459,9,3))</f>
        <v>319</v>
      </c>
      <c r="E1459" s="14">
        <f>MONTH(A1459)</f>
        <v>11</v>
      </c>
      <c r="G1459" s="1" t="s">
        <v>223</v>
      </c>
      <c r="H1459" s="1">
        <v>8</v>
      </c>
      <c r="I1459" s="1" t="s">
        <v>76</v>
      </c>
      <c r="J1459" s="13">
        <f>VALUE(MID(I1459,1,3))</f>
        <v>227</v>
      </c>
      <c r="K1459" s="13">
        <f>VALUE(MID(G1459,5,2))</f>
        <v>12</v>
      </c>
    </row>
    <row r="1460" spans="1:11">
      <c r="A1460" s="7">
        <v>40084</v>
      </c>
      <c r="B1460" s="1">
        <v>34</v>
      </c>
      <c r="C1460" s="1" t="s">
        <v>32</v>
      </c>
      <c r="D1460" s="13">
        <f>VALUE(MID(C1460,9,3))</f>
        <v>319</v>
      </c>
      <c r="E1460" s="14">
        <f>MONTH(A1460)</f>
        <v>9</v>
      </c>
      <c r="G1460" s="1" t="s">
        <v>223</v>
      </c>
      <c r="H1460" s="1">
        <v>14</v>
      </c>
      <c r="I1460" s="1" t="s">
        <v>76</v>
      </c>
      <c r="J1460" s="13">
        <f>VALUE(MID(I1460,1,3))</f>
        <v>227</v>
      </c>
      <c r="K1460" s="13">
        <f>VALUE(MID(G1460,5,2))</f>
        <v>12</v>
      </c>
    </row>
    <row r="1461" spans="1:11">
      <c r="A1461" s="7">
        <v>40084</v>
      </c>
      <c r="B1461" s="1">
        <v>34</v>
      </c>
      <c r="C1461" s="1" t="s">
        <v>32</v>
      </c>
      <c r="D1461" s="13">
        <f>VALUE(MID(C1461,9,3))</f>
        <v>319</v>
      </c>
      <c r="E1461" s="14">
        <f>MONTH(A1461)</f>
        <v>9</v>
      </c>
      <c r="G1461" s="1" t="s">
        <v>223</v>
      </c>
      <c r="H1461" s="1">
        <v>12.8</v>
      </c>
      <c r="I1461" s="1" t="s">
        <v>76</v>
      </c>
      <c r="J1461" s="13">
        <f>VALUE(MID(I1461,1,3))</f>
        <v>227</v>
      </c>
      <c r="K1461" s="13">
        <f>VALUE(MID(G1461,5,2))</f>
        <v>12</v>
      </c>
    </row>
    <row r="1462" spans="1:11">
      <c r="A1462" s="7">
        <v>40084</v>
      </c>
      <c r="B1462" s="1">
        <v>34</v>
      </c>
      <c r="C1462" s="1" t="s">
        <v>32</v>
      </c>
      <c r="D1462" s="13">
        <f>VALUE(MID(C1462,9,3))</f>
        <v>319</v>
      </c>
      <c r="E1462" s="14">
        <f>MONTH(A1462)</f>
        <v>9</v>
      </c>
      <c r="G1462" s="1" t="s">
        <v>223</v>
      </c>
      <c r="H1462" s="1">
        <v>16</v>
      </c>
      <c r="I1462" s="1" t="s">
        <v>76</v>
      </c>
      <c r="J1462" s="13">
        <f>VALUE(MID(I1462,1,3))</f>
        <v>227</v>
      </c>
      <c r="K1462" s="13">
        <f>VALUE(MID(G1462,5,2))</f>
        <v>12</v>
      </c>
    </row>
    <row r="1463" spans="1:11">
      <c r="A1463" s="7">
        <v>40084</v>
      </c>
      <c r="B1463" s="1">
        <v>34</v>
      </c>
      <c r="C1463" s="1" t="s">
        <v>32</v>
      </c>
      <c r="D1463" s="13">
        <f>VALUE(MID(C1463,9,3))</f>
        <v>319</v>
      </c>
      <c r="E1463" s="14">
        <f>MONTH(A1463)</f>
        <v>9</v>
      </c>
      <c r="G1463" s="1" t="s">
        <v>223</v>
      </c>
      <c r="H1463" s="1">
        <v>19.2</v>
      </c>
      <c r="I1463" s="1" t="s">
        <v>76</v>
      </c>
      <c r="J1463" s="13">
        <f>VALUE(MID(I1463,1,3))</f>
        <v>227</v>
      </c>
      <c r="K1463" s="13">
        <f>VALUE(MID(G1463,5,2))</f>
        <v>12</v>
      </c>
    </row>
    <row r="1464" spans="1:11">
      <c r="A1464" s="7">
        <v>39962</v>
      </c>
      <c r="B1464" s="1">
        <v>109.9</v>
      </c>
      <c r="C1464" s="1" t="s">
        <v>16</v>
      </c>
      <c r="D1464" s="13">
        <f>VALUE(MID(C1464,9,3))</f>
        <v>319</v>
      </c>
      <c r="E1464" s="14">
        <f>MONTH(A1464)</f>
        <v>5</v>
      </c>
      <c r="G1464" s="1" t="s">
        <v>223</v>
      </c>
      <c r="H1464" s="1">
        <v>32.1</v>
      </c>
      <c r="I1464" s="1" t="s">
        <v>76</v>
      </c>
      <c r="J1464" s="13">
        <f>VALUE(MID(I1464,1,3))</f>
        <v>227</v>
      </c>
      <c r="K1464" s="13">
        <f>VALUE(MID(G1464,5,2))</f>
        <v>12</v>
      </c>
    </row>
    <row r="1465" spans="1:11">
      <c r="A1465" s="7">
        <v>40085</v>
      </c>
      <c r="B1465" s="1">
        <v>116</v>
      </c>
      <c r="C1465" s="1" t="s">
        <v>16</v>
      </c>
      <c r="D1465" s="13">
        <f>VALUE(MID(C1465,9,3))</f>
        <v>319</v>
      </c>
      <c r="E1465" s="14">
        <f>MONTH(A1465)</f>
        <v>9</v>
      </c>
      <c r="G1465" s="1" t="s">
        <v>223</v>
      </c>
      <c r="H1465" s="1">
        <v>34.24</v>
      </c>
      <c r="I1465" s="1" t="s">
        <v>76</v>
      </c>
      <c r="J1465" s="13">
        <f>VALUE(MID(I1465,1,3))</f>
        <v>227</v>
      </c>
      <c r="K1465" s="13">
        <f>VALUE(MID(G1465,5,2))</f>
        <v>12</v>
      </c>
    </row>
    <row r="1466" spans="1:11">
      <c r="A1466" s="7">
        <v>40085</v>
      </c>
      <c r="B1466" s="1">
        <v>34</v>
      </c>
      <c r="C1466" s="1" t="s">
        <v>32</v>
      </c>
      <c r="D1466" s="13">
        <f>VALUE(MID(C1466,9,3))</f>
        <v>319</v>
      </c>
      <c r="E1466" s="14">
        <f>MONTH(A1466)</f>
        <v>9</v>
      </c>
      <c r="G1466" s="1" t="s">
        <v>223</v>
      </c>
      <c r="H1466" s="1">
        <v>8.8000000000000007</v>
      </c>
      <c r="I1466" s="1" t="s">
        <v>76</v>
      </c>
      <c r="J1466" s="13">
        <f>VALUE(MID(I1466,1,3))</f>
        <v>227</v>
      </c>
      <c r="K1466" s="13">
        <f>VALUE(MID(G1466,5,2))</f>
        <v>12</v>
      </c>
    </row>
    <row r="1467" spans="1:11">
      <c r="A1467" s="7">
        <v>40085</v>
      </c>
      <c r="B1467" s="1">
        <v>34</v>
      </c>
      <c r="C1467" s="1" t="s">
        <v>32</v>
      </c>
      <c r="D1467" s="13">
        <f>VALUE(MID(C1467,9,3))</f>
        <v>319</v>
      </c>
      <c r="E1467" s="14">
        <f>MONTH(A1467)</f>
        <v>9</v>
      </c>
      <c r="G1467" s="1" t="s">
        <v>223</v>
      </c>
      <c r="H1467" s="1">
        <v>57.24</v>
      </c>
      <c r="I1467" s="1" t="s">
        <v>76</v>
      </c>
      <c r="J1467" s="13">
        <f>VALUE(MID(I1467,1,3))</f>
        <v>227</v>
      </c>
      <c r="K1467" s="13">
        <f>VALUE(MID(G1467,5,2))</f>
        <v>12</v>
      </c>
    </row>
    <row r="1468" spans="1:11">
      <c r="A1468" s="7">
        <v>40176</v>
      </c>
      <c r="B1468" s="1">
        <v>20</v>
      </c>
      <c r="C1468" s="1" t="s">
        <v>16</v>
      </c>
      <c r="D1468" s="13">
        <f>VALUE(MID(C1468,9,3))</f>
        <v>319</v>
      </c>
      <c r="E1468" s="14">
        <f>MONTH(A1468)</f>
        <v>12</v>
      </c>
      <c r="G1468" s="1" t="s">
        <v>223</v>
      </c>
      <c r="H1468" s="1">
        <v>11.06</v>
      </c>
      <c r="I1468" s="1" t="s">
        <v>76</v>
      </c>
      <c r="J1468" s="13">
        <f>VALUE(MID(I1468,1,3))</f>
        <v>227</v>
      </c>
      <c r="K1468" s="13">
        <f>VALUE(MID(G1468,5,2))</f>
        <v>12</v>
      </c>
    </row>
    <row r="1469" spans="1:11">
      <c r="A1469" s="7">
        <v>40176</v>
      </c>
      <c r="B1469" s="1">
        <v>10</v>
      </c>
      <c r="C1469" s="1" t="s">
        <v>16</v>
      </c>
      <c r="D1469" s="13">
        <f>VALUE(MID(C1469,9,3))</f>
        <v>319</v>
      </c>
      <c r="E1469" s="14">
        <f>MONTH(A1469)</f>
        <v>12</v>
      </c>
      <c r="G1469" s="1" t="s">
        <v>223</v>
      </c>
      <c r="H1469" s="1">
        <v>20.8</v>
      </c>
      <c r="I1469" s="1" t="s">
        <v>76</v>
      </c>
      <c r="J1469" s="13">
        <f>VALUE(MID(I1469,1,3))</f>
        <v>227</v>
      </c>
      <c r="K1469" s="13">
        <f>VALUE(MID(G1469,5,2))</f>
        <v>12</v>
      </c>
    </row>
    <row r="1470" spans="1:11">
      <c r="A1470" s="7">
        <v>39843</v>
      </c>
      <c r="B1470" s="1">
        <v>58.8</v>
      </c>
      <c r="C1470" s="1" t="s">
        <v>16</v>
      </c>
      <c r="D1470" s="13">
        <f>VALUE(MID(C1470,9,3))</f>
        <v>319</v>
      </c>
      <c r="E1470" s="14">
        <f>MONTH(A1470)</f>
        <v>1</v>
      </c>
      <c r="G1470" s="1" t="s">
        <v>223</v>
      </c>
      <c r="H1470" s="1">
        <v>24</v>
      </c>
      <c r="I1470" s="1" t="s">
        <v>76</v>
      </c>
      <c r="J1470" s="13">
        <f>VALUE(MID(I1470,1,3))</f>
        <v>227</v>
      </c>
      <c r="K1470" s="13">
        <f>VALUE(MID(G1470,5,2))</f>
        <v>12</v>
      </c>
    </row>
    <row r="1471" spans="1:11">
      <c r="A1471" s="7">
        <v>39843</v>
      </c>
      <c r="B1471" s="1">
        <v>3069.27</v>
      </c>
      <c r="C1471" s="1" t="s">
        <v>16</v>
      </c>
      <c r="D1471" s="13">
        <f>VALUE(MID(C1471,9,3))</f>
        <v>319</v>
      </c>
      <c r="E1471" s="14">
        <f>MONTH(A1471)</f>
        <v>1</v>
      </c>
      <c r="G1471" s="1" t="s">
        <v>223</v>
      </c>
      <c r="H1471" s="1">
        <v>8.32</v>
      </c>
      <c r="I1471" s="1" t="s">
        <v>76</v>
      </c>
      <c r="J1471" s="13">
        <f>VALUE(MID(I1471,1,3))</f>
        <v>227</v>
      </c>
      <c r="K1471" s="13">
        <f>VALUE(MID(G1471,5,2))</f>
        <v>12</v>
      </c>
    </row>
    <row r="1472" spans="1:11">
      <c r="A1472" s="7">
        <v>39933</v>
      </c>
      <c r="B1472" s="1">
        <v>36.75</v>
      </c>
      <c r="C1472" s="1" t="s">
        <v>16</v>
      </c>
      <c r="D1472" s="13">
        <f>VALUE(MID(C1472,9,3))</f>
        <v>319</v>
      </c>
      <c r="E1472" s="14">
        <f>MONTH(A1472)</f>
        <v>4</v>
      </c>
      <c r="G1472" s="1" t="s">
        <v>223</v>
      </c>
      <c r="H1472" s="1">
        <v>41.6</v>
      </c>
      <c r="I1472" s="1" t="s">
        <v>76</v>
      </c>
      <c r="J1472" s="13">
        <f>VALUE(MID(I1472,1,3))</f>
        <v>227</v>
      </c>
      <c r="K1472" s="13">
        <f>VALUE(MID(G1472,5,2))</f>
        <v>12</v>
      </c>
    </row>
    <row r="1473" spans="1:11">
      <c r="A1473" s="7">
        <v>39994</v>
      </c>
      <c r="B1473" s="1">
        <v>65.099999999999994</v>
      </c>
      <c r="C1473" s="1" t="s">
        <v>16</v>
      </c>
      <c r="D1473" s="13">
        <f>VALUE(MID(C1473,9,3))</f>
        <v>319</v>
      </c>
      <c r="E1473" s="14">
        <f>MONTH(A1473)</f>
        <v>6</v>
      </c>
      <c r="G1473" s="1" t="s">
        <v>223</v>
      </c>
      <c r="H1473" s="1">
        <v>14.68</v>
      </c>
      <c r="I1473" s="1" t="s">
        <v>76</v>
      </c>
      <c r="J1473" s="13">
        <f>VALUE(MID(I1473,1,3))</f>
        <v>227</v>
      </c>
      <c r="K1473" s="13">
        <f>VALUE(MID(G1473,5,2))</f>
        <v>12</v>
      </c>
    </row>
    <row r="1474" spans="1:11">
      <c r="A1474" s="7">
        <v>40086</v>
      </c>
      <c r="B1474" s="1">
        <v>43.65</v>
      </c>
      <c r="C1474" s="1" t="s">
        <v>16</v>
      </c>
      <c r="D1474" s="13">
        <f>VALUE(MID(C1474,9,3))</f>
        <v>319</v>
      </c>
      <c r="E1474" s="14">
        <f>MONTH(A1474)</f>
        <v>9</v>
      </c>
      <c r="G1474" s="1" t="s">
        <v>223</v>
      </c>
      <c r="H1474" s="1">
        <v>20.16</v>
      </c>
      <c r="I1474" s="1" t="s">
        <v>76</v>
      </c>
      <c r="J1474" s="13">
        <f>VALUE(MID(I1474,1,3))</f>
        <v>227</v>
      </c>
      <c r="K1474" s="13">
        <f>VALUE(MID(G1474,5,2))</f>
        <v>12</v>
      </c>
    </row>
    <row r="1475" spans="1:11">
      <c r="A1475" s="7">
        <v>40116</v>
      </c>
      <c r="B1475" s="1">
        <v>92.1</v>
      </c>
      <c r="C1475" s="1" t="s">
        <v>16</v>
      </c>
      <c r="D1475" s="13">
        <f>VALUE(MID(C1475,9,3))</f>
        <v>319</v>
      </c>
      <c r="E1475" s="14">
        <f>MONTH(A1475)</f>
        <v>10</v>
      </c>
      <c r="G1475" s="1" t="s">
        <v>223</v>
      </c>
      <c r="H1475" s="1">
        <v>104.36</v>
      </c>
      <c r="I1475" s="1" t="s">
        <v>76</v>
      </c>
      <c r="J1475" s="13">
        <f>VALUE(MID(I1475,1,3))</f>
        <v>227</v>
      </c>
      <c r="K1475" s="13">
        <f>VALUE(MID(G1475,5,2))</f>
        <v>12</v>
      </c>
    </row>
    <row r="1476" spans="1:11">
      <c r="A1476" s="7">
        <v>40147</v>
      </c>
      <c r="B1476" s="1">
        <v>70.5</v>
      </c>
      <c r="C1476" s="1" t="s">
        <v>16</v>
      </c>
      <c r="D1476" s="13">
        <f>VALUE(MID(C1476,9,3))</f>
        <v>319</v>
      </c>
      <c r="E1476" s="14">
        <f>MONTH(A1476)</f>
        <v>11</v>
      </c>
      <c r="G1476" s="1" t="s">
        <v>223</v>
      </c>
      <c r="H1476" s="1">
        <v>60</v>
      </c>
      <c r="I1476" s="1" t="s">
        <v>76</v>
      </c>
      <c r="J1476" s="13">
        <f>VALUE(MID(I1476,1,3))</f>
        <v>227</v>
      </c>
      <c r="K1476" s="13">
        <f>VALUE(MID(G1476,5,2))</f>
        <v>12</v>
      </c>
    </row>
    <row r="1477" spans="1:11">
      <c r="A1477" s="7">
        <v>40147</v>
      </c>
      <c r="B1477" s="1">
        <v>34</v>
      </c>
      <c r="C1477" s="1" t="s">
        <v>32</v>
      </c>
      <c r="D1477" s="13">
        <f>VALUE(MID(C1477,9,3))</f>
        <v>319</v>
      </c>
      <c r="E1477" s="14">
        <f>MONTH(A1477)</f>
        <v>11</v>
      </c>
      <c r="G1477" s="1" t="s">
        <v>223</v>
      </c>
      <c r="H1477" s="1">
        <v>138.6</v>
      </c>
      <c r="I1477" s="1" t="s">
        <v>76</v>
      </c>
      <c r="J1477" s="13">
        <f>VALUE(MID(I1477,1,3))</f>
        <v>227</v>
      </c>
      <c r="K1477" s="13">
        <f>VALUE(MID(G1477,5,2))</f>
        <v>12</v>
      </c>
    </row>
    <row r="1478" spans="1:11">
      <c r="A1478" s="7">
        <v>39903</v>
      </c>
      <c r="B1478" s="1">
        <v>77.849999999999994</v>
      </c>
      <c r="C1478" s="1" t="s">
        <v>16</v>
      </c>
      <c r="D1478" s="13">
        <f>VALUE(MID(C1478,9,3))</f>
        <v>319</v>
      </c>
      <c r="E1478" s="14">
        <f>MONTH(A1478)</f>
        <v>3</v>
      </c>
      <c r="G1478" s="1" t="s">
        <v>223</v>
      </c>
      <c r="H1478" s="1">
        <v>42.56</v>
      </c>
      <c r="I1478" s="1" t="s">
        <v>76</v>
      </c>
      <c r="J1478" s="13">
        <f>VALUE(MID(I1478,1,3))</f>
        <v>227</v>
      </c>
      <c r="K1478" s="13">
        <f>VALUE(MID(G1478,5,2))</f>
        <v>12</v>
      </c>
    </row>
    <row r="1479" spans="1:11">
      <c r="A1479" s="7">
        <v>40057</v>
      </c>
      <c r="B1479" s="1">
        <v>45</v>
      </c>
      <c r="C1479" s="1" t="s">
        <v>15</v>
      </c>
      <c r="D1479" s="13">
        <f>VALUE(MID(C1479,9,3))</f>
        <v>320</v>
      </c>
      <c r="E1479" s="14">
        <f>MONTH(A1479)</f>
        <v>9</v>
      </c>
      <c r="G1479" s="1" t="s">
        <v>223</v>
      </c>
      <c r="H1479" s="1">
        <v>63.84</v>
      </c>
      <c r="I1479" s="1" t="s">
        <v>76</v>
      </c>
      <c r="J1479" s="13">
        <f>VALUE(MID(I1479,1,3))</f>
        <v>227</v>
      </c>
      <c r="K1479" s="13">
        <f>VALUE(MID(G1479,5,2))</f>
        <v>12</v>
      </c>
    </row>
    <row r="1480" spans="1:11">
      <c r="A1480" s="7">
        <v>40057</v>
      </c>
      <c r="B1480" s="1">
        <v>45</v>
      </c>
      <c r="C1480" s="1" t="s">
        <v>15</v>
      </c>
      <c r="D1480" s="13">
        <f>VALUE(MID(C1480,9,3))</f>
        <v>320</v>
      </c>
      <c r="E1480" s="14">
        <f>MONTH(A1480)</f>
        <v>9</v>
      </c>
      <c r="G1480" s="1" t="s">
        <v>223</v>
      </c>
      <c r="H1480" s="1">
        <v>108.49</v>
      </c>
      <c r="I1480" s="1" t="s">
        <v>76</v>
      </c>
      <c r="J1480" s="13">
        <f>VALUE(MID(I1480,1,3))</f>
        <v>227</v>
      </c>
      <c r="K1480" s="13">
        <f>VALUE(MID(G1480,5,2))</f>
        <v>12</v>
      </c>
    </row>
    <row r="1481" spans="1:11">
      <c r="A1481" s="7">
        <v>40059</v>
      </c>
      <c r="B1481" s="1">
        <v>45</v>
      </c>
      <c r="C1481" s="1" t="s">
        <v>15</v>
      </c>
      <c r="D1481" s="13">
        <f>VALUE(MID(C1481,9,3))</f>
        <v>320</v>
      </c>
      <c r="E1481" s="14">
        <f>MONTH(A1481)</f>
        <v>9</v>
      </c>
      <c r="G1481" s="1" t="s">
        <v>223</v>
      </c>
      <c r="H1481" s="1">
        <v>18.239999999999998</v>
      </c>
      <c r="I1481" s="1" t="s">
        <v>76</v>
      </c>
      <c r="J1481" s="13">
        <f>VALUE(MID(I1481,1,3))</f>
        <v>227</v>
      </c>
      <c r="K1481" s="13">
        <f>VALUE(MID(G1481,5,2))</f>
        <v>12</v>
      </c>
    </row>
    <row r="1482" spans="1:11">
      <c r="A1482" s="7">
        <v>40060</v>
      </c>
      <c r="B1482" s="1">
        <v>45</v>
      </c>
      <c r="C1482" s="1" t="s">
        <v>15</v>
      </c>
      <c r="D1482" s="13">
        <f>VALUE(MID(C1482,9,3))</f>
        <v>320</v>
      </c>
      <c r="E1482" s="14">
        <f>MONTH(A1482)</f>
        <v>9</v>
      </c>
      <c r="G1482" s="1" t="s">
        <v>223</v>
      </c>
      <c r="H1482" s="1">
        <v>66.569999999999993</v>
      </c>
      <c r="I1482" s="1" t="s">
        <v>76</v>
      </c>
      <c r="J1482" s="13">
        <f>VALUE(MID(I1482,1,3))</f>
        <v>227</v>
      </c>
      <c r="K1482" s="13">
        <f>VALUE(MID(G1482,5,2))</f>
        <v>12</v>
      </c>
    </row>
    <row r="1483" spans="1:11">
      <c r="A1483" s="7">
        <v>40060</v>
      </c>
      <c r="B1483" s="1">
        <v>45</v>
      </c>
      <c r="C1483" s="1" t="s">
        <v>15</v>
      </c>
      <c r="D1483" s="13">
        <f>VALUE(MID(C1483,9,3))</f>
        <v>320</v>
      </c>
      <c r="E1483" s="14">
        <f>MONTH(A1483)</f>
        <v>9</v>
      </c>
      <c r="G1483" s="1" t="s">
        <v>223</v>
      </c>
      <c r="H1483" s="1">
        <v>16.64</v>
      </c>
      <c r="I1483" s="1" t="s">
        <v>76</v>
      </c>
      <c r="J1483" s="13">
        <f>VALUE(MID(I1483,1,3))</f>
        <v>227</v>
      </c>
      <c r="K1483" s="13">
        <f>VALUE(MID(G1483,5,2))</f>
        <v>12</v>
      </c>
    </row>
    <row r="1484" spans="1:11">
      <c r="A1484" s="7">
        <v>40063</v>
      </c>
      <c r="B1484" s="1">
        <v>45</v>
      </c>
      <c r="C1484" s="1" t="s">
        <v>15</v>
      </c>
      <c r="D1484" s="13">
        <f>VALUE(MID(C1484,9,3))</f>
        <v>320</v>
      </c>
      <c r="E1484" s="14">
        <f>MONTH(A1484)</f>
        <v>9</v>
      </c>
      <c r="G1484" s="1" t="s">
        <v>223</v>
      </c>
      <c r="H1484" s="1">
        <v>97.13</v>
      </c>
      <c r="I1484" s="1" t="s">
        <v>76</v>
      </c>
      <c r="J1484" s="13">
        <f>VALUE(MID(I1484,1,3))</f>
        <v>227</v>
      </c>
      <c r="K1484" s="13">
        <f>VALUE(MID(G1484,5,2))</f>
        <v>12</v>
      </c>
    </row>
    <row r="1485" spans="1:11">
      <c r="A1485" s="7">
        <v>40002</v>
      </c>
      <c r="B1485" s="1">
        <v>45</v>
      </c>
      <c r="C1485" s="1" t="s">
        <v>15</v>
      </c>
      <c r="D1485" s="13">
        <f>VALUE(MID(C1485,9,3))</f>
        <v>320</v>
      </c>
      <c r="E1485" s="14">
        <f>MONTH(A1485)</f>
        <v>7</v>
      </c>
      <c r="G1485" s="1" t="s">
        <v>223</v>
      </c>
      <c r="H1485" s="1">
        <v>54.09</v>
      </c>
      <c r="I1485" s="1" t="s">
        <v>76</v>
      </c>
      <c r="J1485" s="13">
        <f>VALUE(MID(I1485,1,3))</f>
        <v>227</v>
      </c>
      <c r="K1485" s="13">
        <f>VALUE(MID(G1485,5,2))</f>
        <v>12</v>
      </c>
    </row>
    <row r="1486" spans="1:11">
      <c r="A1486" s="7">
        <v>40065</v>
      </c>
      <c r="B1486" s="1">
        <v>45</v>
      </c>
      <c r="C1486" s="1" t="s">
        <v>15</v>
      </c>
      <c r="D1486" s="13">
        <f>VALUE(MID(C1486,9,3))</f>
        <v>320</v>
      </c>
      <c r="E1486" s="14">
        <f>MONTH(A1486)</f>
        <v>9</v>
      </c>
      <c r="G1486" s="1" t="s">
        <v>223</v>
      </c>
      <c r="H1486" s="1">
        <v>36.06</v>
      </c>
      <c r="I1486" s="1" t="s">
        <v>76</v>
      </c>
      <c r="J1486" s="13">
        <f>VALUE(MID(I1486,1,3))</f>
        <v>227</v>
      </c>
      <c r="K1486" s="13">
        <f>VALUE(MID(G1486,5,2))</f>
        <v>12</v>
      </c>
    </row>
    <row r="1487" spans="1:11">
      <c r="A1487" s="7">
        <v>40065</v>
      </c>
      <c r="B1487" s="1">
        <v>45</v>
      </c>
      <c r="C1487" s="1" t="s">
        <v>15</v>
      </c>
      <c r="D1487" s="13">
        <f>VALUE(MID(C1487,9,3))</f>
        <v>320</v>
      </c>
      <c r="E1487" s="14">
        <f>MONTH(A1487)</f>
        <v>9</v>
      </c>
      <c r="G1487" s="1" t="s">
        <v>223</v>
      </c>
      <c r="H1487" s="1">
        <v>17.12</v>
      </c>
      <c r="I1487" s="1" t="s">
        <v>76</v>
      </c>
      <c r="J1487" s="13">
        <f>VALUE(MID(I1487,1,3))</f>
        <v>227</v>
      </c>
      <c r="K1487" s="13">
        <f>VALUE(MID(G1487,5,2))</f>
        <v>12</v>
      </c>
    </row>
    <row r="1488" spans="1:11">
      <c r="A1488" s="7">
        <v>40065</v>
      </c>
      <c r="B1488" s="1">
        <v>45</v>
      </c>
      <c r="C1488" s="1" t="s">
        <v>15</v>
      </c>
      <c r="D1488" s="13">
        <f>VALUE(MID(C1488,9,3))</f>
        <v>320</v>
      </c>
      <c r="E1488" s="14">
        <f>MONTH(A1488)</f>
        <v>9</v>
      </c>
      <c r="G1488" s="1" t="s">
        <v>226</v>
      </c>
      <c r="H1488" s="1">
        <v>3165.55</v>
      </c>
      <c r="I1488" s="1" t="s">
        <v>76</v>
      </c>
      <c r="J1488" s="13">
        <f>VALUE(MID(I1488,1,3))</f>
        <v>227</v>
      </c>
      <c r="K1488" s="13">
        <f>VALUE(MID(G1488,5,2))</f>
        <v>1</v>
      </c>
    </row>
    <row r="1489" spans="1:11">
      <c r="A1489" s="7">
        <v>40065</v>
      </c>
      <c r="B1489" s="1">
        <v>45</v>
      </c>
      <c r="C1489" s="1" t="s">
        <v>15</v>
      </c>
      <c r="D1489" s="13">
        <f>VALUE(MID(C1489,9,3))</f>
        <v>320</v>
      </c>
      <c r="E1489" s="14">
        <f>MONTH(A1489)</f>
        <v>9</v>
      </c>
      <c r="G1489" s="1" t="s">
        <v>226</v>
      </c>
      <c r="H1489" s="1">
        <v>122305.29</v>
      </c>
      <c r="I1489" s="1" t="s">
        <v>76</v>
      </c>
      <c r="J1489" s="13">
        <f>VALUE(MID(I1489,1,3))</f>
        <v>227</v>
      </c>
      <c r="K1489" s="13">
        <f>VALUE(MID(G1489,5,2))</f>
        <v>1</v>
      </c>
    </row>
    <row r="1490" spans="1:11">
      <c r="A1490" s="7">
        <v>40065</v>
      </c>
      <c r="B1490" s="1">
        <v>45</v>
      </c>
      <c r="C1490" s="1" t="s">
        <v>15</v>
      </c>
      <c r="D1490" s="13">
        <f>VALUE(MID(C1490,9,3))</f>
        <v>320</v>
      </c>
      <c r="E1490" s="14">
        <f>MONTH(A1490)</f>
        <v>9</v>
      </c>
      <c r="G1490" s="1" t="s">
        <v>226</v>
      </c>
      <c r="H1490" s="1">
        <v>24335.21</v>
      </c>
      <c r="I1490" s="1" t="s">
        <v>76</v>
      </c>
      <c r="J1490" s="13">
        <f>VALUE(MID(I1490,1,3))</f>
        <v>227</v>
      </c>
      <c r="K1490" s="13">
        <f>VALUE(MID(G1490,5,2))</f>
        <v>1</v>
      </c>
    </row>
    <row r="1491" spans="1:11">
      <c r="A1491" s="7">
        <v>40066</v>
      </c>
      <c r="B1491" s="1">
        <v>45</v>
      </c>
      <c r="C1491" s="1" t="s">
        <v>15</v>
      </c>
      <c r="D1491" s="13">
        <f>VALUE(MID(C1491,9,3))</f>
        <v>320</v>
      </c>
      <c r="E1491" s="14">
        <f>MONTH(A1491)</f>
        <v>9</v>
      </c>
      <c r="G1491" s="1" t="s">
        <v>226</v>
      </c>
      <c r="H1491" s="1">
        <v>20318.93</v>
      </c>
      <c r="I1491" s="1" t="s">
        <v>76</v>
      </c>
      <c r="J1491" s="13">
        <f>VALUE(MID(I1491,1,3))</f>
        <v>227</v>
      </c>
      <c r="K1491" s="13">
        <f>VALUE(MID(G1491,5,2))</f>
        <v>1</v>
      </c>
    </row>
    <row r="1492" spans="1:11">
      <c r="A1492" s="7">
        <v>40066</v>
      </c>
      <c r="B1492" s="1">
        <v>45</v>
      </c>
      <c r="C1492" s="1" t="s">
        <v>15</v>
      </c>
      <c r="D1492" s="13">
        <f>VALUE(MID(C1492,9,3))</f>
        <v>320</v>
      </c>
      <c r="E1492" s="14">
        <f>MONTH(A1492)</f>
        <v>9</v>
      </c>
      <c r="G1492" s="1" t="s">
        <v>226</v>
      </c>
      <c r="H1492" s="1">
        <v>1261.99</v>
      </c>
      <c r="I1492" s="1" t="s">
        <v>110</v>
      </c>
      <c r="J1492" s="13">
        <f>VALUE(MID(I1492,1,3))</f>
        <v>227</v>
      </c>
      <c r="K1492" s="13">
        <f>VALUE(MID(G1492,5,2))</f>
        <v>1</v>
      </c>
    </row>
    <row r="1493" spans="1:11">
      <c r="A1493" s="7">
        <v>40066</v>
      </c>
      <c r="B1493" s="1">
        <v>45</v>
      </c>
      <c r="C1493" s="1" t="s">
        <v>15</v>
      </c>
      <c r="D1493" s="13">
        <f>VALUE(MID(C1493,9,3))</f>
        <v>320</v>
      </c>
      <c r="E1493" s="14">
        <f>MONTH(A1493)</f>
        <v>9</v>
      </c>
      <c r="G1493" s="1" t="s">
        <v>226</v>
      </c>
      <c r="H1493" s="1">
        <v>1080</v>
      </c>
      <c r="I1493" s="1" t="s">
        <v>76</v>
      </c>
      <c r="J1493" s="13">
        <f>VALUE(MID(I1493,1,3))</f>
        <v>227</v>
      </c>
      <c r="K1493" s="13">
        <f>VALUE(MID(G1493,5,2))</f>
        <v>1</v>
      </c>
    </row>
    <row r="1494" spans="1:11">
      <c r="A1494" s="7">
        <v>40066</v>
      </c>
      <c r="B1494" s="1">
        <v>45</v>
      </c>
      <c r="C1494" s="1" t="s">
        <v>15</v>
      </c>
      <c r="D1494" s="13">
        <f>VALUE(MID(C1494,9,3))</f>
        <v>320</v>
      </c>
      <c r="E1494" s="14">
        <f>MONTH(A1494)</f>
        <v>9</v>
      </c>
      <c r="G1494" s="1" t="s">
        <v>226</v>
      </c>
      <c r="H1494" s="1">
        <v>1260</v>
      </c>
      <c r="I1494" s="1" t="s">
        <v>76</v>
      </c>
      <c r="J1494" s="13">
        <f>VALUE(MID(I1494,1,3))</f>
        <v>227</v>
      </c>
      <c r="K1494" s="13">
        <f>VALUE(MID(G1494,5,2))</f>
        <v>1</v>
      </c>
    </row>
    <row r="1495" spans="1:11">
      <c r="A1495" s="7">
        <v>40066</v>
      </c>
      <c r="B1495" s="1">
        <v>45</v>
      </c>
      <c r="C1495" s="1" t="s">
        <v>15</v>
      </c>
      <c r="D1495" s="13">
        <f>VALUE(MID(C1495,9,3))</f>
        <v>320</v>
      </c>
      <c r="E1495" s="14">
        <f>MONTH(A1495)</f>
        <v>9</v>
      </c>
      <c r="G1495" s="1" t="s">
        <v>226</v>
      </c>
      <c r="H1495" s="1">
        <v>1440</v>
      </c>
      <c r="I1495" s="1" t="s">
        <v>76</v>
      </c>
      <c r="J1495" s="13">
        <f>VALUE(MID(I1495,1,3))</f>
        <v>227</v>
      </c>
      <c r="K1495" s="13">
        <f>VALUE(MID(G1495,5,2))</f>
        <v>1</v>
      </c>
    </row>
    <row r="1496" spans="1:11">
      <c r="A1496" s="7">
        <v>40066</v>
      </c>
      <c r="B1496" s="1">
        <v>45</v>
      </c>
      <c r="C1496" s="1" t="s">
        <v>15</v>
      </c>
      <c r="D1496" s="13">
        <f>VALUE(MID(C1496,9,3))</f>
        <v>320</v>
      </c>
      <c r="E1496" s="14">
        <f>MONTH(A1496)</f>
        <v>9</v>
      </c>
      <c r="G1496" s="1" t="s">
        <v>226</v>
      </c>
      <c r="H1496" s="1">
        <v>43.2</v>
      </c>
      <c r="I1496" s="1" t="s">
        <v>76</v>
      </c>
      <c r="J1496" s="13">
        <f>VALUE(MID(I1496,1,3))</f>
        <v>227</v>
      </c>
      <c r="K1496" s="13">
        <f>VALUE(MID(G1496,5,2))</f>
        <v>1</v>
      </c>
    </row>
    <row r="1497" spans="1:11">
      <c r="A1497" s="7">
        <v>40007</v>
      </c>
      <c r="B1497" s="1">
        <v>45</v>
      </c>
      <c r="C1497" s="1" t="s">
        <v>15</v>
      </c>
      <c r="D1497" s="13">
        <f>VALUE(MID(C1497,9,3))</f>
        <v>320</v>
      </c>
      <c r="E1497" s="14">
        <f>MONTH(A1497)</f>
        <v>7</v>
      </c>
      <c r="G1497" s="1" t="s">
        <v>226</v>
      </c>
      <c r="H1497" s="1">
        <v>50.4</v>
      </c>
      <c r="I1497" s="1" t="s">
        <v>76</v>
      </c>
      <c r="J1497" s="13">
        <f>VALUE(MID(I1497,1,3))</f>
        <v>227</v>
      </c>
      <c r="K1497" s="13">
        <f>VALUE(MID(G1497,5,2))</f>
        <v>1</v>
      </c>
    </row>
    <row r="1498" spans="1:11">
      <c r="A1498" s="7">
        <v>40070</v>
      </c>
      <c r="B1498" s="1">
        <v>45</v>
      </c>
      <c r="C1498" s="1" t="s">
        <v>15</v>
      </c>
      <c r="D1498" s="13">
        <f>VALUE(MID(C1498,9,3))</f>
        <v>320</v>
      </c>
      <c r="E1498" s="14">
        <f>MONTH(A1498)</f>
        <v>9</v>
      </c>
      <c r="G1498" s="1" t="s">
        <v>226</v>
      </c>
      <c r="H1498" s="1">
        <v>57.6</v>
      </c>
      <c r="I1498" s="1" t="s">
        <v>76</v>
      </c>
      <c r="J1498" s="13">
        <f>VALUE(MID(I1498,1,3))</f>
        <v>227</v>
      </c>
      <c r="K1498" s="13">
        <f>VALUE(MID(G1498,5,2))</f>
        <v>1</v>
      </c>
    </row>
    <row r="1499" spans="1:11">
      <c r="A1499" s="7">
        <v>40070</v>
      </c>
      <c r="B1499" s="1">
        <v>45</v>
      </c>
      <c r="C1499" s="1" t="s">
        <v>15</v>
      </c>
      <c r="D1499" s="13">
        <f>VALUE(MID(C1499,9,3))</f>
        <v>320</v>
      </c>
      <c r="E1499" s="14">
        <f>MONTH(A1499)</f>
        <v>9</v>
      </c>
      <c r="G1499" s="1" t="s">
        <v>226</v>
      </c>
      <c r="H1499" s="1">
        <v>3115.98</v>
      </c>
      <c r="I1499" s="1" t="s">
        <v>101</v>
      </c>
      <c r="J1499" s="13">
        <f>VALUE(MID(I1499,1,3))</f>
        <v>227</v>
      </c>
      <c r="K1499" s="13">
        <f>VALUE(MID(G1499,5,2))</f>
        <v>1</v>
      </c>
    </row>
    <row r="1500" spans="1:11">
      <c r="A1500" s="7">
        <v>40070</v>
      </c>
      <c r="B1500" s="1">
        <v>45</v>
      </c>
      <c r="C1500" s="1" t="s">
        <v>15</v>
      </c>
      <c r="D1500" s="13">
        <f>VALUE(MID(C1500,9,3))</f>
        <v>320</v>
      </c>
      <c r="E1500" s="14">
        <f>MONTH(A1500)</f>
        <v>9</v>
      </c>
      <c r="G1500" s="1" t="s">
        <v>226</v>
      </c>
      <c r="H1500" s="1">
        <v>71.86</v>
      </c>
      <c r="I1500" s="1" t="s">
        <v>103</v>
      </c>
      <c r="J1500" s="13">
        <f>VALUE(MID(I1500,1,3))</f>
        <v>227</v>
      </c>
      <c r="K1500" s="13">
        <f>VALUE(MID(G1500,5,2))</f>
        <v>1</v>
      </c>
    </row>
    <row r="1501" spans="1:11">
      <c r="A1501" s="7">
        <v>40071</v>
      </c>
      <c r="B1501" s="1">
        <v>45</v>
      </c>
      <c r="C1501" s="1" t="s">
        <v>15</v>
      </c>
      <c r="D1501" s="13">
        <f>VALUE(MID(C1501,9,3))</f>
        <v>320</v>
      </c>
      <c r="E1501" s="14">
        <f>MONTH(A1501)</f>
        <v>9</v>
      </c>
      <c r="G1501" s="1" t="s">
        <v>226</v>
      </c>
      <c r="H1501" s="1">
        <v>341.07</v>
      </c>
      <c r="I1501" s="1" t="s">
        <v>103</v>
      </c>
      <c r="J1501" s="13">
        <f>VALUE(MID(I1501,1,3))</f>
        <v>227</v>
      </c>
      <c r="K1501" s="13">
        <f>VALUE(MID(G1501,5,2))</f>
        <v>1</v>
      </c>
    </row>
    <row r="1502" spans="1:11">
      <c r="A1502" s="7">
        <v>40071</v>
      </c>
      <c r="B1502" s="1">
        <v>45</v>
      </c>
      <c r="C1502" s="1" t="s">
        <v>15</v>
      </c>
      <c r="D1502" s="13">
        <f>VALUE(MID(C1502,9,3))</f>
        <v>320</v>
      </c>
      <c r="E1502" s="14">
        <f>MONTH(A1502)</f>
        <v>9</v>
      </c>
      <c r="G1502" s="1" t="s">
        <v>226</v>
      </c>
      <c r="H1502" s="1">
        <v>39.24</v>
      </c>
      <c r="I1502" s="1" t="s">
        <v>103</v>
      </c>
      <c r="J1502" s="13">
        <f>VALUE(MID(I1502,1,3))</f>
        <v>227</v>
      </c>
      <c r="K1502" s="13">
        <f>VALUE(MID(G1502,5,2))</f>
        <v>1</v>
      </c>
    </row>
    <row r="1503" spans="1:11">
      <c r="A1503" s="7">
        <v>40071</v>
      </c>
      <c r="B1503" s="1">
        <v>45</v>
      </c>
      <c r="C1503" s="1" t="s">
        <v>15</v>
      </c>
      <c r="D1503" s="13">
        <f>VALUE(MID(C1503,9,3))</f>
        <v>320</v>
      </c>
      <c r="E1503" s="14">
        <f>MONTH(A1503)</f>
        <v>9</v>
      </c>
      <c r="G1503" s="1" t="s">
        <v>226</v>
      </c>
      <c r="H1503" s="1">
        <v>63.2</v>
      </c>
      <c r="I1503" s="1" t="s">
        <v>103</v>
      </c>
      <c r="J1503" s="13">
        <f>VALUE(MID(I1503,1,3))</f>
        <v>227</v>
      </c>
      <c r="K1503" s="13">
        <f>VALUE(MID(G1503,5,2))</f>
        <v>1</v>
      </c>
    </row>
    <row r="1504" spans="1:11">
      <c r="A1504" s="7">
        <v>40010</v>
      </c>
      <c r="B1504" s="1">
        <v>45</v>
      </c>
      <c r="C1504" s="1" t="s">
        <v>15</v>
      </c>
      <c r="D1504" s="13">
        <f>VALUE(MID(C1504,9,3))</f>
        <v>320</v>
      </c>
      <c r="E1504" s="14">
        <f>MONTH(A1504)</f>
        <v>7</v>
      </c>
      <c r="G1504" s="1" t="s">
        <v>226</v>
      </c>
      <c r="H1504" s="1">
        <v>432.68</v>
      </c>
      <c r="I1504" s="1" t="s">
        <v>110</v>
      </c>
      <c r="J1504" s="13">
        <f>VALUE(MID(I1504,1,3))</f>
        <v>227</v>
      </c>
      <c r="K1504" s="13">
        <f>VALUE(MID(G1504,5,2))</f>
        <v>1</v>
      </c>
    </row>
    <row r="1505" spans="1:11">
      <c r="A1505" s="7">
        <v>40049</v>
      </c>
      <c r="B1505" s="1">
        <v>45</v>
      </c>
      <c r="C1505" s="1" t="s">
        <v>15</v>
      </c>
      <c r="D1505" s="13">
        <f>VALUE(MID(C1505,9,3))</f>
        <v>320</v>
      </c>
      <c r="E1505" s="14">
        <f>MONTH(A1505)</f>
        <v>8</v>
      </c>
      <c r="G1505" s="1" t="s">
        <v>226</v>
      </c>
      <c r="H1505" s="1">
        <v>109.82</v>
      </c>
      <c r="I1505" s="1" t="s">
        <v>98</v>
      </c>
      <c r="J1505" s="13">
        <f>VALUE(MID(I1505,1,3))</f>
        <v>227</v>
      </c>
      <c r="K1505" s="13">
        <f>VALUE(MID(G1505,5,2))</f>
        <v>1</v>
      </c>
    </row>
    <row r="1506" spans="1:11">
      <c r="A1506" s="7">
        <v>40085</v>
      </c>
      <c r="B1506" s="1">
        <v>45</v>
      </c>
      <c r="C1506" s="1" t="s">
        <v>15</v>
      </c>
      <c r="D1506" s="13">
        <f>VALUE(MID(C1506,9,3))</f>
        <v>320</v>
      </c>
      <c r="E1506" s="14">
        <f>MONTH(A1506)</f>
        <v>9</v>
      </c>
      <c r="G1506" s="1" t="s">
        <v>226</v>
      </c>
      <c r="H1506" s="1">
        <v>669.24</v>
      </c>
      <c r="I1506" s="1" t="s">
        <v>98</v>
      </c>
      <c r="J1506" s="13">
        <f>VALUE(MID(I1506,1,3))</f>
        <v>227</v>
      </c>
      <c r="K1506" s="13">
        <f>VALUE(MID(G1506,5,2))</f>
        <v>1</v>
      </c>
    </row>
    <row r="1507" spans="1:11">
      <c r="A1507" s="7">
        <v>40088</v>
      </c>
      <c r="B1507" s="1">
        <v>16.7</v>
      </c>
      <c r="C1507" s="1" t="s">
        <v>25</v>
      </c>
      <c r="D1507" s="13">
        <f>VALUE(MID(C1507,9,3))</f>
        <v>323</v>
      </c>
      <c r="E1507" s="14">
        <f>MONTH(A1507)</f>
        <v>10</v>
      </c>
      <c r="G1507" s="1" t="s">
        <v>226</v>
      </c>
      <c r="H1507" s="1">
        <v>728.07</v>
      </c>
      <c r="I1507" s="1" t="s">
        <v>110</v>
      </c>
      <c r="J1507" s="13">
        <f>VALUE(MID(I1507,1,3))</f>
        <v>227</v>
      </c>
      <c r="K1507" s="13">
        <f>VALUE(MID(G1507,5,2))</f>
        <v>1</v>
      </c>
    </row>
    <row r="1508" spans="1:11">
      <c r="A1508" s="7">
        <v>40030</v>
      </c>
      <c r="B1508" s="1">
        <v>180</v>
      </c>
      <c r="C1508" s="1" t="s">
        <v>36</v>
      </c>
      <c r="D1508" s="13">
        <f>VALUE(MID(C1508,9,3))</f>
        <v>350</v>
      </c>
      <c r="E1508" s="14">
        <f>MONTH(A1508)</f>
        <v>8</v>
      </c>
      <c r="G1508" s="1" t="s">
        <v>226</v>
      </c>
      <c r="H1508" s="1">
        <v>728.07</v>
      </c>
      <c r="I1508" s="1" t="s">
        <v>110</v>
      </c>
      <c r="J1508" s="13">
        <f>VALUE(MID(I1508,1,3))</f>
        <v>227</v>
      </c>
      <c r="K1508" s="13">
        <f>VALUE(MID(G1508,5,2))</f>
        <v>1</v>
      </c>
    </row>
    <row r="1509" spans="1:11">
      <c r="A1509" s="7">
        <v>40147</v>
      </c>
      <c r="B1509" s="1">
        <v>0.3</v>
      </c>
      <c r="C1509" s="1" t="s">
        <v>36</v>
      </c>
      <c r="D1509" s="13">
        <f>VALUE(MID(C1509,9,3))</f>
        <v>350</v>
      </c>
      <c r="E1509" s="14">
        <f>MONTH(A1509)</f>
        <v>11</v>
      </c>
      <c r="G1509" s="1" t="s">
        <v>226</v>
      </c>
      <c r="H1509" s="1">
        <v>624</v>
      </c>
      <c r="I1509" s="1" t="s">
        <v>98</v>
      </c>
      <c r="J1509" s="13">
        <f>VALUE(MID(I1509,1,3))</f>
        <v>227</v>
      </c>
      <c r="K1509" s="13">
        <f>VALUE(MID(G1509,5,2))</f>
        <v>1</v>
      </c>
    </row>
    <row r="1510" spans="1:11">
      <c r="A1510" s="7">
        <v>40119</v>
      </c>
      <c r="B1510" s="1">
        <v>165449.03</v>
      </c>
      <c r="C1510" s="1" t="s">
        <v>26</v>
      </c>
      <c r="D1510" s="13">
        <f>VALUE(MID(C1510,9,3))</f>
        <v>400</v>
      </c>
      <c r="E1510" s="14">
        <f>MONTH(A1510)</f>
        <v>11</v>
      </c>
      <c r="G1510" s="1" t="s">
        <v>226</v>
      </c>
      <c r="H1510" s="1">
        <v>122.72</v>
      </c>
      <c r="I1510" s="1" t="s">
        <v>98</v>
      </c>
      <c r="J1510" s="13">
        <f>VALUE(MID(I1510,1,3))</f>
        <v>227</v>
      </c>
      <c r="K1510" s="13">
        <f>VALUE(MID(G1510,5,2))</f>
        <v>1</v>
      </c>
    </row>
    <row r="1511" spans="1:11">
      <c r="A1511" s="7">
        <v>40089</v>
      </c>
      <c r="B1511" s="1">
        <v>299507</v>
      </c>
      <c r="C1511" s="1" t="s">
        <v>26</v>
      </c>
      <c r="D1511" s="13">
        <f>VALUE(MID(C1511,9,3))</f>
        <v>400</v>
      </c>
      <c r="E1511" s="14">
        <f>MONTH(A1511)</f>
        <v>10</v>
      </c>
      <c r="G1511" s="1" t="s">
        <v>167</v>
      </c>
      <c r="H1511" s="1">
        <v>32</v>
      </c>
      <c r="I1511" s="1" t="s">
        <v>168</v>
      </c>
      <c r="J1511" s="13">
        <f>VALUE(MID(I1511,1,3))</f>
        <v>230</v>
      </c>
      <c r="K1511" s="13">
        <f>VALUE(MID(G1511,5,2))</f>
        <v>6</v>
      </c>
    </row>
    <row r="1512" spans="1:11">
      <c r="A1512" s="7">
        <v>39970</v>
      </c>
      <c r="B1512" s="1">
        <v>497622.59</v>
      </c>
      <c r="C1512" s="1" t="s">
        <v>26</v>
      </c>
      <c r="D1512" s="13">
        <f>VALUE(MID(C1512,9,3))</f>
        <v>400</v>
      </c>
      <c r="E1512" s="14">
        <f>MONTH(A1512)</f>
        <v>6</v>
      </c>
      <c r="G1512" s="1" t="s">
        <v>167</v>
      </c>
      <c r="H1512" s="1">
        <v>47.49</v>
      </c>
      <c r="I1512" s="1" t="s">
        <v>168</v>
      </c>
      <c r="J1512" s="13">
        <f>VALUE(MID(I1512,1,3))</f>
        <v>230</v>
      </c>
      <c r="K1512" s="13">
        <f>VALUE(MID(G1512,5,2))</f>
        <v>6</v>
      </c>
    </row>
    <row r="1513" spans="1:11">
      <c r="A1513" s="7">
        <v>39970</v>
      </c>
      <c r="B1513" s="1">
        <v>164077.47</v>
      </c>
      <c r="C1513" s="1" t="s">
        <v>26</v>
      </c>
      <c r="D1513" s="13">
        <f>VALUE(MID(C1513,9,3))</f>
        <v>400</v>
      </c>
      <c r="E1513" s="14">
        <f>MONTH(A1513)</f>
        <v>6</v>
      </c>
      <c r="G1513" s="1" t="s">
        <v>167</v>
      </c>
      <c r="H1513" s="1">
        <v>3.72</v>
      </c>
      <c r="I1513" s="1" t="s">
        <v>168</v>
      </c>
      <c r="J1513" s="13">
        <f>VALUE(MID(I1513,1,3))</f>
        <v>230</v>
      </c>
      <c r="K1513" s="13">
        <f>VALUE(MID(G1513,5,2))</f>
        <v>6</v>
      </c>
    </row>
    <row r="1514" spans="1:11">
      <c r="A1514" s="7">
        <v>40003</v>
      </c>
      <c r="B1514" s="1">
        <v>4000</v>
      </c>
      <c r="C1514" s="1" t="s">
        <v>26</v>
      </c>
      <c r="D1514" s="13">
        <f>VALUE(MID(C1514,9,3))</f>
        <v>400</v>
      </c>
      <c r="E1514" s="14">
        <f>MONTH(A1514)</f>
        <v>7</v>
      </c>
      <c r="G1514" s="1" t="s">
        <v>167</v>
      </c>
      <c r="H1514" s="1">
        <v>380</v>
      </c>
      <c r="I1514" s="1" t="s">
        <v>168</v>
      </c>
      <c r="J1514" s="13">
        <f>VALUE(MID(I1514,1,3))</f>
        <v>230</v>
      </c>
      <c r="K1514" s="13">
        <f>VALUE(MID(G1514,5,2))</f>
        <v>6</v>
      </c>
    </row>
    <row r="1515" spans="1:11">
      <c r="A1515" s="7">
        <v>39948</v>
      </c>
      <c r="B1515" s="1">
        <v>14524.2</v>
      </c>
      <c r="C1515" s="1" t="s">
        <v>26</v>
      </c>
      <c r="D1515" s="13">
        <f>VALUE(MID(C1515,9,3))</f>
        <v>400</v>
      </c>
      <c r="E1515" s="14">
        <f>MONTH(A1515)</f>
        <v>5</v>
      </c>
      <c r="G1515" s="1" t="s">
        <v>175</v>
      </c>
      <c r="H1515" s="1">
        <v>48.7</v>
      </c>
      <c r="I1515" s="1" t="s">
        <v>168</v>
      </c>
      <c r="J1515" s="13">
        <f>VALUE(MID(I1515,1,3))</f>
        <v>230</v>
      </c>
      <c r="K1515" s="13">
        <f>VALUE(MID(G1515,5,2))</f>
        <v>7</v>
      </c>
    </row>
    <row r="1516" spans="1:11">
      <c r="A1516" s="7">
        <v>39872</v>
      </c>
      <c r="B1516" s="1">
        <v>52126.58</v>
      </c>
      <c r="C1516" s="1" t="s">
        <v>26</v>
      </c>
      <c r="D1516" s="13">
        <f>VALUE(MID(C1516,9,3))</f>
        <v>400</v>
      </c>
      <c r="E1516" s="14">
        <f>MONTH(A1516)</f>
        <v>2</v>
      </c>
      <c r="G1516" s="1" t="s">
        <v>175</v>
      </c>
      <c r="H1516" s="1">
        <v>58.5</v>
      </c>
      <c r="I1516" s="1" t="s">
        <v>168</v>
      </c>
      <c r="J1516" s="13">
        <f>VALUE(MID(I1516,1,3))</f>
        <v>230</v>
      </c>
      <c r="K1516" s="13">
        <f>VALUE(MID(G1516,5,2))</f>
        <v>7</v>
      </c>
    </row>
    <row r="1517" spans="1:11">
      <c r="A1517" s="7">
        <v>39872</v>
      </c>
      <c r="B1517" s="1">
        <v>101391.41</v>
      </c>
      <c r="C1517" s="1" t="s">
        <v>26</v>
      </c>
      <c r="D1517" s="13">
        <f>VALUE(MID(C1517,9,3))</f>
        <v>400</v>
      </c>
      <c r="E1517" s="14">
        <f>MONTH(A1517)</f>
        <v>2</v>
      </c>
      <c r="G1517" s="1" t="s">
        <v>175</v>
      </c>
      <c r="H1517" s="1">
        <v>6</v>
      </c>
      <c r="I1517" s="1" t="s">
        <v>168</v>
      </c>
      <c r="J1517" s="13">
        <f>VALUE(MID(I1517,1,3))</f>
        <v>230</v>
      </c>
      <c r="K1517" s="13">
        <f>VALUE(MID(G1517,5,2))</f>
        <v>7</v>
      </c>
    </row>
    <row r="1518" spans="1:11">
      <c r="A1518" s="7">
        <v>39900</v>
      </c>
      <c r="B1518" s="1">
        <v>111950.89</v>
      </c>
      <c r="C1518" s="1" t="s">
        <v>26</v>
      </c>
      <c r="D1518" s="13">
        <f>VALUE(MID(C1518,9,3))</f>
        <v>400</v>
      </c>
      <c r="E1518" s="14">
        <f>MONTH(A1518)</f>
        <v>3</v>
      </c>
      <c r="G1518" s="1" t="s">
        <v>175</v>
      </c>
      <c r="H1518" s="1">
        <v>11.4</v>
      </c>
      <c r="I1518" s="1" t="s">
        <v>168</v>
      </c>
      <c r="J1518" s="13">
        <f>VALUE(MID(I1518,1,3))</f>
        <v>230</v>
      </c>
      <c r="K1518" s="13">
        <f>VALUE(MID(G1518,5,2))</f>
        <v>7</v>
      </c>
    </row>
    <row r="1519" spans="1:11">
      <c r="A1519" s="7">
        <v>40025</v>
      </c>
      <c r="B1519" s="1">
        <v>165449.03</v>
      </c>
      <c r="C1519" s="1" t="s">
        <v>26</v>
      </c>
      <c r="D1519" s="13">
        <f>VALUE(MID(C1519,9,3))</f>
        <v>400</v>
      </c>
      <c r="E1519" s="14">
        <f>MONTH(A1519)</f>
        <v>7</v>
      </c>
      <c r="G1519" s="1" t="s">
        <v>175</v>
      </c>
      <c r="H1519" s="1">
        <v>53.9</v>
      </c>
      <c r="I1519" s="1" t="s">
        <v>168</v>
      </c>
      <c r="J1519" s="13">
        <f>VALUE(MID(I1519,1,3))</f>
        <v>230</v>
      </c>
      <c r="K1519" s="13">
        <f>VALUE(MID(G1519,5,2))</f>
        <v>7</v>
      </c>
    </row>
    <row r="1520" spans="1:11">
      <c r="A1520" s="7">
        <v>40178</v>
      </c>
      <c r="B1520" s="1">
        <v>1600</v>
      </c>
      <c r="C1520" s="1" t="s">
        <v>26</v>
      </c>
      <c r="D1520" s="13">
        <f>VALUE(MID(C1520,9,3))</f>
        <v>400</v>
      </c>
      <c r="E1520" s="14">
        <f>MONTH(A1520)</f>
        <v>12</v>
      </c>
      <c r="G1520" s="1" t="s">
        <v>175</v>
      </c>
      <c r="H1520" s="1">
        <v>307</v>
      </c>
      <c r="I1520" s="1" t="s">
        <v>168</v>
      </c>
      <c r="J1520" s="13">
        <f>VALUE(MID(I1520,1,3))</f>
        <v>230</v>
      </c>
      <c r="K1520" s="13">
        <f>VALUE(MID(G1520,5,2))</f>
        <v>7</v>
      </c>
    </row>
    <row r="1521" spans="1:11">
      <c r="A1521" s="7">
        <v>39881</v>
      </c>
      <c r="B1521" s="1">
        <v>790</v>
      </c>
      <c r="C1521" s="1" t="s">
        <v>43</v>
      </c>
      <c r="D1521" s="13">
        <f>VALUE(MID(C1521,9,3))</f>
        <v>440</v>
      </c>
      <c r="E1521" s="14">
        <f>MONTH(A1521)</f>
        <v>3</v>
      </c>
      <c r="G1521" s="1" t="s">
        <v>194</v>
      </c>
      <c r="H1521" s="1">
        <v>3.91</v>
      </c>
      <c r="I1521" s="1" t="s">
        <v>168</v>
      </c>
      <c r="J1521" s="13">
        <f>VALUE(MID(I1521,1,3))</f>
        <v>230</v>
      </c>
      <c r="K1521" s="13">
        <f>VALUE(MID(G1521,5,2))</f>
        <v>9</v>
      </c>
    </row>
    <row r="1522" spans="1:11">
      <c r="A1522" s="7">
        <v>40003</v>
      </c>
      <c r="B1522" s="1">
        <v>3500</v>
      </c>
      <c r="C1522" s="1" t="s">
        <v>43</v>
      </c>
      <c r="D1522" s="13">
        <f>VALUE(MID(C1522,9,3))</f>
        <v>440</v>
      </c>
      <c r="E1522" s="14">
        <f>MONTH(A1522)</f>
        <v>7</v>
      </c>
      <c r="G1522" s="1" t="s">
        <v>193</v>
      </c>
      <c r="H1522" s="1">
        <v>150</v>
      </c>
      <c r="I1522" s="1" t="s">
        <v>168</v>
      </c>
      <c r="J1522" s="13">
        <f>VALUE(MID(I1522,1,3))</f>
        <v>230</v>
      </c>
      <c r="K1522" s="13">
        <f>VALUE(MID(G1522,5,2))</f>
        <v>9</v>
      </c>
    </row>
    <row r="1523" spans="1:11">
      <c r="A1523" s="7">
        <v>40003</v>
      </c>
      <c r="B1523" s="1">
        <v>13970.83</v>
      </c>
      <c r="C1523" s="1" t="s">
        <v>43</v>
      </c>
      <c r="D1523" s="13">
        <f>VALUE(MID(C1523,9,3))</f>
        <v>440</v>
      </c>
      <c r="E1523" s="14">
        <f>MONTH(A1523)</f>
        <v>7</v>
      </c>
      <c r="G1523" s="1" t="s">
        <v>202</v>
      </c>
      <c r="H1523" s="1">
        <v>-106.9</v>
      </c>
      <c r="I1523" s="1" t="s">
        <v>168</v>
      </c>
      <c r="J1523" s="13">
        <f>VALUE(MID(I1523,1,3))</f>
        <v>230</v>
      </c>
      <c r="K1523" s="13">
        <f>VALUE(MID(G1523,5,2))</f>
        <v>10</v>
      </c>
    </row>
    <row r="1524" spans="1:11">
      <c r="A1524" s="7">
        <v>40128</v>
      </c>
      <c r="B1524" s="1">
        <v>312</v>
      </c>
      <c r="C1524" s="1" t="s">
        <v>46</v>
      </c>
      <c r="D1524" s="13">
        <f>VALUE(MID(C1524,9,3))</f>
        <v>440</v>
      </c>
      <c r="E1524" s="14">
        <f>MONTH(A1524)</f>
        <v>11</v>
      </c>
      <c r="G1524" s="1" t="s">
        <v>203</v>
      </c>
      <c r="H1524" s="1">
        <v>110.81</v>
      </c>
      <c r="I1524" s="1" t="s">
        <v>168</v>
      </c>
      <c r="J1524" s="13">
        <f>VALUE(MID(I1524,1,3))</f>
        <v>230</v>
      </c>
      <c r="K1524" s="13">
        <f>VALUE(MID(G1524,5,2))</f>
        <v>10</v>
      </c>
    </row>
    <row r="1525" spans="1:11">
      <c r="A1525" s="7">
        <v>39945</v>
      </c>
      <c r="B1525" s="1">
        <v>1800</v>
      </c>
      <c r="C1525" s="1" t="s">
        <v>49</v>
      </c>
      <c r="D1525" s="13">
        <f>VALUE(MID(C1525,9,3))</f>
        <v>440</v>
      </c>
      <c r="E1525" s="14">
        <f>MONTH(A1525)</f>
        <v>5</v>
      </c>
      <c r="G1525" s="1" t="s">
        <v>203</v>
      </c>
      <c r="H1525" s="1">
        <v>81.27</v>
      </c>
      <c r="I1525" s="1" t="s">
        <v>168</v>
      </c>
      <c r="J1525" s="13">
        <f>VALUE(MID(I1525,1,3))</f>
        <v>230</v>
      </c>
      <c r="K1525" s="13">
        <f>VALUE(MID(G1525,5,2))</f>
        <v>10</v>
      </c>
    </row>
    <row r="1526" spans="1:11">
      <c r="A1526" s="7">
        <v>39917</v>
      </c>
      <c r="B1526" s="1">
        <v>22700</v>
      </c>
      <c r="C1526" s="1" t="s">
        <v>43</v>
      </c>
      <c r="D1526" s="13">
        <f>VALUE(MID(C1526,9,3))</f>
        <v>440</v>
      </c>
      <c r="E1526" s="14">
        <f>MONTH(A1526)</f>
        <v>4</v>
      </c>
      <c r="G1526" s="1" t="s">
        <v>203</v>
      </c>
      <c r="H1526" s="1">
        <v>245.4</v>
      </c>
      <c r="I1526" s="1" t="s">
        <v>168</v>
      </c>
      <c r="J1526" s="13">
        <f>VALUE(MID(I1526,1,3))</f>
        <v>230</v>
      </c>
      <c r="K1526" s="13">
        <f>VALUE(MID(G1526,5,2))</f>
        <v>10</v>
      </c>
    </row>
    <row r="1527" spans="1:11">
      <c r="A1527" s="7">
        <v>40193</v>
      </c>
      <c r="B1527" s="1">
        <v>2526</v>
      </c>
      <c r="C1527" s="1" t="s">
        <v>43</v>
      </c>
      <c r="D1527" s="13">
        <f>VALUE(MID(C1527,9,3))</f>
        <v>440</v>
      </c>
      <c r="E1527" s="14">
        <f>MONTH(A1527)</f>
        <v>1</v>
      </c>
      <c r="G1527" s="1" t="s">
        <v>203</v>
      </c>
      <c r="H1527" s="1">
        <v>299.45999999999998</v>
      </c>
      <c r="I1527" s="1" t="s">
        <v>168</v>
      </c>
      <c r="J1527" s="13">
        <f>VALUE(MID(I1527,1,3))</f>
        <v>230</v>
      </c>
      <c r="K1527" s="13">
        <f>VALUE(MID(G1527,5,2))</f>
        <v>10</v>
      </c>
    </row>
    <row r="1528" spans="1:11">
      <c r="A1528" s="7">
        <v>40101</v>
      </c>
      <c r="B1528" s="1">
        <v>3675</v>
      </c>
      <c r="C1528" s="1" t="s">
        <v>43</v>
      </c>
      <c r="D1528" s="13">
        <f>VALUE(MID(C1528,9,3))</f>
        <v>440</v>
      </c>
      <c r="E1528" s="14">
        <f>MONTH(A1528)</f>
        <v>10</v>
      </c>
      <c r="G1528" s="1" t="s">
        <v>209</v>
      </c>
      <c r="H1528" s="1">
        <v>76.25</v>
      </c>
      <c r="I1528" s="1" t="s">
        <v>168</v>
      </c>
      <c r="J1528" s="13">
        <f>VALUE(MID(I1528,1,3))</f>
        <v>230</v>
      </c>
      <c r="K1528" s="13">
        <f>VALUE(MID(G1528,5,2))</f>
        <v>11</v>
      </c>
    </row>
    <row r="1529" spans="1:11">
      <c r="A1529" s="7">
        <v>40102</v>
      </c>
      <c r="B1529" s="1">
        <v>11850</v>
      </c>
      <c r="C1529" s="1" t="s">
        <v>54</v>
      </c>
      <c r="D1529" s="13">
        <f>VALUE(MID(C1529,9,3))</f>
        <v>440</v>
      </c>
      <c r="E1529" s="14">
        <f>MONTH(A1529)</f>
        <v>10</v>
      </c>
      <c r="G1529" s="1" t="s">
        <v>210</v>
      </c>
      <c r="H1529" s="1">
        <v>192.8</v>
      </c>
      <c r="I1529" s="1" t="s">
        <v>168</v>
      </c>
      <c r="J1529" s="13">
        <f>VALUE(MID(I1529,1,3))</f>
        <v>230</v>
      </c>
      <c r="K1529" s="13">
        <f>VALUE(MID(G1529,5,2))</f>
        <v>11</v>
      </c>
    </row>
    <row r="1530" spans="1:11">
      <c r="A1530" s="7">
        <v>40135</v>
      </c>
      <c r="B1530" s="1">
        <v>1000</v>
      </c>
      <c r="C1530" s="1" t="s">
        <v>43</v>
      </c>
      <c r="D1530" s="13">
        <f>VALUE(MID(C1530,9,3))</f>
        <v>440</v>
      </c>
      <c r="E1530" s="14">
        <f>MONTH(A1530)</f>
        <v>11</v>
      </c>
      <c r="G1530" s="1" t="s">
        <v>210</v>
      </c>
      <c r="H1530" s="1">
        <v>14.74</v>
      </c>
      <c r="I1530" s="1" t="s">
        <v>168</v>
      </c>
      <c r="J1530" s="13">
        <f>VALUE(MID(I1530,1,3))</f>
        <v>230</v>
      </c>
      <c r="K1530" s="13">
        <f>VALUE(MID(G1530,5,2))</f>
        <v>11</v>
      </c>
    </row>
    <row r="1531" spans="1:11">
      <c r="A1531" s="7">
        <v>39983</v>
      </c>
      <c r="B1531" s="1">
        <v>7984.5</v>
      </c>
      <c r="C1531" s="1" t="s">
        <v>43</v>
      </c>
      <c r="D1531" s="13">
        <f>VALUE(MID(C1531,9,3))</f>
        <v>440</v>
      </c>
      <c r="E1531" s="14">
        <f>MONTH(A1531)</f>
        <v>6</v>
      </c>
      <c r="G1531" s="1" t="s">
        <v>219</v>
      </c>
      <c r="H1531" s="1">
        <v>61.1</v>
      </c>
      <c r="I1531" s="1" t="s">
        <v>168</v>
      </c>
      <c r="J1531" s="13">
        <f>VALUE(MID(I1531,1,3))</f>
        <v>230</v>
      </c>
      <c r="K1531" s="13">
        <f>VALUE(MID(G1531,5,2))</f>
        <v>12</v>
      </c>
    </row>
    <row r="1532" spans="1:11">
      <c r="A1532" s="7">
        <v>40015</v>
      </c>
      <c r="B1532" s="1">
        <v>7969.23</v>
      </c>
      <c r="C1532" s="1" t="s">
        <v>46</v>
      </c>
      <c r="D1532" s="13">
        <f>VALUE(MID(C1532,9,3))</f>
        <v>440</v>
      </c>
      <c r="E1532" s="14">
        <f>MONTH(A1532)</f>
        <v>7</v>
      </c>
      <c r="G1532" s="1" t="s">
        <v>87</v>
      </c>
      <c r="H1532" s="1">
        <v>4.2</v>
      </c>
      <c r="I1532" s="1" t="s">
        <v>88</v>
      </c>
      <c r="J1532" s="13">
        <f>VALUE(MID(I1532,1,3))</f>
        <v>231</v>
      </c>
      <c r="K1532" s="13">
        <f>VALUE(MID(G1532,5,2))</f>
        <v>1</v>
      </c>
    </row>
    <row r="1533" spans="1:11">
      <c r="A1533" s="7">
        <v>40084</v>
      </c>
      <c r="B1533" s="1">
        <v>2498</v>
      </c>
      <c r="C1533" s="1" t="s">
        <v>43</v>
      </c>
      <c r="D1533" s="13">
        <f>VALUE(MID(C1533,9,3))</f>
        <v>440</v>
      </c>
      <c r="E1533" s="14">
        <f>MONTH(A1533)</f>
        <v>9</v>
      </c>
      <c r="G1533" s="1" t="s">
        <v>113</v>
      </c>
      <c r="H1533" s="1">
        <v>2.8</v>
      </c>
      <c r="I1533" s="1" t="s">
        <v>88</v>
      </c>
      <c r="J1533" s="13">
        <f>VALUE(MID(I1533,1,3))</f>
        <v>231</v>
      </c>
      <c r="K1533" s="13">
        <f>VALUE(MID(G1533,5,2))</f>
        <v>2</v>
      </c>
    </row>
    <row r="1534" spans="1:11">
      <c r="A1534" s="7">
        <v>40114</v>
      </c>
      <c r="B1534" s="1">
        <v>9251.8799999999992</v>
      </c>
      <c r="C1534" s="1" t="s">
        <v>46</v>
      </c>
      <c r="D1534" s="13">
        <f>VALUE(MID(C1534,9,3))</f>
        <v>440</v>
      </c>
      <c r="E1534" s="14">
        <f>MONTH(A1534)</f>
        <v>10</v>
      </c>
      <c r="G1534" s="1" t="s">
        <v>120</v>
      </c>
      <c r="H1534" s="1">
        <v>4.95</v>
      </c>
      <c r="I1534" s="1" t="s">
        <v>88</v>
      </c>
      <c r="J1534" s="13">
        <f>VALUE(MID(I1534,1,3))</f>
        <v>231</v>
      </c>
      <c r="K1534" s="13">
        <f>VALUE(MID(G1534,5,2))</f>
        <v>3</v>
      </c>
    </row>
    <row r="1535" spans="1:11">
      <c r="A1535" s="7">
        <v>39993</v>
      </c>
      <c r="B1535" s="1">
        <v>3500</v>
      </c>
      <c r="C1535" s="1" t="s">
        <v>46</v>
      </c>
      <c r="D1535" s="13">
        <f>VALUE(MID(C1535,9,3))</f>
        <v>440</v>
      </c>
      <c r="E1535" s="14">
        <f>MONTH(A1535)</f>
        <v>6</v>
      </c>
      <c r="G1535" s="1" t="s">
        <v>130</v>
      </c>
      <c r="H1535" s="1">
        <v>10.5</v>
      </c>
      <c r="I1535" s="1" t="s">
        <v>88</v>
      </c>
      <c r="J1535" s="13">
        <f>VALUE(MID(I1535,1,3))</f>
        <v>231</v>
      </c>
      <c r="K1535" s="13">
        <f>VALUE(MID(G1535,5,2))</f>
        <v>3</v>
      </c>
    </row>
    <row r="1536" spans="1:11">
      <c r="A1536" s="7">
        <v>39993</v>
      </c>
      <c r="B1536" s="1">
        <v>7000</v>
      </c>
      <c r="C1536" s="1" t="s">
        <v>43</v>
      </c>
      <c r="D1536" s="13">
        <f>VALUE(MID(C1536,9,3))</f>
        <v>440</v>
      </c>
      <c r="E1536" s="14">
        <f>MONTH(A1536)</f>
        <v>6</v>
      </c>
      <c r="G1536" s="1" t="s">
        <v>139</v>
      </c>
      <c r="H1536" s="1">
        <v>33.5</v>
      </c>
      <c r="I1536" s="1" t="s">
        <v>88</v>
      </c>
      <c r="J1536" s="13">
        <f>VALUE(MID(I1536,1,3))</f>
        <v>231</v>
      </c>
      <c r="K1536" s="13">
        <f>VALUE(MID(G1536,5,2))</f>
        <v>4</v>
      </c>
    </row>
    <row r="1537" spans="1:11">
      <c r="A1537" s="7">
        <v>39993</v>
      </c>
      <c r="B1537" s="1">
        <v>2998</v>
      </c>
      <c r="C1537" s="1" t="s">
        <v>43</v>
      </c>
      <c r="D1537" s="13">
        <f>VALUE(MID(C1537,9,3))</f>
        <v>440</v>
      </c>
      <c r="E1537" s="14">
        <f>MONTH(A1537)</f>
        <v>6</v>
      </c>
      <c r="G1537" s="1" t="s">
        <v>145</v>
      </c>
      <c r="H1537" s="1">
        <v>1.6</v>
      </c>
      <c r="I1537" s="1" t="s">
        <v>88</v>
      </c>
      <c r="J1537" s="13">
        <f>VALUE(MID(I1537,1,3))</f>
        <v>231</v>
      </c>
      <c r="K1537" s="13">
        <f>VALUE(MID(G1537,5,2))</f>
        <v>4</v>
      </c>
    </row>
    <row r="1538" spans="1:11">
      <c r="A1538" s="7">
        <v>39884</v>
      </c>
      <c r="B1538" s="1">
        <v>138.72</v>
      </c>
      <c r="C1538" s="1" t="s">
        <v>48</v>
      </c>
      <c r="D1538" s="13">
        <f>VALUE(MID(C1538,9,3))</f>
        <v>520</v>
      </c>
      <c r="E1538" s="14">
        <f>MONTH(A1538)</f>
        <v>3</v>
      </c>
      <c r="G1538" s="1" t="s">
        <v>152</v>
      </c>
      <c r="H1538" s="1">
        <v>150</v>
      </c>
      <c r="I1538" s="1" t="s">
        <v>88</v>
      </c>
      <c r="J1538" s="13">
        <f>VALUE(MID(I1538,1,3))</f>
        <v>231</v>
      </c>
      <c r="K1538" s="13">
        <f>VALUE(MID(G1538,5,2))</f>
        <v>5</v>
      </c>
    </row>
    <row r="1539" spans="1:11">
      <c r="A1539" s="7">
        <v>39976</v>
      </c>
      <c r="B1539" s="1">
        <v>54.95</v>
      </c>
      <c r="C1539" s="1" t="s">
        <v>48</v>
      </c>
      <c r="D1539" s="13">
        <f>VALUE(MID(C1539,9,3))</f>
        <v>520</v>
      </c>
      <c r="E1539" s="14">
        <f>MONTH(A1539)</f>
        <v>6</v>
      </c>
      <c r="G1539" s="1" t="s">
        <v>152</v>
      </c>
      <c r="H1539" s="1">
        <v>13.9</v>
      </c>
      <c r="I1539" s="1" t="s">
        <v>88</v>
      </c>
      <c r="J1539" s="13">
        <f>VALUE(MID(I1539,1,3))</f>
        <v>231</v>
      </c>
      <c r="K1539" s="13">
        <f>VALUE(MID(G1539,5,2))</f>
        <v>5</v>
      </c>
    </row>
    <row r="1540" spans="1:11">
      <c r="A1540" s="7">
        <v>39888</v>
      </c>
      <c r="B1540" s="1">
        <v>139.75</v>
      </c>
      <c r="C1540" s="1" t="s">
        <v>48</v>
      </c>
      <c r="D1540" s="13">
        <f>VALUE(MID(C1540,9,3))</f>
        <v>520</v>
      </c>
      <c r="E1540" s="14">
        <f>MONTH(A1540)</f>
        <v>3</v>
      </c>
      <c r="G1540" s="1" t="s">
        <v>152</v>
      </c>
      <c r="H1540" s="1">
        <v>83.84</v>
      </c>
      <c r="I1540" s="1" t="s">
        <v>88</v>
      </c>
      <c r="J1540" s="13">
        <f>VALUE(MID(I1540,1,3))</f>
        <v>231</v>
      </c>
      <c r="K1540" s="13">
        <f>VALUE(MID(G1540,5,2))</f>
        <v>5</v>
      </c>
    </row>
    <row r="1541" spans="1:11">
      <c r="A1541" s="7">
        <v>40165</v>
      </c>
      <c r="B1541" s="1">
        <v>61.82</v>
      </c>
      <c r="C1541" s="1" t="s">
        <v>48</v>
      </c>
      <c r="D1541" s="13">
        <f>VALUE(MID(C1541,9,3))</f>
        <v>520</v>
      </c>
      <c r="E1541" s="14">
        <f>MONTH(A1541)</f>
        <v>12</v>
      </c>
      <c r="G1541" s="1" t="s">
        <v>152</v>
      </c>
      <c r="H1541" s="1">
        <v>169.68</v>
      </c>
      <c r="I1541" s="1" t="s">
        <v>88</v>
      </c>
      <c r="J1541" s="13">
        <f>VALUE(MID(I1541,1,3))</f>
        <v>231</v>
      </c>
      <c r="K1541" s="13">
        <f>VALUE(MID(G1541,5,2))</f>
        <v>5</v>
      </c>
    </row>
    <row r="1542" spans="1:11">
      <c r="A1542" s="7">
        <v>39872</v>
      </c>
      <c r="B1542" s="1">
        <v>724.47</v>
      </c>
      <c r="C1542" s="1" t="s">
        <v>48</v>
      </c>
      <c r="D1542" s="13">
        <f>VALUE(MID(C1542,9,3))</f>
        <v>520</v>
      </c>
      <c r="E1542" s="14">
        <f>MONTH(A1542)</f>
        <v>2</v>
      </c>
      <c r="G1542" s="1" t="s">
        <v>167</v>
      </c>
      <c r="H1542" s="1">
        <v>64</v>
      </c>
      <c r="I1542" s="1" t="s">
        <v>88</v>
      </c>
      <c r="J1542" s="13">
        <f>VALUE(MID(I1542,1,3))</f>
        <v>231</v>
      </c>
      <c r="K1542" s="13">
        <f>VALUE(MID(G1542,5,2))</f>
        <v>6</v>
      </c>
    </row>
    <row r="1543" spans="1:11">
      <c r="A1543" s="7">
        <v>40084</v>
      </c>
      <c r="B1543" s="1">
        <v>63.61</v>
      </c>
      <c r="C1543" s="1" t="s">
        <v>48</v>
      </c>
      <c r="D1543" s="13">
        <f>VALUE(MID(C1543,9,3))</f>
        <v>520</v>
      </c>
      <c r="E1543" s="14">
        <f>MONTH(A1543)</f>
        <v>9</v>
      </c>
      <c r="G1543" s="1" t="s">
        <v>167</v>
      </c>
      <c r="H1543" s="1">
        <v>37.82</v>
      </c>
      <c r="I1543" s="1" t="s">
        <v>88</v>
      </c>
      <c r="J1543" s="13">
        <f>VALUE(MID(I1543,1,3))</f>
        <v>231</v>
      </c>
      <c r="K1543" s="13">
        <f>VALUE(MID(G1543,5,2))</f>
        <v>6</v>
      </c>
    </row>
    <row r="1544" spans="1:11">
      <c r="A1544" s="7">
        <v>39962</v>
      </c>
      <c r="B1544" s="1">
        <v>297.72000000000003</v>
      </c>
      <c r="C1544" s="1" t="s">
        <v>48</v>
      </c>
      <c r="D1544" s="13">
        <f>VALUE(MID(C1544,9,3))</f>
        <v>520</v>
      </c>
      <c r="E1544" s="14">
        <f>MONTH(A1544)</f>
        <v>5</v>
      </c>
      <c r="G1544" s="1" t="s">
        <v>167</v>
      </c>
      <c r="H1544" s="1">
        <v>16.510000000000002</v>
      </c>
      <c r="I1544" s="1" t="s">
        <v>88</v>
      </c>
      <c r="J1544" s="13">
        <f>VALUE(MID(I1544,1,3))</f>
        <v>231</v>
      </c>
      <c r="K1544" s="13">
        <f>VALUE(MID(G1544,5,2))</f>
        <v>6</v>
      </c>
    </row>
    <row r="1545" spans="1:11">
      <c r="A1545" s="7">
        <v>39933</v>
      </c>
      <c r="B1545" s="1">
        <v>440.24</v>
      </c>
      <c r="C1545" s="1" t="s">
        <v>48</v>
      </c>
      <c r="D1545" s="13">
        <f>VALUE(MID(C1545,9,3))</f>
        <v>520</v>
      </c>
      <c r="E1545" s="14">
        <f>MONTH(A1545)</f>
        <v>4</v>
      </c>
      <c r="G1545" s="1" t="s">
        <v>167</v>
      </c>
      <c r="H1545" s="1">
        <v>16.47</v>
      </c>
      <c r="I1545" s="1" t="s">
        <v>88</v>
      </c>
      <c r="J1545" s="13">
        <f>VALUE(MID(I1545,1,3))</f>
        <v>231</v>
      </c>
      <c r="K1545" s="13">
        <f>VALUE(MID(G1545,5,2))</f>
        <v>6</v>
      </c>
    </row>
    <row r="1546" spans="1:11">
      <c r="A1546" s="7">
        <v>39933</v>
      </c>
      <c r="B1546" s="1">
        <v>16.62</v>
      </c>
      <c r="C1546" s="1" t="s">
        <v>48</v>
      </c>
      <c r="D1546" s="13">
        <f>VALUE(MID(C1546,9,3))</f>
        <v>520</v>
      </c>
      <c r="E1546" s="14">
        <f>MONTH(A1546)</f>
        <v>4</v>
      </c>
      <c r="G1546" s="1" t="s">
        <v>167</v>
      </c>
      <c r="H1546" s="1">
        <v>38.9</v>
      </c>
      <c r="I1546" s="1" t="s">
        <v>88</v>
      </c>
      <c r="J1546" s="13">
        <f>VALUE(MID(I1546,1,3))</f>
        <v>231</v>
      </c>
      <c r="K1546" s="13">
        <f>VALUE(MID(G1546,5,2))</f>
        <v>6</v>
      </c>
    </row>
    <row r="1547" spans="1:11">
      <c r="A1547" s="7">
        <v>39994</v>
      </c>
      <c r="B1547" s="1">
        <v>34.96</v>
      </c>
      <c r="C1547" s="1" t="s">
        <v>48</v>
      </c>
      <c r="D1547" s="13">
        <f>VALUE(MID(C1547,9,3))</f>
        <v>520</v>
      </c>
      <c r="E1547" s="14">
        <f>MONTH(A1547)</f>
        <v>6</v>
      </c>
      <c r="G1547" s="1" t="s">
        <v>167</v>
      </c>
      <c r="H1547" s="1">
        <v>159.37</v>
      </c>
      <c r="I1547" s="1" t="s">
        <v>88</v>
      </c>
      <c r="J1547" s="13">
        <f>VALUE(MID(I1547,1,3))</f>
        <v>231</v>
      </c>
      <c r="K1547" s="13">
        <f>VALUE(MID(G1547,5,2))</f>
        <v>6</v>
      </c>
    </row>
    <row r="1548" spans="1:11">
      <c r="A1548" s="7">
        <v>39994</v>
      </c>
      <c r="B1548" s="1">
        <v>603.5</v>
      </c>
      <c r="C1548" s="1" t="s">
        <v>48</v>
      </c>
      <c r="D1548" s="13">
        <f>VALUE(MID(C1548,9,3))</f>
        <v>520</v>
      </c>
      <c r="E1548" s="14">
        <f>MONTH(A1548)</f>
        <v>6</v>
      </c>
      <c r="G1548" s="1" t="s">
        <v>167</v>
      </c>
      <c r="H1548" s="1">
        <v>14.4</v>
      </c>
      <c r="I1548" s="1" t="s">
        <v>88</v>
      </c>
      <c r="J1548" s="13">
        <f>VALUE(MID(I1548,1,3))</f>
        <v>231</v>
      </c>
      <c r="K1548" s="13">
        <f>VALUE(MID(G1548,5,2))</f>
        <v>6</v>
      </c>
    </row>
    <row r="1549" spans="1:11">
      <c r="A1549" s="7">
        <v>40086</v>
      </c>
      <c r="B1549" s="1">
        <v>-0.08</v>
      </c>
      <c r="C1549" s="1" t="s">
        <v>48</v>
      </c>
      <c r="D1549" s="13">
        <f>VALUE(MID(C1549,9,3))</f>
        <v>520</v>
      </c>
      <c r="E1549" s="14">
        <f>MONTH(A1549)</f>
        <v>9</v>
      </c>
      <c r="G1549" s="1" t="s">
        <v>167</v>
      </c>
      <c r="H1549" s="1">
        <v>115.66</v>
      </c>
      <c r="I1549" s="1" t="s">
        <v>88</v>
      </c>
      <c r="J1549" s="13">
        <f>VALUE(MID(I1549,1,3))</f>
        <v>231</v>
      </c>
      <c r="K1549" s="13">
        <f>VALUE(MID(G1549,5,2))</f>
        <v>6</v>
      </c>
    </row>
    <row r="1550" spans="1:11">
      <c r="A1550" s="7">
        <v>40086</v>
      </c>
      <c r="B1550" s="1">
        <v>44.2</v>
      </c>
      <c r="C1550" s="1" t="s">
        <v>48</v>
      </c>
      <c r="D1550" s="13">
        <f>VALUE(MID(C1550,9,3))</f>
        <v>520</v>
      </c>
      <c r="E1550" s="14">
        <f>MONTH(A1550)</f>
        <v>9</v>
      </c>
      <c r="G1550" s="1" t="s">
        <v>167</v>
      </c>
      <c r="H1550" s="1">
        <v>536</v>
      </c>
      <c r="I1550" s="1" t="s">
        <v>88</v>
      </c>
      <c r="J1550" s="13">
        <f>VALUE(MID(I1550,1,3))</f>
        <v>231</v>
      </c>
      <c r="K1550" s="13">
        <f>VALUE(MID(G1550,5,2))</f>
        <v>6</v>
      </c>
    </row>
    <row r="1551" spans="1:11">
      <c r="A1551" s="7">
        <v>40086</v>
      </c>
      <c r="B1551" s="1">
        <v>376.36</v>
      </c>
      <c r="C1551" s="1" t="s">
        <v>48</v>
      </c>
      <c r="D1551" s="13">
        <f>VALUE(MID(C1551,9,3))</f>
        <v>520</v>
      </c>
      <c r="E1551" s="14">
        <f>MONTH(A1551)</f>
        <v>9</v>
      </c>
      <c r="G1551" s="1" t="s">
        <v>167</v>
      </c>
      <c r="H1551" s="1">
        <v>460</v>
      </c>
      <c r="I1551" s="1" t="s">
        <v>88</v>
      </c>
      <c r="J1551" s="13">
        <f>VALUE(MID(I1551,1,3))</f>
        <v>231</v>
      </c>
      <c r="K1551" s="13">
        <f>VALUE(MID(G1551,5,2))</f>
        <v>6</v>
      </c>
    </row>
    <row r="1552" spans="1:11">
      <c r="A1552" s="7">
        <v>40116</v>
      </c>
      <c r="B1552" s="1">
        <v>408.68</v>
      </c>
      <c r="C1552" s="1" t="s">
        <v>48</v>
      </c>
      <c r="D1552" s="13">
        <f>VALUE(MID(C1552,9,3))</f>
        <v>520</v>
      </c>
      <c r="E1552" s="14">
        <f>MONTH(A1552)</f>
        <v>10</v>
      </c>
      <c r="G1552" s="1" t="s">
        <v>167</v>
      </c>
      <c r="H1552" s="1">
        <v>11.95</v>
      </c>
      <c r="I1552" s="1" t="s">
        <v>88</v>
      </c>
      <c r="J1552" s="13">
        <f>VALUE(MID(I1552,1,3))</f>
        <v>231</v>
      </c>
      <c r="K1552" s="13">
        <f>VALUE(MID(G1552,5,2))</f>
        <v>6</v>
      </c>
    </row>
    <row r="1553" spans="1:11">
      <c r="A1553" s="7">
        <v>40147</v>
      </c>
      <c r="B1553" s="1">
        <v>411.39</v>
      </c>
      <c r="C1553" s="1" t="s">
        <v>48</v>
      </c>
      <c r="D1553" s="13">
        <f>VALUE(MID(C1553,9,3))</f>
        <v>520</v>
      </c>
      <c r="E1553" s="14">
        <f>MONTH(A1553)</f>
        <v>11</v>
      </c>
      <c r="G1553" s="1" t="s">
        <v>167</v>
      </c>
      <c r="H1553" s="1">
        <v>130.54</v>
      </c>
      <c r="I1553" s="1" t="s">
        <v>88</v>
      </c>
      <c r="J1553" s="13">
        <f>VALUE(MID(I1553,1,3))</f>
        <v>231</v>
      </c>
      <c r="K1553" s="13">
        <f>VALUE(MID(G1553,5,2))</f>
        <v>6</v>
      </c>
    </row>
    <row r="1554" spans="1:11">
      <c r="A1554" s="7">
        <v>39844</v>
      </c>
      <c r="B1554" s="1">
        <v>1490.25</v>
      </c>
      <c r="C1554" s="1" t="s">
        <v>48</v>
      </c>
      <c r="D1554" s="13">
        <f>VALUE(MID(C1554,9,3))</f>
        <v>520</v>
      </c>
      <c r="E1554" s="14">
        <f>MONTH(A1554)</f>
        <v>1</v>
      </c>
      <c r="G1554" s="1" t="s">
        <v>167</v>
      </c>
      <c r="H1554" s="1">
        <v>36.67</v>
      </c>
      <c r="I1554" s="1" t="s">
        <v>88</v>
      </c>
      <c r="J1554" s="13">
        <f>VALUE(MID(I1554,1,3))</f>
        <v>231</v>
      </c>
      <c r="K1554" s="13">
        <f>VALUE(MID(G1554,5,2))</f>
        <v>6</v>
      </c>
    </row>
    <row r="1555" spans="1:11">
      <c r="A1555" s="7">
        <v>39903</v>
      </c>
      <c r="B1555" s="1">
        <v>67.61</v>
      </c>
      <c r="C1555" s="1" t="s">
        <v>48</v>
      </c>
      <c r="D1555" s="13">
        <f>VALUE(MID(C1555,9,3))</f>
        <v>520</v>
      </c>
      <c r="E1555" s="14">
        <f>MONTH(A1555)</f>
        <v>3</v>
      </c>
      <c r="G1555" s="1" t="s">
        <v>167</v>
      </c>
      <c r="H1555" s="1">
        <v>200</v>
      </c>
      <c r="I1555" s="1" t="s">
        <v>88</v>
      </c>
      <c r="J1555" s="13">
        <f>VALUE(MID(I1555,1,3))</f>
        <v>231</v>
      </c>
      <c r="K1555" s="13">
        <f>VALUE(MID(G1555,5,2))</f>
        <v>6</v>
      </c>
    </row>
    <row r="1556" spans="1:11">
      <c r="A1556" s="7">
        <v>39903</v>
      </c>
      <c r="B1556" s="1">
        <v>842.84</v>
      </c>
      <c r="C1556" s="1" t="s">
        <v>48</v>
      </c>
      <c r="D1556" s="13">
        <f>VALUE(MID(C1556,9,3))</f>
        <v>520</v>
      </c>
      <c r="E1556" s="14">
        <f>MONTH(A1556)</f>
        <v>3</v>
      </c>
      <c r="G1556" s="1" t="s">
        <v>175</v>
      </c>
      <c r="H1556" s="1">
        <v>102.11</v>
      </c>
      <c r="I1556" s="1" t="s">
        <v>88</v>
      </c>
      <c r="J1556" s="13">
        <f>VALUE(MID(I1556,1,3))</f>
        <v>231</v>
      </c>
      <c r="K1556" s="13">
        <f>VALUE(MID(G1556,5,2))</f>
        <v>7</v>
      </c>
    </row>
    <row r="1557" spans="1:11">
      <c r="A1557" s="7">
        <v>40025</v>
      </c>
      <c r="B1557" s="1">
        <v>610.76</v>
      </c>
      <c r="C1557" s="1" t="s">
        <v>48</v>
      </c>
      <c r="D1557" s="13">
        <f>VALUE(MID(C1557,9,3))</f>
        <v>520</v>
      </c>
      <c r="E1557" s="14">
        <f>MONTH(A1557)</f>
        <v>7</v>
      </c>
      <c r="G1557" s="1" t="s">
        <v>175</v>
      </c>
      <c r="H1557" s="1">
        <v>310.61</v>
      </c>
      <c r="I1557" s="1" t="s">
        <v>88</v>
      </c>
      <c r="J1557" s="13">
        <f>VALUE(MID(I1557,1,3))</f>
        <v>231</v>
      </c>
      <c r="K1557" s="13">
        <f>VALUE(MID(G1557,5,2))</f>
        <v>7</v>
      </c>
    </row>
    <row r="1558" spans="1:11">
      <c r="A1558" s="7">
        <v>40056</v>
      </c>
      <c r="B1558" s="1">
        <v>397.78</v>
      </c>
      <c r="C1558" s="1" t="s">
        <v>48</v>
      </c>
      <c r="D1558" s="13">
        <f>VALUE(MID(C1558,9,3))</f>
        <v>520</v>
      </c>
      <c r="E1558" s="14">
        <f>MONTH(A1558)</f>
        <v>8</v>
      </c>
      <c r="G1558" s="1" t="s">
        <v>175</v>
      </c>
      <c r="H1558" s="1">
        <v>69.77</v>
      </c>
      <c r="I1558" s="1" t="s">
        <v>88</v>
      </c>
      <c r="J1558" s="13">
        <f>VALUE(MID(I1558,1,3))</f>
        <v>231</v>
      </c>
      <c r="K1558" s="13">
        <f>VALUE(MID(G1558,5,2))</f>
        <v>7</v>
      </c>
    </row>
    <row r="1559" spans="1:11">
      <c r="A1559" s="7">
        <v>40178</v>
      </c>
      <c r="B1559" s="1">
        <v>-0.01</v>
      </c>
      <c r="C1559" s="1" t="s">
        <v>48</v>
      </c>
      <c r="D1559" s="13">
        <f>VALUE(MID(C1559,9,3))</f>
        <v>520</v>
      </c>
      <c r="E1559" s="14">
        <f>MONTH(A1559)</f>
        <v>12</v>
      </c>
      <c r="G1559" s="1" t="s">
        <v>175</v>
      </c>
      <c r="H1559" s="1">
        <v>40.770000000000003</v>
      </c>
      <c r="I1559" s="1" t="s">
        <v>88</v>
      </c>
      <c r="J1559" s="13">
        <f>VALUE(MID(I1559,1,3))</f>
        <v>231</v>
      </c>
      <c r="K1559" s="13">
        <f>VALUE(MID(G1559,5,2))</f>
        <v>7</v>
      </c>
    </row>
    <row r="1560" spans="1:11">
      <c r="A1560" s="7">
        <v>40178</v>
      </c>
      <c r="B1560" s="1">
        <v>212.39</v>
      </c>
      <c r="C1560" s="1" t="s">
        <v>48</v>
      </c>
      <c r="D1560" s="13">
        <f>VALUE(MID(C1560,9,3))</f>
        <v>520</v>
      </c>
      <c r="E1560" s="14">
        <f>MONTH(A1560)</f>
        <v>12</v>
      </c>
      <c r="G1560" s="1" t="s">
        <v>175</v>
      </c>
      <c r="H1560" s="1">
        <v>190.91</v>
      </c>
      <c r="I1560" s="1" t="s">
        <v>88</v>
      </c>
      <c r="J1560" s="13">
        <f>VALUE(MID(I1560,1,3))</f>
        <v>231</v>
      </c>
      <c r="K1560" s="13">
        <f>VALUE(MID(G1560,5,2))</f>
        <v>7</v>
      </c>
    </row>
    <row r="1561" spans="1:11">
      <c r="A1561" s="7">
        <v>40178</v>
      </c>
      <c r="B1561" s="1">
        <v>65.989999999999995</v>
      </c>
      <c r="C1561" s="1" t="s">
        <v>48</v>
      </c>
      <c r="D1561" s="13">
        <f>VALUE(MID(C1561,9,3))</f>
        <v>520</v>
      </c>
      <c r="E1561" s="14">
        <f>MONTH(A1561)</f>
        <v>12</v>
      </c>
      <c r="G1561" s="1" t="s">
        <v>175</v>
      </c>
      <c r="H1561" s="1">
        <v>290.64999999999998</v>
      </c>
      <c r="I1561" s="1" t="s">
        <v>88</v>
      </c>
      <c r="J1561" s="13">
        <f>VALUE(MID(I1561,1,3))</f>
        <v>231</v>
      </c>
      <c r="K1561" s="13">
        <f>VALUE(MID(G1561,5,2))</f>
        <v>7</v>
      </c>
    </row>
    <row r="1562" spans="1:11">
      <c r="A1562" s="7">
        <v>39904</v>
      </c>
      <c r="B1562" s="1">
        <v>142.5</v>
      </c>
      <c r="C1562" s="1" t="s">
        <v>4</v>
      </c>
      <c r="D1562" s="13">
        <f>VALUE(MID(C1562,9,3))</f>
        <v>541</v>
      </c>
      <c r="E1562" s="14">
        <f>MONTH(A1562)</f>
        <v>4</v>
      </c>
      <c r="G1562" s="1" t="s">
        <v>175</v>
      </c>
      <c r="H1562" s="1">
        <v>81.62</v>
      </c>
      <c r="I1562" s="1" t="s">
        <v>88</v>
      </c>
      <c r="J1562" s="13">
        <f>VALUE(MID(I1562,1,3))</f>
        <v>231</v>
      </c>
      <c r="K1562" s="13">
        <f>VALUE(MID(G1562,5,2))</f>
        <v>7</v>
      </c>
    </row>
    <row r="1563" spans="1:11">
      <c r="A1563" s="7">
        <v>39966</v>
      </c>
      <c r="B1563" s="1">
        <v>2752.56</v>
      </c>
      <c r="C1563" s="1" t="s">
        <v>23</v>
      </c>
      <c r="D1563" s="13">
        <f>VALUE(MID(C1563,9,3))</f>
        <v>541</v>
      </c>
      <c r="E1563" s="14">
        <f>MONTH(A1563)</f>
        <v>6</v>
      </c>
      <c r="G1563" s="1" t="s">
        <v>175</v>
      </c>
      <c r="H1563" s="1">
        <v>79.08</v>
      </c>
      <c r="I1563" s="1" t="s">
        <v>88</v>
      </c>
      <c r="J1563" s="13">
        <f>VALUE(MID(I1563,1,3))</f>
        <v>231</v>
      </c>
      <c r="K1563" s="13">
        <f>VALUE(MID(G1563,5,2))</f>
        <v>7</v>
      </c>
    </row>
    <row r="1564" spans="1:11">
      <c r="A1564" s="7">
        <v>39996</v>
      </c>
      <c r="B1564" s="1">
        <v>165</v>
      </c>
      <c r="C1564" s="1" t="s">
        <v>4</v>
      </c>
      <c r="D1564" s="13">
        <f>VALUE(MID(C1564,9,3))</f>
        <v>541</v>
      </c>
      <c r="E1564" s="14">
        <f>MONTH(A1564)</f>
        <v>7</v>
      </c>
      <c r="G1564" s="1" t="s">
        <v>175</v>
      </c>
      <c r="H1564" s="1">
        <v>54.41</v>
      </c>
      <c r="I1564" s="1" t="s">
        <v>88</v>
      </c>
      <c r="J1564" s="13">
        <f>VALUE(MID(I1564,1,3))</f>
        <v>231</v>
      </c>
      <c r="K1564" s="13">
        <f>VALUE(MID(G1564,5,2))</f>
        <v>7</v>
      </c>
    </row>
    <row r="1565" spans="1:11">
      <c r="A1565" s="7">
        <v>40008</v>
      </c>
      <c r="B1565" s="1">
        <v>2180.25</v>
      </c>
      <c r="C1565" s="1" t="s">
        <v>23</v>
      </c>
      <c r="D1565" s="13">
        <f>VALUE(MID(C1565,9,3))</f>
        <v>541</v>
      </c>
      <c r="E1565" s="14">
        <f>MONTH(A1565)</f>
        <v>7</v>
      </c>
      <c r="G1565" s="1" t="s">
        <v>175</v>
      </c>
      <c r="H1565" s="1">
        <v>134.51</v>
      </c>
      <c r="I1565" s="1" t="s">
        <v>88</v>
      </c>
      <c r="J1565" s="13">
        <f>VALUE(MID(I1565,1,3))</f>
        <v>231</v>
      </c>
      <c r="K1565" s="13">
        <f>VALUE(MID(G1565,5,2))</f>
        <v>7</v>
      </c>
    </row>
    <row r="1566" spans="1:11">
      <c r="A1566" s="7">
        <v>40162</v>
      </c>
      <c r="B1566" s="1">
        <v>11.25</v>
      </c>
      <c r="C1566" s="1" t="s">
        <v>52</v>
      </c>
      <c r="D1566" s="13">
        <f>VALUE(MID(C1566,9,3))</f>
        <v>541</v>
      </c>
      <c r="E1566" s="14">
        <f>MONTH(A1566)</f>
        <v>12</v>
      </c>
      <c r="G1566" s="1" t="s">
        <v>175</v>
      </c>
      <c r="H1566" s="1">
        <v>798.3</v>
      </c>
      <c r="I1566" s="1" t="s">
        <v>88</v>
      </c>
      <c r="J1566" s="13">
        <f>VALUE(MID(I1566,1,3))</f>
        <v>231</v>
      </c>
      <c r="K1566" s="13">
        <f>VALUE(MID(G1566,5,2))</f>
        <v>7</v>
      </c>
    </row>
    <row r="1567" spans="1:11">
      <c r="A1567" s="7">
        <v>39861</v>
      </c>
      <c r="B1567" s="1">
        <v>2752.56</v>
      </c>
      <c r="C1567" s="1" t="s">
        <v>23</v>
      </c>
      <c r="D1567" s="13">
        <f>VALUE(MID(C1567,9,3))</f>
        <v>541</v>
      </c>
      <c r="E1567" s="14">
        <f>MONTH(A1567)</f>
        <v>2</v>
      </c>
      <c r="G1567" s="1" t="s">
        <v>175</v>
      </c>
      <c r="H1567" s="1">
        <v>163.9</v>
      </c>
      <c r="I1567" s="1" t="s">
        <v>88</v>
      </c>
      <c r="J1567" s="13">
        <f>VALUE(MID(I1567,1,3))</f>
        <v>231</v>
      </c>
      <c r="K1567" s="13">
        <f>VALUE(MID(G1567,5,2))</f>
        <v>7</v>
      </c>
    </row>
    <row r="1568" spans="1:11">
      <c r="A1568" s="7">
        <v>40073</v>
      </c>
      <c r="B1568" s="1">
        <v>33.75</v>
      </c>
      <c r="C1568" s="1" t="s">
        <v>4</v>
      </c>
      <c r="D1568" s="13">
        <f>VALUE(MID(C1568,9,3))</f>
        <v>541</v>
      </c>
      <c r="E1568" s="14">
        <f>MONTH(A1568)</f>
        <v>9</v>
      </c>
      <c r="G1568" s="1" t="s">
        <v>175</v>
      </c>
      <c r="H1568" s="1">
        <v>160.80000000000001</v>
      </c>
      <c r="I1568" s="1" t="s">
        <v>88</v>
      </c>
      <c r="J1568" s="13">
        <f>VALUE(MID(I1568,1,3))</f>
        <v>231</v>
      </c>
      <c r="K1568" s="13">
        <f>VALUE(MID(G1568,5,2))</f>
        <v>7</v>
      </c>
    </row>
    <row r="1569" spans="1:11">
      <c r="A1569" s="7">
        <v>40167</v>
      </c>
      <c r="B1569" s="1">
        <v>148</v>
      </c>
      <c r="C1569" s="1" t="s">
        <v>56</v>
      </c>
      <c r="D1569" s="13">
        <f>VALUE(MID(C1569,9,3))</f>
        <v>541</v>
      </c>
      <c r="E1569" s="14">
        <f>MONTH(A1569)</f>
        <v>12</v>
      </c>
      <c r="G1569" s="1" t="s">
        <v>175</v>
      </c>
      <c r="H1569" s="1">
        <v>12.05</v>
      </c>
      <c r="I1569" s="1" t="s">
        <v>88</v>
      </c>
      <c r="J1569" s="13">
        <f>VALUE(MID(I1569,1,3))</f>
        <v>231</v>
      </c>
      <c r="K1569" s="13">
        <f>VALUE(MID(G1569,5,2))</f>
        <v>7</v>
      </c>
    </row>
    <row r="1570" spans="1:11">
      <c r="A1570" s="7">
        <v>40167</v>
      </c>
      <c r="B1570" s="1">
        <v>249.75</v>
      </c>
      <c r="C1570" s="1" t="s">
        <v>52</v>
      </c>
      <c r="D1570" s="13">
        <f>VALUE(MID(C1570,9,3))</f>
        <v>541</v>
      </c>
      <c r="E1570" s="14">
        <f>MONTH(A1570)</f>
        <v>12</v>
      </c>
      <c r="G1570" s="1" t="s">
        <v>175</v>
      </c>
      <c r="H1570" s="1">
        <v>33.5</v>
      </c>
      <c r="I1570" s="1" t="s">
        <v>88</v>
      </c>
      <c r="J1570" s="13">
        <f>VALUE(MID(I1570,1,3))</f>
        <v>231</v>
      </c>
      <c r="K1570" s="13">
        <f>VALUE(MID(G1570,5,2))</f>
        <v>7</v>
      </c>
    </row>
    <row r="1571" spans="1:11">
      <c r="A1571" s="7">
        <v>40167</v>
      </c>
      <c r="B1571" s="1">
        <v>132</v>
      </c>
      <c r="C1571" s="1" t="s">
        <v>4</v>
      </c>
      <c r="D1571" s="13">
        <f>VALUE(MID(C1571,9,3))</f>
        <v>541</v>
      </c>
      <c r="E1571" s="14">
        <f>MONTH(A1571)</f>
        <v>12</v>
      </c>
      <c r="G1571" s="1" t="s">
        <v>175</v>
      </c>
      <c r="H1571" s="1">
        <v>19.55</v>
      </c>
      <c r="I1571" s="1" t="s">
        <v>88</v>
      </c>
      <c r="J1571" s="13">
        <f>VALUE(MID(I1571,1,3))</f>
        <v>231</v>
      </c>
      <c r="K1571" s="13">
        <f>VALUE(MID(G1571,5,2))</f>
        <v>7</v>
      </c>
    </row>
    <row r="1572" spans="1:11">
      <c r="A1572" s="7">
        <v>40167</v>
      </c>
      <c r="B1572" s="1">
        <v>36</v>
      </c>
      <c r="C1572" s="1" t="s">
        <v>57</v>
      </c>
      <c r="D1572" s="13">
        <f>VALUE(MID(C1572,9,3))</f>
        <v>541</v>
      </c>
      <c r="E1572" s="14">
        <f>MONTH(A1572)</f>
        <v>12</v>
      </c>
      <c r="G1572" s="1" t="s">
        <v>178</v>
      </c>
      <c r="H1572" s="1">
        <v>5.9</v>
      </c>
      <c r="I1572" s="1" t="s">
        <v>88</v>
      </c>
      <c r="J1572" s="13">
        <f>VALUE(MID(I1572,1,3))</f>
        <v>231</v>
      </c>
      <c r="K1572" s="13">
        <f>VALUE(MID(G1572,5,2))</f>
        <v>7</v>
      </c>
    </row>
    <row r="1573" spans="1:11">
      <c r="A1573" s="7">
        <v>40169</v>
      </c>
      <c r="B1573" s="1">
        <v>22.5</v>
      </c>
      <c r="C1573" s="1" t="s">
        <v>52</v>
      </c>
      <c r="D1573" s="13">
        <f>VALUE(MID(C1573,9,3))</f>
        <v>541</v>
      </c>
      <c r="E1573" s="14">
        <f>MONTH(A1573)</f>
        <v>12</v>
      </c>
      <c r="G1573" s="1" t="s">
        <v>178</v>
      </c>
      <c r="H1573" s="1">
        <v>6.2</v>
      </c>
      <c r="I1573" s="1" t="s">
        <v>88</v>
      </c>
      <c r="J1573" s="13">
        <f>VALUE(MID(I1573,1,3))</f>
        <v>231</v>
      </c>
      <c r="K1573" s="13">
        <f>VALUE(MID(G1573,5,2))</f>
        <v>7</v>
      </c>
    </row>
    <row r="1574" spans="1:11">
      <c r="A1574" s="7">
        <v>40109</v>
      </c>
      <c r="B1574" s="1">
        <v>2180.25</v>
      </c>
      <c r="C1574" s="1" t="s">
        <v>23</v>
      </c>
      <c r="D1574" s="13">
        <f>VALUE(MID(C1574,9,3))</f>
        <v>541</v>
      </c>
      <c r="E1574" s="14">
        <f>MONTH(A1574)</f>
        <v>10</v>
      </c>
      <c r="G1574" s="1" t="s">
        <v>187</v>
      </c>
      <c r="H1574" s="1">
        <v>536</v>
      </c>
      <c r="I1574" s="1" t="s">
        <v>88</v>
      </c>
      <c r="J1574" s="13">
        <f>VALUE(MID(I1574,1,3))</f>
        <v>231</v>
      </c>
      <c r="K1574" s="13">
        <f>VALUE(MID(G1574,5,2))</f>
        <v>9</v>
      </c>
    </row>
    <row r="1575" spans="1:11">
      <c r="A1575" s="7">
        <v>39838</v>
      </c>
      <c r="B1575" s="1">
        <v>100</v>
      </c>
      <c r="C1575" s="1" t="s">
        <v>56</v>
      </c>
      <c r="D1575" s="13">
        <f>VALUE(MID(C1575,9,3))</f>
        <v>541</v>
      </c>
      <c r="E1575" s="14">
        <f>MONTH(A1575)</f>
        <v>1</v>
      </c>
      <c r="G1575" s="1" t="s">
        <v>192</v>
      </c>
      <c r="H1575" s="1">
        <v>7.85</v>
      </c>
      <c r="I1575" s="1" t="s">
        <v>88</v>
      </c>
      <c r="J1575" s="13">
        <f>VALUE(MID(I1575,1,3))</f>
        <v>231</v>
      </c>
      <c r="K1575" s="13">
        <f>VALUE(MID(G1575,5,2))</f>
        <v>9</v>
      </c>
    </row>
    <row r="1576" spans="1:11">
      <c r="A1576" s="7">
        <v>39838</v>
      </c>
      <c r="B1576" s="1">
        <v>60</v>
      </c>
      <c r="C1576" s="1" t="s">
        <v>52</v>
      </c>
      <c r="D1576" s="13">
        <f>VALUE(MID(C1576,9,3))</f>
        <v>541</v>
      </c>
      <c r="E1576" s="14">
        <f>MONTH(A1576)</f>
        <v>1</v>
      </c>
      <c r="G1576" s="1" t="s">
        <v>192</v>
      </c>
      <c r="H1576" s="1">
        <v>17.46</v>
      </c>
      <c r="I1576" s="1" t="s">
        <v>88</v>
      </c>
      <c r="J1576" s="13">
        <f>VALUE(MID(I1576,1,3))</f>
        <v>231</v>
      </c>
      <c r="K1576" s="13">
        <f>VALUE(MID(G1576,5,2))</f>
        <v>9</v>
      </c>
    </row>
    <row r="1577" spans="1:11">
      <c r="A1577" s="7">
        <v>39838</v>
      </c>
      <c r="B1577" s="1">
        <v>156</v>
      </c>
      <c r="C1577" s="1" t="s">
        <v>4</v>
      </c>
      <c r="D1577" s="13">
        <f>VALUE(MID(C1577,9,3))</f>
        <v>541</v>
      </c>
      <c r="E1577" s="14">
        <f>MONTH(A1577)</f>
        <v>1</v>
      </c>
      <c r="G1577" s="1" t="s">
        <v>192</v>
      </c>
      <c r="H1577" s="1">
        <v>171.75</v>
      </c>
      <c r="I1577" s="1" t="s">
        <v>88</v>
      </c>
      <c r="J1577" s="13">
        <f>VALUE(MID(I1577,1,3))</f>
        <v>231</v>
      </c>
      <c r="K1577" s="13">
        <f>VALUE(MID(G1577,5,2))</f>
        <v>9</v>
      </c>
    </row>
    <row r="1578" spans="1:11">
      <c r="A1578" s="7">
        <v>39838</v>
      </c>
      <c r="B1578" s="1">
        <v>60</v>
      </c>
      <c r="C1578" s="1" t="s">
        <v>57</v>
      </c>
      <c r="D1578" s="13">
        <f>VALUE(MID(C1578,9,3))</f>
        <v>541</v>
      </c>
      <c r="E1578" s="14">
        <f>MONTH(A1578)</f>
        <v>1</v>
      </c>
      <c r="G1578" s="1" t="s">
        <v>192</v>
      </c>
      <c r="H1578" s="1">
        <v>19.809999999999999</v>
      </c>
      <c r="I1578" s="1" t="s">
        <v>88</v>
      </c>
      <c r="J1578" s="13">
        <f>VALUE(MID(I1578,1,3))</f>
        <v>231</v>
      </c>
      <c r="K1578" s="13">
        <f>VALUE(MID(G1578,5,2))</f>
        <v>9</v>
      </c>
    </row>
    <row r="1579" spans="1:11">
      <c r="A1579" s="7">
        <v>39869</v>
      </c>
      <c r="B1579" s="1">
        <v>136</v>
      </c>
      <c r="C1579" s="1" t="s">
        <v>56</v>
      </c>
      <c r="D1579" s="13">
        <f>VALUE(MID(C1579,9,3))</f>
        <v>541</v>
      </c>
      <c r="E1579" s="14">
        <f>MONTH(A1579)</f>
        <v>2</v>
      </c>
      <c r="G1579" s="1" t="s">
        <v>192</v>
      </c>
      <c r="H1579" s="1">
        <v>104.44</v>
      </c>
      <c r="I1579" s="1" t="s">
        <v>88</v>
      </c>
      <c r="J1579" s="13">
        <f>VALUE(MID(I1579,1,3))</f>
        <v>231</v>
      </c>
      <c r="K1579" s="13">
        <f>VALUE(MID(G1579,5,2))</f>
        <v>9</v>
      </c>
    </row>
    <row r="1580" spans="1:11">
      <c r="A1580" s="7">
        <v>39869</v>
      </c>
      <c r="B1580" s="1">
        <v>60</v>
      </c>
      <c r="C1580" s="1" t="s">
        <v>52</v>
      </c>
      <c r="D1580" s="13">
        <f>VALUE(MID(C1580,9,3))</f>
        <v>541</v>
      </c>
      <c r="E1580" s="14">
        <f>MONTH(A1580)</f>
        <v>2</v>
      </c>
      <c r="G1580" s="1" t="s">
        <v>194</v>
      </c>
      <c r="H1580" s="1">
        <v>26.27</v>
      </c>
      <c r="I1580" s="1" t="s">
        <v>88</v>
      </c>
      <c r="J1580" s="13">
        <f>VALUE(MID(I1580,1,3))</f>
        <v>231</v>
      </c>
      <c r="K1580" s="13">
        <f>VALUE(MID(G1580,5,2))</f>
        <v>9</v>
      </c>
    </row>
    <row r="1581" spans="1:11">
      <c r="A1581" s="7">
        <v>39869</v>
      </c>
      <c r="B1581" s="1">
        <v>132</v>
      </c>
      <c r="C1581" s="1" t="s">
        <v>4</v>
      </c>
      <c r="D1581" s="13">
        <f>VALUE(MID(C1581,9,3))</f>
        <v>541</v>
      </c>
      <c r="E1581" s="14">
        <f>MONTH(A1581)</f>
        <v>2</v>
      </c>
      <c r="G1581" s="1" t="s">
        <v>193</v>
      </c>
      <c r="H1581" s="1">
        <v>150</v>
      </c>
      <c r="I1581" s="1" t="s">
        <v>88</v>
      </c>
      <c r="J1581" s="13">
        <f>VALUE(MID(I1581,1,3))</f>
        <v>231</v>
      </c>
      <c r="K1581" s="13">
        <f>VALUE(MID(G1581,5,2))</f>
        <v>9</v>
      </c>
    </row>
    <row r="1582" spans="1:11">
      <c r="A1582" s="7">
        <v>39869</v>
      </c>
      <c r="B1582" s="1">
        <v>48</v>
      </c>
      <c r="C1582" s="1" t="s">
        <v>57</v>
      </c>
      <c r="D1582" s="13">
        <f>VALUE(MID(C1582,9,3))</f>
        <v>541</v>
      </c>
      <c r="E1582" s="14">
        <f>MONTH(A1582)</f>
        <v>2</v>
      </c>
      <c r="G1582" s="1" t="s">
        <v>202</v>
      </c>
      <c r="H1582" s="1">
        <v>-127</v>
      </c>
      <c r="I1582" s="1" t="s">
        <v>88</v>
      </c>
      <c r="J1582" s="13">
        <f>VALUE(MID(I1582,1,3))</f>
        <v>231</v>
      </c>
      <c r="K1582" s="13">
        <f>VALUE(MID(G1582,5,2))</f>
        <v>10</v>
      </c>
    </row>
    <row r="1583" spans="1:11">
      <c r="A1583" s="7">
        <v>39897</v>
      </c>
      <c r="B1583" s="1">
        <v>136</v>
      </c>
      <c r="C1583" s="1" t="s">
        <v>56</v>
      </c>
      <c r="D1583" s="13">
        <f>VALUE(MID(C1583,9,3))</f>
        <v>541</v>
      </c>
      <c r="E1583" s="14">
        <f>MONTH(A1583)</f>
        <v>3</v>
      </c>
      <c r="G1583" s="1" t="s">
        <v>203</v>
      </c>
      <c r="H1583" s="1">
        <v>72</v>
      </c>
      <c r="I1583" s="1" t="s">
        <v>88</v>
      </c>
      <c r="J1583" s="13">
        <f>VALUE(MID(I1583,1,3))</f>
        <v>231</v>
      </c>
      <c r="K1583" s="13">
        <f>VALUE(MID(G1583,5,2))</f>
        <v>10</v>
      </c>
    </row>
    <row r="1584" spans="1:11">
      <c r="A1584" s="7">
        <v>39897</v>
      </c>
      <c r="B1584" s="1">
        <v>60</v>
      </c>
      <c r="C1584" s="1" t="s">
        <v>52</v>
      </c>
      <c r="D1584" s="13">
        <f>VALUE(MID(C1584,9,3))</f>
        <v>541</v>
      </c>
      <c r="E1584" s="14">
        <f>MONTH(A1584)</f>
        <v>3</v>
      </c>
      <c r="G1584" s="1" t="s">
        <v>203</v>
      </c>
      <c r="H1584" s="1">
        <v>4</v>
      </c>
      <c r="I1584" s="1" t="s">
        <v>88</v>
      </c>
      <c r="J1584" s="13">
        <f>VALUE(MID(I1584,1,3))</f>
        <v>231</v>
      </c>
      <c r="K1584" s="13">
        <f>VALUE(MID(G1584,5,2))</f>
        <v>10</v>
      </c>
    </row>
    <row r="1585" spans="1:11">
      <c r="A1585" s="7">
        <v>39897</v>
      </c>
      <c r="B1585" s="1">
        <v>132</v>
      </c>
      <c r="C1585" s="1" t="s">
        <v>4</v>
      </c>
      <c r="D1585" s="13">
        <f>VALUE(MID(C1585,9,3))</f>
        <v>541</v>
      </c>
      <c r="E1585" s="14">
        <f>MONTH(A1585)</f>
        <v>3</v>
      </c>
      <c r="G1585" s="1" t="s">
        <v>203</v>
      </c>
      <c r="H1585" s="1">
        <v>37.82</v>
      </c>
      <c r="I1585" s="1" t="s">
        <v>88</v>
      </c>
      <c r="J1585" s="13">
        <f>VALUE(MID(I1585,1,3))</f>
        <v>231</v>
      </c>
      <c r="K1585" s="13">
        <f>VALUE(MID(G1585,5,2))</f>
        <v>10</v>
      </c>
    </row>
    <row r="1586" spans="1:11">
      <c r="A1586" s="7">
        <v>39897</v>
      </c>
      <c r="B1586" s="1">
        <v>48</v>
      </c>
      <c r="C1586" s="1" t="s">
        <v>57</v>
      </c>
      <c r="D1586" s="13">
        <f>VALUE(MID(C1586,9,3))</f>
        <v>541</v>
      </c>
      <c r="E1586" s="14">
        <f>MONTH(A1586)</f>
        <v>3</v>
      </c>
      <c r="G1586" s="1" t="s">
        <v>203</v>
      </c>
      <c r="H1586" s="1">
        <v>144</v>
      </c>
      <c r="I1586" s="1" t="s">
        <v>88</v>
      </c>
      <c r="J1586" s="13">
        <f>VALUE(MID(I1586,1,3))</f>
        <v>231</v>
      </c>
      <c r="K1586" s="13">
        <f>VALUE(MID(G1586,5,2))</f>
        <v>10</v>
      </c>
    </row>
    <row r="1587" spans="1:11">
      <c r="A1587" s="7">
        <v>39928</v>
      </c>
      <c r="B1587" s="1">
        <v>136</v>
      </c>
      <c r="C1587" s="1" t="s">
        <v>56</v>
      </c>
      <c r="D1587" s="13">
        <f>VALUE(MID(C1587,9,3))</f>
        <v>541</v>
      </c>
      <c r="E1587" s="14">
        <f>MONTH(A1587)</f>
        <v>4</v>
      </c>
      <c r="G1587" s="1" t="s">
        <v>203</v>
      </c>
      <c r="H1587" s="1">
        <v>36.42</v>
      </c>
      <c r="I1587" s="1" t="s">
        <v>88</v>
      </c>
      <c r="J1587" s="13">
        <f>VALUE(MID(I1587,1,3))</f>
        <v>231</v>
      </c>
      <c r="K1587" s="13">
        <f>VALUE(MID(G1587,5,2))</f>
        <v>10</v>
      </c>
    </row>
    <row r="1588" spans="1:11">
      <c r="A1588" s="7">
        <v>39928</v>
      </c>
      <c r="B1588" s="1">
        <v>60</v>
      </c>
      <c r="C1588" s="1" t="s">
        <v>52</v>
      </c>
      <c r="D1588" s="13">
        <f>VALUE(MID(C1588,9,3))</f>
        <v>541</v>
      </c>
      <c r="E1588" s="14">
        <f>MONTH(A1588)</f>
        <v>4</v>
      </c>
      <c r="G1588" s="1" t="s">
        <v>203</v>
      </c>
      <c r="H1588" s="1">
        <v>1151.44</v>
      </c>
      <c r="I1588" s="1" t="s">
        <v>88</v>
      </c>
      <c r="J1588" s="13">
        <f>VALUE(MID(I1588,1,3))</f>
        <v>231</v>
      </c>
      <c r="K1588" s="13">
        <f>VALUE(MID(G1588,5,2))</f>
        <v>10</v>
      </c>
    </row>
    <row r="1589" spans="1:11">
      <c r="A1589" s="7">
        <v>39928</v>
      </c>
      <c r="B1589" s="1">
        <v>132</v>
      </c>
      <c r="C1589" s="1" t="s">
        <v>4</v>
      </c>
      <c r="D1589" s="13">
        <f>VALUE(MID(C1589,9,3))</f>
        <v>541</v>
      </c>
      <c r="E1589" s="14">
        <f>MONTH(A1589)</f>
        <v>4</v>
      </c>
      <c r="G1589" s="1" t="s">
        <v>203</v>
      </c>
      <c r="H1589" s="1">
        <v>174.37</v>
      </c>
      <c r="I1589" s="1" t="s">
        <v>88</v>
      </c>
      <c r="J1589" s="13">
        <f>VALUE(MID(I1589,1,3))</f>
        <v>231</v>
      </c>
      <c r="K1589" s="13">
        <f>VALUE(MID(G1589,5,2))</f>
        <v>10</v>
      </c>
    </row>
    <row r="1590" spans="1:11">
      <c r="A1590" s="7">
        <v>39928</v>
      </c>
      <c r="B1590" s="1">
        <v>48</v>
      </c>
      <c r="C1590" s="1" t="s">
        <v>57</v>
      </c>
      <c r="D1590" s="13">
        <f>VALUE(MID(C1590,9,3))</f>
        <v>541</v>
      </c>
      <c r="E1590" s="14">
        <f>MONTH(A1590)</f>
        <v>4</v>
      </c>
      <c r="G1590" s="1" t="s">
        <v>203</v>
      </c>
      <c r="H1590" s="1">
        <v>147.53</v>
      </c>
      <c r="I1590" s="1" t="s">
        <v>88</v>
      </c>
      <c r="J1590" s="13">
        <f>VALUE(MID(I1590,1,3))</f>
        <v>231</v>
      </c>
      <c r="K1590" s="13">
        <f>VALUE(MID(G1590,5,2))</f>
        <v>10</v>
      </c>
    </row>
    <row r="1591" spans="1:11">
      <c r="A1591" s="7">
        <v>39958</v>
      </c>
      <c r="B1591" s="1">
        <v>136</v>
      </c>
      <c r="C1591" s="1" t="s">
        <v>56</v>
      </c>
      <c r="D1591" s="13">
        <f>VALUE(MID(C1591,9,3))</f>
        <v>541</v>
      </c>
      <c r="E1591" s="14">
        <f>MONTH(A1591)</f>
        <v>5</v>
      </c>
      <c r="G1591" s="1" t="s">
        <v>203</v>
      </c>
      <c r="H1591" s="1">
        <v>204.18</v>
      </c>
      <c r="I1591" s="1" t="s">
        <v>88</v>
      </c>
      <c r="J1591" s="13">
        <f>VALUE(MID(I1591,1,3))</f>
        <v>231</v>
      </c>
      <c r="K1591" s="13">
        <f>VALUE(MID(G1591,5,2))</f>
        <v>10</v>
      </c>
    </row>
    <row r="1592" spans="1:11">
      <c r="A1592" s="7">
        <v>39958</v>
      </c>
      <c r="B1592" s="1">
        <v>48</v>
      </c>
      <c r="C1592" s="1" t="s">
        <v>52</v>
      </c>
      <c r="D1592" s="13">
        <f>VALUE(MID(C1592,9,3))</f>
        <v>541</v>
      </c>
      <c r="E1592" s="14">
        <f>MONTH(A1592)</f>
        <v>5</v>
      </c>
      <c r="G1592" s="1" t="s">
        <v>203</v>
      </c>
      <c r="H1592" s="1">
        <v>8.75</v>
      </c>
      <c r="I1592" s="1" t="s">
        <v>88</v>
      </c>
      <c r="J1592" s="13">
        <f>VALUE(MID(I1592,1,3))</f>
        <v>231</v>
      </c>
      <c r="K1592" s="13">
        <f>VALUE(MID(G1592,5,2))</f>
        <v>10</v>
      </c>
    </row>
    <row r="1593" spans="1:11">
      <c r="A1593" s="7">
        <v>39958</v>
      </c>
      <c r="B1593" s="1">
        <v>132</v>
      </c>
      <c r="C1593" s="1" t="s">
        <v>4</v>
      </c>
      <c r="D1593" s="13">
        <f>VALUE(MID(C1593,9,3))</f>
        <v>541</v>
      </c>
      <c r="E1593" s="14">
        <f>MONTH(A1593)</f>
        <v>5</v>
      </c>
      <c r="G1593" s="1" t="s">
        <v>203</v>
      </c>
      <c r="H1593" s="1">
        <v>32.5</v>
      </c>
      <c r="I1593" s="1" t="s">
        <v>88</v>
      </c>
      <c r="J1593" s="13">
        <f>VALUE(MID(I1593,1,3))</f>
        <v>231</v>
      </c>
      <c r="K1593" s="13">
        <f>VALUE(MID(G1593,5,2))</f>
        <v>10</v>
      </c>
    </row>
    <row r="1594" spans="1:11">
      <c r="A1594" s="7">
        <v>39958</v>
      </c>
      <c r="B1594" s="1">
        <v>48</v>
      </c>
      <c r="C1594" s="1" t="s">
        <v>57</v>
      </c>
      <c r="D1594" s="13">
        <f>VALUE(MID(C1594,9,3))</f>
        <v>541</v>
      </c>
      <c r="E1594" s="14">
        <f>MONTH(A1594)</f>
        <v>5</v>
      </c>
      <c r="G1594" s="1" t="s">
        <v>204</v>
      </c>
      <c r="H1594" s="1">
        <v>1.4</v>
      </c>
      <c r="I1594" s="1" t="s">
        <v>88</v>
      </c>
      <c r="J1594" s="13">
        <f>VALUE(MID(I1594,1,3))</f>
        <v>231</v>
      </c>
      <c r="K1594" s="13">
        <f>VALUE(MID(G1594,5,2))</f>
        <v>10</v>
      </c>
    </row>
    <row r="1595" spans="1:11">
      <c r="A1595" s="7">
        <v>39989</v>
      </c>
      <c r="B1595" s="1">
        <v>136</v>
      </c>
      <c r="C1595" s="1" t="s">
        <v>56</v>
      </c>
      <c r="D1595" s="13">
        <f>VALUE(MID(C1595,9,3))</f>
        <v>541</v>
      </c>
      <c r="E1595" s="14">
        <f>MONTH(A1595)</f>
        <v>6</v>
      </c>
      <c r="G1595" s="1" t="s">
        <v>204</v>
      </c>
      <c r="H1595" s="1">
        <v>25.5</v>
      </c>
      <c r="I1595" s="1" t="s">
        <v>88</v>
      </c>
      <c r="J1595" s="13">
        <f>VALUE(MID(I1595,1,3))</f>
        <v>231</v>
      </c>
      <c r="K1595" s="13">
        <f>VALUE(MID(G1595,5,2))</f>
        <v>10</v>
      </c>
    </row>
    <row r="1596" spans="1:11">
      <c r="A1596" s="7">
        <v>39989</v>
      </c>
      <c r="B1596" s="1">
        <v>78</v>
      </c>
      <c r="C1596" s="1" t="s">
        <v>52</v>
      </c>
      <c r="D1596" s="13">
        <f>VALUE(MID(C1596,9,3))</f>
        <v>541</v>
      </c>
      <c r="E1596" s="14">
        <f>MONTH(A1596)</f>
        <v>6</v>
      </c>
      <c r="G1596" s="1" t="s">
        <v>209</v>
      </c>
      <c r="H1596" s="1">
        <v>37.82</v>
      </c>
      <c r="I1596" s="1" t="s">
        <v>88</v>
      </c>
      <c r="J1596" s="13">
        <f>VALUE(MID(I1596,1,3))</f>
        <v>231</v>
      </c>
      <c r="K1596" s="13">
        <f>VALUE(MID(G1596,5,2))</f>
        <v>11</v>
      </c>
    </row>
    <row r="1597" spans="1:11">
      <c r="A1597" s="7">
        <v>39989</v>
      </c>
      <c r="B1597" s="1">
        <v>132</v>
      </c>
      <c r="C1597" s="1" t="s">
        <v>4</v>
      </c>
      <c r="D1597" s="13">
        <f>VALUE(MID(C1597,9,3))</f>
        <v>541</v>
      </c>
      <c r="E1597" s="14">
        <f>MONTH(A1597)</f>
        <v>6</v>
      </c>
      <c r="G1597" s="1" t="s">
        <v>209</v>
      </c>
      <c r="H1597" s="1">
        <v>29.2</v>
      </c>
      <c r="I1597" s="1" t="s">
        <v>88</v>
      </c>
      <c r="J1597" s="13">
        <f>VALUE(MID(I1597,1,3))</f>
        <v>231</v>
      </c>
      <c r="K1597" s="13">
        <f>VALUE(MID(G1597,5,2))</f>
        <v>11</v>
      </c>
    </row>
    <row r="1598" spans="1:11">
      <c r="A1598" s="7">
        <v>39989</v>
      </c>
      <c r="B1598" s="1">
        <v>48</v>
      </c>
      <c r="C1598" s="1" t="s">
        <v>57</v>
      </c>
      <c r="D1598" s="13">
        <f>VALUE(MID(C1598,9,3))</f>
        <v>541</v>
      </c>
      <c r="E1598" s="14">
        <f>MONTH(A1598)</f>
        <v>6</v>
      </c>
      <c r="G1598" s="1" t="s">
        <v>210</v>
      </c>
      <c r="H1598" s="1">
        <v>17.3</v>
      </c>
      <c r="I1598" s="1" t="s">
        <v>88</v>
      </c>
      <c r="J1598" s="13">
        <f>VALUE(MID(I1598,1,3))</f>
        <v>231</v>
      </c>
      <c r="K1598" s="13">
        <f>VALUE(MID(G1598,5,2))</f>
        <v>11</v>
      </c>
    </row>
    <row r="1599" spans="1:11">
      <c r="A1599" s="7">
        <v>40019</v>
      </c>
      <c r="B1599" s="1">
        <v>124</v>
      </c>
      <c r="C1599" s="1" t="s">
        <v>56</v>
      </c>
      <c r="D1599" s="13">
        <f>VALUE(MID(C1599,9,3))</f>
        <v>541</v>
      </c>
      <c r="E1599" s="14">
        <f>MONTH(A1599)</f>
        <v>7</v>
      </c>
      <c r="G1599" s="1" t="s">
        <v>210</v>
      </c>
      <c r="H1599" s="1">
        <v>264.89999999999998</v>
      </c>
      <c r="I1599" s="1" t="s">
        <v>88</v>
      </c>
      <c r="J1599" s="13">
        <f>VALUE(MID(I1599,1,3))</f>
        <v>231</v>
      </c>
      <c r="K1599" s="13">
        <f>VALUE(MID(G1599,5,2))</f>
        <v>11</v>
      </c>
    </row>
    <row r="1600" spans="1:11">
      <c r="A1600" s="7">
        <v>40019</v>
      </c>
      <c r="B1600" s="1">
        <v>48</v>
      </c>
      <c r="C1600" s="1" t="s">
        <v>52</v>
      </c>
      <c r="D1600" s="13">
        <f>VALUE(MID(C1600,9,3))</f>
        <v>541</v>
      </c>
      <c r="E1600" s="14">
        <f>MONTH(A1600)</f>
        <v>7</v>
      </c>
      <c r="G1600" s="1" t="s">
        <v>210</v>
      </c>
      <c r="H1600" s="1">
        <v>268</v>
      </c>
      <c r="I1600" s="1" t="s">
        <v>88</v>
      </c>
      <c r="J1600" s="13">
        <f>VALUE(MID(I1600,1,3))</f>
        <v>231</v>
      </c>
      <c r="K1600" s="13">
        <f>VALUE(MID(G1600,5,2))</f>
        <v>11</v>
      </c>
    </row>
    <row r="1601" spans="1:11">
      <c r="A1601" s="7">
        <v>40019</v>
      </c>
      <c r="B1601" s="1">
        <v>132</v>
      </c>
      <c r="C1601" s="1" t="s">
        <v>4</v>
      </c>
      <c r="D1601" s="13">
        <f>VALUE(MID(C1601,9,3))</f>
        <v>541</v>
      </c>
      <c r="E1601" s="14">
        <f>MONTH(A1601)</f>
        <v>7</v>
      </c>
      <c r="G1601" s="1" t="s">
        <v>210</v>
      </c>
      <c r="H1601" s="1">
        <v>299.77999999999997</v>
      </c>
      <c r="I1601" s="1" t="s">
        <v>88</v>
      </c>
      <c r="J1601" s="13">
        <f>VALUE(MID(I1601,1,3))</f>
        <v>231</v>
      </c>
      <c r="K1601" s="13">
        <f>VALUE(MID(G1601,5,2))</f>
        <v>11</v>
      </c>
    </row>
    <row r="1602" spans="1:11">
      <c r="A1602" s="7">
        <v>40019</v>
      </c>
      <c r="B1602" s="1">
        <v>48</v>
      </c>
      <c r="C1602" s="1" t="s">
        <v>57</v>
      </c>
      <c r="D1602" s="13">
        <f>VALUE(MID(C1602,9,3))</f>
        <v>541</v>
      </c>
      <c r="E1602" s="14">
        <f>MONTH(A1602)</f>
        <v>7</v>
      </c>
      <c r="G1602" s="1" t="s">
        <v>210</v>
      </c>
      <c r="H1602" s="1">
        <v>12.45</v>
      </c>
      <c r="I1602" s="1" t="s">
        <v>88</v>
      </c>
      <c r="J1602" s="13">
        <f>VALUE(MID(I1602,1,3))</f>
        <v>231</v>
      </c>
      <c r="K1602" s="13">
        <f>VALUE(MID(G1602,5,2))</f>
        <v>11</v>
      </c>
    </row>
    <row r="1603" spans="1:11">
      <c r="A1603" s="7">
        <v>40050</v>
      </c>
      <c r="B1603" s="1">
        <v>124</v>
      </c>
      <c r="C1603" s="1" t="s">
        <v>56</v>
      </c>
      <c r="D1603" s="13">
        <f>VALUE(MID(C1603,9,3))</f>
        <v>541</v>
      </c>
      <c r="E1603" s="14">
        <f>MONTH(A1603)</f>
        <v>8</v>
      </c>
      <c r="G1603" s="1" t="s">
        <v>210</v>
      </c>
      <c r="H1603" s="1">
        <v>37.75</v>
      </c>
      <c r="I1603" s="1" t="s">
        <v>88</v>
      </c>
      <c r="J1603" s="13">
        <f>VALUE(MID(I1603,1,3))</f>
        <v>231</v>
      </c>
      <c r="K1603" s="13">
        <f>VALUE(MID(G1603,5,2))</f>
        <v>11</v>
      </c>
    </row>
    <row r="1604" spans="1:11">
      <c r="A1604" s="7">
        <v>40050</v>
      </c>
      <c r="B1604" s="1">
        <v>48</v>
      </c>
      <c r="C1604" s="1" t="s">
        <v>52</v>
      </c>
      <c r="D1604" s="13">
        <f>VALUE(MID(C1604,9,3))</f>
        <v>541</v>
      </c>
      <c r="E1604" s="14">
        <f>MONTH(A1604)</f>
        <v>8</v>
      </c>
      <c r="G1604" s="1" t="s">
        <v>210</v>
      </c>
      <c r="H1604" s="1">
        <v>259.10000000000002</v>
      </c>
      <c r="I1604" s="1" t="s">
        <v>88</v>
      </c>
      <c r="J1604" s="13">
        <f>VALUE(MID(I1604,1,3))</f>
        <v>231</v>
      </c>
      <c r="K1604" s="13">
        <f>VALUE(MID(G1604,5,2))</f>
        <v>11</v>
      </c>
    </row>
    <row r="1605" spans="1:11">
      <c r="A1605" s="7">
        <v>40050</v>
      </c>
      <c r="B1605" s="1">
        <v>132</v>
      </c>
      <c r="C1605" s="1" t="s">
        <v>4</v>
      </c>
      <c r="D1605" s="13">
        <f>VALUE(MID(C1605,9,3))</f>
        <v>541</v>
      </c>
      <c r="E1605" s="14">
        <f>MONTH(A1605)</f>
        <v>8</v>
      </c>
      <c r="G1605" s="1" t="s">
        <v>219</v>
      </c>
      <c r="H1605" s="1">
        <v>115.88</v>
      </c>
      <c r="I1605" s="1" t="s">
        <v>88</v>
      </c>
      <c r="J1605" s="13">
        <f>VALUE(MID(I1605,1,3))</f>
        <v>231</v>
      </c>
      <c r="K1605" s="13">
        <f>VALUE(MID(G1605,5,2))</f>
        <v>12</v>
      </c>
    </row>
    <row r="1606" spans="1:11">
      <c r="A1606" s="7">
        <v>40050</v>
      </c>
      <c r="B1606" s="1">
        <v>48</v>
      </c>
      <c r="C1606" s="1" t="s">
        <v>57</v>
      </c>
      <c r="D1606" s="13">
        <f>VALUE(MID(C1606,9,3))</f>
        <v>541</v>
      </c>
      <c r="E1606" s="14">
        <f>MONTH(A1606)</f>
        <v>8</v>
      </c>
      <c r="G1606" s="1" t="s">
        <v>219</v>
      </c>
      <c r="H1606" s="1">
        <v>634.25</v>
      </c>
      <c r="I1606" s="1" t="s">
        <v>88</v>
      </c>
      <c r="J1606" s="13">
        <f>VALUE(MID(I1606,1,3))</f>
        <v>231</v>
      </c>
      <c r="K1606" s="13">
        <f>VALUE(MID(G1606,5,2))</f>
        <v>12</v>
      </c>
    </row>
    <row r="1607" spans="1:11">
      <c r="A1607" s="7">
        <v>40081</v>
      </c>
      <c r="B1607" s="1">
        <v>184</v>
      </c>
      <c r="C1607" s="1" t="s">
        <v>56</v>
      </c>
      <c r="D1607" s="13">
        <f>VALUE(MID(C1607,9,3))</f>
        <v>541</v>
      </c>
      <c r="E1607" s="14">
        <f>MONTH(A1607)</f>
        <v>9</v>
      </c>
      <c r="G1607" s="1" t="s">
        <v>219</v>
      </c>
      <c r="H1607" s="1">
        <v>55.86</v>
      </c>
      <c r="I1607" s="1" t="s">
        <v>88</v>
      </c>
      <c r="J1607" s="13">
        <f>VALUE(MID(I1607,1,3))</f>
        <v>231</v>
      </c>
      <c r="K1607" s="13">
        <f>VALUE(MID(G1607,5,2))</f>
        <v>12</v>
      </c>
    </row>
    <row r="1608" spans="1:11">
      <c r="A1608" s="7">
        <v>40081</v>
      </c>
      <c r="B1608" s="1">
        <v>48</v>
      </c>
      <c r="C1608" s="1" t="s">
        <v>52</v>
      </c>
      <c r="D1608" s="13">
        <f>VALUE(MID(C1608,9,3))</f>
        <v>541</v>
      </c>
      <c r="E1608" s="14">
        <f>MONTH(A1608)</f>
        <v>9</v>
      </c>
      <c r="G1608" s="1" t="s">
        <v>219</v>
      </c>
      <c r="H1608" s="1">
        <v>48.14</v>
      </c>
      <c r="I1608" s="1" t="s">
        <v>88</v>
      </c>
      <c r="J1608" s="13">
        <f>VALUE(MID(I1608,1,3))</f>
        <v>231</v>
      </c>
      <c r="K1608" s="13">
        <f>VALUE(MID(G1608,5,2))</f>
        <v>12</v>
      </c>
    </row>
    <row r="1609" spans="1:11">
      <c r="A1609" s="7">
        <v>40081</v>
      </c>
      <c r="B1609" s="1">
        <v>132</v>
      </c>
      <c r="C1609" s="1" t="s">
        <v>4</v>
      </c>
      <c r="D1609" s="13">
        <f>VALUE(MID(C1609,9,3))</f>
        <v>541</v>
      </c>
      <c r="E1609" s="14">
        <f>MONTH(A1609)</f>
        <v>9</v>
      </c>
      <c r="G1609" s="1" t="s">
        <v>226</v>
      </c>
      <c r="H1609" s="1">
        <v>146.96</v>
      </c>
      <c r="I1609" s="1" t="s">
        <v>88</v>
      </c>
      <c r="J1609" s="13">
        <f>VALUE(MID(I1609,1,3))</f>
        <v>231</v>
      </c>
      <c r="K1609" s="13">
        <f>VALUE(MID(G1609,5,2))</f>
        <v>1</v>
      </c>
    </row>
    <row r="1610" spans="1:11">
      <c r="A1610" s="7">
        <v>40081</v>
      </c>
      <c r="B1610" s="1">
        <v>48</v>
      </c>
      <c r="C1610" s="1" t="s">
        <v>57</v>
      </c>
      <c r="D1610" s="13">
        <f>VALUE(MID(C1610,9,3))</f>
        <v>541</v>
      </c>
      <c r="E1610" s="14">
        <f>MONTH(A1610)</f>
        <v>9</v>
      </c>
      <c r="G1610" s="1" t="s">
        <v>226</v>
      </c>
      <c r="H1610" s="1">
        <v>81.09</v>
      </c>
      <c r="I1610" s="1" t="s">
        <v>88</v>
      </c>
      <c r="J1610" s="13">
        <f>VALUE(MID(I1610,1,3))</f>
        <v>231</v>
      </c>
      <c r="K1610" s="13">
        <f>VALUE(MID(G1610,5,2))</f>
        <v>1</v>
      </c>
    </row>
    <row r="1611" spans="1:11">
      <c r="A1611" s="7">
        <v>40111</v>
      </c>
      <c r="B1611" s="1">
        <v>148</v>
      </c>
      <c r="C1611" s="1" t="s">
        <v>56</v>
      </c>
      <c r="D1611" s="13">
        <f>VALUE(MID(C1611,9,3))</f>
        <v>541</v>
      </c>
      <c r="E1611" s="14">
        <f>MONTH(A1611)</f>
        <v>10</v>
      </c>
      <c r="G1611" s="1" t="s">
        <v>227</v>
      </c>
      <c r="H1611" s="1">
        <v>92.16</v>
      </c>
      <c r="I1611" s="1" t="s">
        <v>88</v>
      </c>
      <c r="J1611" s="13">
        <f>VALUE(MID(I1611,1,3))</f>
        <v>231</v>
      </c>
      <c r="K1611" s="13">
        <f>VALUE(MID(G1611,5,2))</f>
        <v>1</v>
      </c>
    </row>
    <row r="1612" spans="1:11">
      <c r="A1612" s="7">
        <v>40111</v>
      </c>
      <c r="B1612" s="1">
        <v>120</v>
      </c>
      <c r="C1612" s="1" t="s">
        <v>52</v>
      </c>
      <c r="D1612" s="13">
        <f>VALUE(MID(C1612,9,3))</f>
        <v>541</v>
      </c>
      <c r="E1612" s="14">
        <f>MONTH(A1612)</f>
        <v>10</v>
      </c>
      <c r="G1612" s="1" t="s">
        <v>73</v>
      </c>
      <c r="H1612" s="1">
        <v>6</v>
      </c>
      <c r="I1612" s="1" t="s">
        <v>79</v>
      </c>
      <c r="J1612" s="13">
        <f>VALUE(MID(I1612,1,3))</f>
        <v>349</v>
      </c>
      <c r="K1612" s="13">
        <f>VALUE(MID(G1612,5,2))</f>
        <v>1</v>
      </c>
    </row>
    <row r="1613" spans="1:11">
      <c r="A1613" s="7">
        <v>40111</v>
      </c>
      <c r="B1613" s="1">
        <v>132</v>
      </c>
      <c r="C1613" s="1" t="s">
        <v>4</v>
      </c>
      <c r="D1613" s="13">
        <f>VALUE(MID(C1613,9,3))</f>
        <v>541</v>
      </c>
      <c r="E1613" s="14">
        <f>MONTH(A1613)</f>
        <v>10</v>
      </c>
      <c r="G1613" s="1" t="s">
        <v>87</v>
      </c>
      <c r="H1613" s="1">
        <v>6</v>
      </c>
      <c r="I1613" s="1" t="s">
        <v>79</v>
      </c>
      <c r="J1613" s="13">
        <f>VALUE(MID(I1613,1,3))</f>
        <v>349</v>
      </c>
      <c r="K1613" s="13">
        <f>VALUE(MID(G1613,5,2))</f>
        <v>1</v>
      </c>
    </row>
    <row r="1614" spans="1:11">
      <c r="A1614" s="7">
        <v>40111</v>
      </c>
      <c r="B1614" s="1">
        <v>48</v>
      </c>
      <c r="C1614" s="1" t="s">
        <v>57</v>
      </c>
      <c r="D1614" s="13">
        <f>VALUE(MID(C1614,9,3))</f>
        <v>541</v>
      </c>
      <c r="E1614" s="14">
        <f>MONTH(A1614)</f>
        <v>10</v>
      </c>
      <c r="G1614" s="1" t="s">
        <v>97</v>
      </c>
      <c r="H1614" s="1">
        <v>18.78</v>
      </c>
      <c r="I1614" s="1" t="s">
        <v>79</v>
      </c>
      <c r="J1614" s="13">
        <f>VALUE(MID(I1614,1,3))</f>
        <v>349</v>
      </c>
      <c r="K1614" s="13">
        <f>VALUE(MID(G1614,5,2))</f>
        <v>2</v>
      </c>
    </row>
    <row r="1615" spans="1:11">
      <c r="A1615" s="7">
        <v>40142</v>
      </c>
      <c r="B1615" s="1">
        <v>148</v>
      </c>
      <c r="C1615" s="1" t="s">
        <v>56</v>
      </c>
      <c r="D1615" s="13">
        <f>VALUE(MID(C1615,9,3))</f>
        <v>541</v>
      </c>
      <c r="E1615" s="14">
        <f>MONTH(A1615)</f>
        <v>11</v>
      </c>
      <c r="G1615" s="1" t="s">
        <v>97</v>
      </c>
      <c r="H1615" s="1">
        <v>4.49</v>
      </c>
      <c r="I1615" s="1" t="s">
        <v>79</v>
      </c>
      <c r="J1615" s="13">
        <f>VALUE(MID(I1615,1,3))</f>
        <v>349</v>
      </c>
      <c r="K1615" s="13">
        <f>VALUE(MID(G1615,5,2))</f>
        <v>2</v>
      </c>
    </row>
    <row r="1616" spans="1:11">
      <c r="A1616" s="7">
        <v>40142</v>
      </c>
      <c r="B1616" s="1">
        <v>65.25</v>
      </c>
      <c r="C1616" s="1" t="s">
        <v>52</v>
      </c>
      <c r="D1616" s="13">
        <f>VALUE(MID(C1616,9,3))</f>
        <v>541</v>
      </c>
      <c r="E1616" s="14">
        <f>MONTH(A1616)</f>
        <v>11</v>
      </c>
      <c r="G1616" s="1" t="s">
        <v>97</v>
      </c>
      <c r="H1616" s="1">
        <v>6</v>
      </c>
      <c r="I1616" s="1" t="s">
        <v>79</v>
      </c>
      <c r="J1616" s="13">
        <f>VALUE(MID(I1616,1,3))</f>
        <v>349</v>
      </c>
      <c r="K1616" s="13">
        <f>VALUE(MID(G1616,5,2))</f>
        <v>2</v>
      </c>
    </row>
    <row r="1617" spans="1:11">
      <c r="A1617" s="7">
        <v>40142</v>
      </c>
      <c r="B1617" s="1">
        <v>132</v>
      </c>
      <c r="C1617" s="1" t="s">
        <v>4</v>
      </c>
      <c r="D1617" s="13">
        <f>VALUE(MID(C1617,9,3))</f>
        <v>541</v>
      </c>
      <c r="E1617" s="14">
        <f>MONTH(A1617)</f>
        <v>11</v>
      </c>
      <c r="G1617" s="1" t="s">
        <v>112</v>
      </c>
      <c r="H1617" s="1">
        <v>3</v>
      </c>
      <c r="I1617" s="1" t="s">
        <v>79</v>
      </c>
      <c r="J1617" s="13">
        <f>VALUE(MID(I1617,1,3))</f>
        <v>349</v>
      </c>
      <c r="K1617" s="13">
        <f>VALUE(MID(G1617,5,2))</f>
        <v>2</v>
      </c>
    </row>
    <row r="1618" spans="1:11">
      <c r="A1618" s="7">
        <v>40142</v>
      </c>
      <c r="B1618" s="1">
        <v>36</v>
      </c>
      <c r="C1618" s="1" t="s">
        <v>57</v>
      </c>
      <c r="D1618" s="13">
        <f>VALUE(MID(C1618,9,3))</f>
        <v>541</v>
      </c>
      <c r="E1618" s="14">
        <f>MONTH(A1618)</f>
        <v>11</v>
      </c>
      <c r="G1618" s="1" t="s">
        <v>120</v>
      </c>
      <c r="H1618" s="1">
        <v>0.6</v>
      </c>
      <c r="I1618" s="1" t="s">
        <v>79</v>
      </c>
      <c r="J1618" s="13">
        <f>VALUE(MID(I1618,1,3))</f>
        <v>349</v>
      </c>
      <c r="K1618" s="13">
        <f>VALUE(MID(G1618,5,2))</f>
        <v>3</v>
      </c>
    </row>
    <row r="1619" spans="1:11">
      <c r="A1619" s="7">
        <v>40175</v>
      </c>
      <c r="B1619" s="1">
        <v>1.5</v>
      </c>
      <c r="C1619" s="1" t="s">
        <v>52</v>
      </c>
      <c r="D1619" s="13">
        <f>VALUE(MID(C1619,9,3))</f>
        <v>541</v>
      </c>
      <c r="E1619" s="14">
        <f>MONTH(A1619)</f>
        <v>12</v>
      </c>
      <c r="G1619" s="1" t="s">
        <v>120</v>
      </c>
      <c r="H1619" s="1">
        <v>2.1</v>
      </c>
      <c r="I1619" s="1" t="s">
        <v>79</v>
      </c>
      <c r="J1619" s="13">
        <f>VALUE(MID(I1619,1,3))</f>
        <v>349</v>
      </c>
      <c r="K1619" s="13">
        <f>VALUE(MID(G1619,5,2))</f>
        <v>3</v>
      </c>
    </row>
    <row r="1620" spans="1:11">
      <c r="A1620" s="7">
        <v>39902</v>
      </c>
      <c r="B1620" s="1">
        <v>225</v>
      </c>
      <c r="C1620" s="1" t="s">
        <v>4</v>
      </c>
      <c r="D1620" s="13">
        <f>VALUE(MID(C1620,9,3))</f>
        <v>541</v>
      </c>
      <c r="E1620" s="14">
        <f>MONTH(A1620)</f>
        <v>3</v>
      </c>
      <c r="G1620" s="1" t="s">
        <v>120</v>
      </c>
      <c r="H1620" s="1">
        <v>6</v>
      </c>
      <c r="I1620" s="1" t="s">
        <v>79</v>
      </c>
      <c r="J1620" s="13">
        <f>VALUE(MID(I1620,1,3))</f>
        <v>349</v>
      </c>
      <c r="K1620" s="13">
        <f>VALUE(MID(G1620,5,2))</f>
        <v>3</v>
      </c>
    </row>
    <row r="1621" spans="1:11">
      <c r="A1621" s="7">
        <v>40127</v>
      </c>
      <c r="B1621" s="1">
        <v>100</v>
      </c>
      <c r="C1621" s="1" t="s">
        <v>45</v>
      </c>
      <c r="D1621" s="13">
        <f>VALUE(MID(C1621,9,3))</f>
        <v>615</v>
      </c>
      <c r="E1621" s="14">
        <f>MONTH(A1621)</f>
        <v>11</v>
      </c>
      <c r="G1621" s="1" t="s">
        <v>130</v>
      </c>
      <c r="H1621" s="1">
        <v>6</v>
      </c>
      <c r="I1621" s="1" t="s">
        <v>79</v>
      </c>
      <c r="J1621" s="13">
        <f>VALUE(MID(I1621,1,3))</f>
        <v>349</v>
      </c>
      <c r="K1621" s="13">
        <f>VALUE(MID(G1621,5,2))</f>
        <v>3</v>
      </c>
    </row>
    <row r="1622" spans="1:11">
      <c r="A1622" s="7">
        <v>40140</v>
      </c>
      <c r="B1622" s="1">
        <v>35142.82</v>
      </c>
      <c r="C1622" s="1" t="s">
        <v>59</v>
      </c>
      <c r="D1622" s="13">
        <f>VALUE(MID(C1622,9,3))</f>
        <v>702</v>
      </c>
      <c r="E1622" s="14">
        <f>MONTH(A1622)</f>
        <v>11</v>
      </c>
      <c r="G1622" s="1" t="s">
        <v>130</v>
      </c>
      <c r="H1622" s="1">
        <v>26.01</v>
      </c>
      <c r="I1622" s="1" t="s">
        <v>79</v>
      </c>
      <c r="J1622" s="13">
        <f>VALUE(MID(I1622,1,3))</f>
        <v>349</v>
      </c>
      <c r="K1622" s="13">
        <f>VALUE(MID(G1622,5,2))</f>
        <v>3</v>
      </c>
    </row>
    <row r="1623" spans="1:11">
      <c r="D1623" s="13" t="e">
        <f>VALUE(MID(C1623,9,3))</f>
        <v>#VALUE!</v>
      </c>
      <c r="E1623" s="14">
        <f>MONTH(A1623)</f>
        <v>1</v>
      </c>
      <c r="G1623" s="1" t="s">
        <v>139</v>
      </c>
      <c r="H1623" s="1">
        <v>2.1</v>
      </c>
      <c r="I1623" s="1" t="s">
        <v>79</v>
      </c>
      <c r="J1623" s="13">
        <f>VALUE(MID(I1623,1,3))</f>
        <v>349</v>
      </c>
      <c r="K1623" s="13">
        <f>VALUE(MID(G1623,5,2))</f>
        <v>4</v>
      </c>
    </row>
    <row r="1624" spans="1:11">
      <c r="G1624" s="1" t="s">
        <v>139</v>
      </c>
      <c r="H1624" s="1">
        <v>0.9</v>
      </c>
      <c r="I1624" s="1" t="s">
        <v>79</v>
      </c>
      <c r="J1624" s="13">
        <f>VALUE(MID(I1624,1,3))</f>
        <v>349</v>
      </c>
      <c r="K1624" s="13">
        <f>VALUE(MID(G1624,5,2))</f>
        <v>4</v>
      </c>
    </row>
    <row r="1625" spans="1:11">
      <c r="G1625" s="1" t="s">
        <v>139</v>
      </c>
      <c r="H1625" s="1">
        <v>0.6</v>
      </c>
      <c r="I1625" s="1" t="s">
        <v>79</v>
      </c>
      <c r="J1625" s="13">
        <f>VALUE(MID(I1625,1,3))</f>
        <v>349</v>
      </c>
      <c r="K1625" s="13">
        <f>VALUE(MID(G1625,5,2))</f>
        <v>4</v>
      </c>
    </row>
    <row r="1626" spans="1:11">
      <c r="G1626" s="1" t="s">
        <v>139</v>
      </c>
      <c r="H1626" s="1">
        <v>31.36</v>
      </c>
      <c r="I1626" s="1" t="s">
        <v>79</v>
      </c>
      <c r="J1626" s="13">
        <f>VALUE(MID(I1626,1,3))</f>
        <v>349</v>
      </c>
      <c r="K1626" s="13">
        <f>VALUE(MID(G1626,5,2))</f>
        <v>4</v>
      </c>
    </row>
    <row r="1627" spans="1:11">
      <c r="G1627" s="1" t="s">
        <v>139</v>
      </c>
      <c r="H1627" s="1">
        <v>6</v>
      </c>
      <c r="I1627" s="1" t="s">
        <v>79</v>
      </c>
      <c r="J1627" s="13">
        <f>VALUE(MID(I1627,1,3))</f>
        <v>349</v>
      </c>
      <c r="K1627" s="13">
        <f>VALUE(MID(G1627,5,2))</f>
        <v>4</v>
      </c>
    </row>
    <row r="1628" spans="1:11">
      <c r="G1628" s="1" t="s">
        <v>145</v>
      </c>
      <c r="H1628" s="1">
        <v>6</v>
      </c>
      <c r="I1628" s="1" t="s">
        <v>79</v>
      </c>
      <c r="J1628" s="13">
        <f>VALUE(MID(I1628,1,3))</f>
        <v>349</v>
      </c>
      <c r="K1628" s="13">
        <f>VALUE(MID(G1628,5,2))</f>
        <v>4</v>
      </c>
    </row>
    <row r="1629" spans="1:11">
      <c r="G1629" s="1" t="s">
        <v>152</v>
      </c>
      <c r="H1629" s="1">
        <v>6</v>
      </c>
      <c r="I1629" s="1" t="s">
        <v>79</v>
      </c>
      <c r="J1629" s="13">
        <f>VALUE(MID(I1629,1,3))</f>
        <v>349</v>
      </c>
      <c r="K1629" s="13">
        <f>VALUE(MID(G1629,5,2))</f>
        <v>5</v>
      </c>
    </row>
    <row r="1630" spans="1:11">
      <c r="G1630" s="1" t="s">
        <v>161</v>
      </c>
      <c r="H1630" s="1">
        <v>6</v>
      </c>
      <c r="I1630" s="1" t="s">
        <v>79</v>
      </c>
      <c r="J1630" s="13">
        <f>VALUE(MID(I1630,1,3))</f>
        <v>349</v>
      </c>
      <c r="K1630" s="13">
        <f>VALUE(MID(G1630,5,2))</f>
        <v>5</v>
      </c>
    </row>
    <row r="1631" spans="1:11">
      <c r="G1631" s="1" t="s">
        <v>167</v>
      </c>
      <c r="H1631" s="1">
        <v>0.94</v>
      </c>
      <c r="I1631" s="1" t="s">
        <v>79</v>
      </c>
      <c r="J1631" s="13">
        <f>VALUE(MID(I1631,1,3))</f>
        <v>349</v>
      </c>
      <c r="K1631" s="13">
        <f>VALUE(MID(G1631,5,2))</f>
        <v>6</v>
      </c>
    </row>
    <row r="1632" spans="1:11">
      <c r="G1632" s="1" t="s">
        <v>167</v>
      </c>
      <c r="H1632" s="1">
        <v>4</v>
      </c>
      <c r="I1632" s="1" t="s">
        <v>79</v>
      </c>
      <c r="J1632" s="13">
        <f>VALUE(MID(I1632,1,3))</f>
        <v>349</v>
      </c>
      <c r="K1632" s="13">
        <f>VALUE(MID(G1632,5,2))</f>
        <v>6</v>
      </c>
    </row>
    <row r="1633" spans="7:11">
      <c r="G1633" s="1" t="s">
        <v>170</v>
      </c>
      <c r="H1633" s="1">
        <v>1.02</v>
      </c>
      <c r="I1633" s="1" t="s">
        <v>79</v>
      </c>
      <c r="J1633" s="13">
        <f>VALUE(MID(I1633,1,3))</f>
        <v>349</v>
      </c>
      <c r="K1633" s="13">
        <f>VALUE(MID(G1633,5,2))</f>
        <v>6</v>
      </c>
    </row>
    <row r="1634" spans="7:11">
      <c r="G1634" s="1" t="s">
        <v>142</v>
      </c>
      <c r="H1634" s="1">
        <v>3</v>
      </c>
      <c r="I1634" s="1" t="s">
        <v>79</v>
      </c>
      <c r="J1634" s="13">
        <f>VALUE(MID(I1634,1,3))</f>
        <v>349</v>
      </c>
      <c r="K1634" s="13">
        <f>VALUE(MID(G1634,5,2))</f>
        <v>6</v>
      </c>
    </row>
    <row r="1635" spans="7:11">
      <c r="G1635" s="1" t="s">
        <v>170</v>
      </c>
      <c r="H1635" s="1">
        <v>4</v>
      </c>
      <c r="I1635" s="1" t="s">
        <v>79</v>
      </c>
      <c r="J1635" s="13">
        <f>VALUE(MID(I1635,1,3))</f>
        <v>349</v>
      </c>
      <c r="K1635" s="13">
        <f>VALUE(MID(G1635,5,2))</f>
        <v>6</v>
      </c>
    </row>
    <row r="1636" spans="7:11">
      <c r="G1636" s="1" t="s">
        <v>175</v>
      </c>
      <c r="H1636" s="1">
        <v>6.27</v>
      </c>
      <c r="I1636" s="1" t="s">
        <v>79</v>
      </c>
      <c r="J1636" s="13">
        <f>VALUE(MID(I1636,1,3))</f>
        <v>349</v>
      </c>
      <c r="K1636" s="13">
        <f>VALUE(MID(G1636,5,2))</f>
        <v>7</v>
      </c>
    </row>
    <row r="1637" spans="7:11">
      <c r="G1637" s="1" t="s">
        <v>175</v>
      </c>
      <c r="H1637" s="1">
        <v>7.12</v>
      </c>
      <c r="I1637" s="1" t="s">
        <v>79</v>
      </c>
      <c r="J1637" s="13">
        <f>VALUE(MID(I1637,1,3))</f>
        <v>349</v>
      </c>
      <c r="K1637" s="13">
        <f>VALUE(MID(G1637,5,2))</f>
        <v>7</v>
      </c>
    </row>
    <row r="1638" spans="7:11">
      <c r="G1638" s="1" t="s">
        <v>175</v>
      </c>
      <c r="H1638" s="1">
        <v>12.07</v>
      </c>
      <c r="I1638" s="1" t="s">
        <v>79</v>
      </c>
      <c r="J1638" s="13">
        <f>VALUE(MID(I1638,1,3))</f>
        <v>349</v>
      </c>
      <c r="K1638" s="13">
        <f>VALUE(MID(G1638,5,2))</f>
        <v>7</v>
      </c>
    </row>
    <row r="1639" spans="7:11">
      <c r="G1639" s="1" t="s">
        <v>175</v>
      </c>
      <c r="H1639" s="1">
        <v>2</v>
      </c>
      <c r="I1639" s="1" t="s">
        <v>79</v>
      </c>
      <c r="J1639" s="13">
        <f>VALUE(MID(I1639,1,3))</f>
        <v>349</v>
      </c>
      <c r="K1639" s="13">
        <f>VALUE(MID(G1639,5,2))</f>
        <v>7</v>
      </c>
    </row>
    <row r="1640" spans="7:11">
      <c r="G1640" s="1" t="s">
        <v>178</v>
      </c>
      <c r="H1640" s="1">
        <v>3</v>
      </c>
      <c r="I1640" s="1" t="s">
        <v>79</v>
      </c>
      <c r="J1640" s="13">
        <f>VALUE(MID(I1640,1,3))</f>
        <v>349</v>
      </c>
      <c r="K1640" s="13">
        <f>VALUE(MID(G1640,5,2))</f>
        <v>7</v>
      </c>
    </row>
    <row r="1641" spans="7:11">
      <c r="G1641" s="1" t="s">
        <v>183</v>
      </c>
      <c r="H1641" s="1">
        <v>3</v>
      </c>
      <c r="I1641" s="1" t="s">
        <v>79</v>
      </c>
      <c r="J1641" s="13">
        <f>VALUE(MID(I1641,1,3))</f>
        <v>349</v>
      </c>
      <c r="K1641" s="13">
        <f>VALUE(MID(G1641,5,2))</f>
        <v>8</v>
      </c>
    </row>
    <row r="1642" spans="7:11">
      <c r="G1642" s="1" t="s">
        <v>187</v>
      </c>
      <c r="H1642" s="1">
        <v>4.2699999999999996</v>
      </c>
      <c r="I1642" s="1" t="s">
        <v>79</v>
      </c>
      <c r="J1642" s="13">
        <f>VALUE(MID(I1642,1,3))</f>
        <v>349</v>
      </c>
      <c r="K1642" s="13">
        <f>VALUE(MID(G1642,5,2))</f>
        <v>9</v>
      </c>
    </row>
    <row r="1643" spans="7:11">
      <c r="G1643" s="1" t="s">
        <v>187</v>
      </c>
      <c r="H1643" s="1">
        <v>4</v>
      </c>
      <c r="I1643" s="1" t="s">
        <v>79</v>
      </c>
      <c r="J1643" s="13">
        <f>VALUE(MID(I1643,1,3))</f>
        <v>349</v>
      </c>
      <c r="K1643" s="13">
        <f>VALUE(MID(G1643,5,2))</f>
        <v>9</v>
      </c>
    </row>
    <row r="1644" spans="7:11">
      <c r="G1644" s="1" t="s">
        <v>192</v>
      </c>
      <c r="H1644" s="1">
        <v>29.04</v>
      </c>
      <c r="I1644" s="1" t="s">
        <v>79</v>
      </c>
      <c r="J1644" s="13">
        <f>VALUE(MID(I1644,1,3))</f>
        <v>349</v>
      </c>
      <c r="K1644" s="13">
        <f>VALUE(MID(G1644,5,2))</f>
        <v>9</v>
      </c>
    </row>
    <row r="1645" spans="7:11">
      <c r="G1645" s="1" t="s">
        <v>192</v>
      </c>
      <c r="H1645" s="1">
        <v>27.43</v>
      </c>
      <c r="I1645" s="1" t="s">
        <v>79</v>
      </c>
      <c r="J1645" s="13">
        <f>VALUE(MID(I1645,1,3))</f>
        <v>349</v>
      </c>
      <c r="K1645" s="13">
        <f>VALUE(MID(G1645,5,2))</f>
        <v>9</v>
      </c>
    </row>
    <row r="1646" spans="7:11">
      <c r="G1646" s="1" t="s">
        <v>192</v>
      </c>
      <c r="H1646" s="1">
        <v>3</v>
      </c>
      <c r="I1646" s="1" t="s">
        <v>79</v>
      </c>
      <c r="J1646" s="13">
        <f>VALUE(MID(I1646,1,3))</f>
        <v>349</v>
      </c>
      <c r="K1646" s="13">
        <f>VALUE(MID(G1646,5,2))</f>
        <v>9</v>
      </c>
    </row>
    <row r="1647" spans="7:11">
      <c r="G1647" s="1" t="s">
        <v>192</v>
      </c>
      <c r="H1647" s="1">
        <v>4</v>
      </c>
      <c r="I1647" s="1" t="s">
        <v>79</v>
      </c>
      <c r="J1647" s="13">
        <f>VALUE(MID(I1647,1,3))</f>
        <v>349</v>
      </c>
      <c r="K1647" s="13">
        <f>VALUE(MID(G1647,5,2))</f>
        <v>9</v>
      </c>
    </row>
    <row r="1648" spans="7:11">
      <c r="G1648" s="1" t="s">
        <v>203</v>
      </c>
      <c r="H1648" s="1">
        <v>32</v>
      </c>
      <c r="I1648" s="1" t="s">
        <v>79</v>
      </c>
      <c r="J1648" s="13">
        <f>VALUE(MID(I1648,1,3))</f>
        <v>349</v>
      </c>
      <c r="K1648" s="13">
        <f>VALUE(MID(G1648,5,2))</f>
        <v>10</v>
      </c>
    </row>
    <row r="1649" spans="7:11">
      <c r="G1649" s="1" t="s">
        <v>203</v>
      </c>
      <c r="H1649" s="1">
        <v>5</v>
      </c>
      <c r="I1649" s="1" t="s">
        <v>79</v>
      </c>
      <c r="J1649" s="13">
        <f>VALUE(MID(I1649,1,3))</f>
        <v>349</v>
      </c>
      <c r="K1649" s="13">
        <f>VALUE(MID(G1649,5,2))</f>
        <v>10</v>
      </c>
    </row>
    <row r="1650" spans="7:11">
      <c r="G1650" s="1" t="s">
        <v>203</v>
      </c>
      <c r="H1650" s="1">
        <v>3</v>
      </c>
      <c r="I1650" s="1" t="s">
        <v>79</v>
      </c>
      <c r="J1650" s="13">
        <f>VALUE(MID(I1650,1,3))</f>
        <v>349</v>
      </c>
      <c r="K1650" s="13">
        <f>VALUE(MID(G1650,5,2))</f>
        <v>10</v>
      </c>
    </row>
    <row r="1651" spans="7:11">
      <c r="G1651" s="1" t="s">
        <v>204</v>
      </c>
      <c r="H1651" s="1">
        <v>4</v>
      </c>
      <c r="I1651" s="1" t="s">
        <v>79</v>
      </c>
      <c r="J1651" s="13">
        <f>VALUE(MID(I1651,1,3))</f>
        <v>349</v>
      </c>
      <c r="K1651" s="13">
        <f>VALUE(MID(G1651,5,2))</f>
        <v>10</v>
      </c>
    </row>
    <row r="1652" spans="7:11">
      <c r="G1652" s="1" t="s">
        <v>210</v>
      </c>
      <c r="H1652" s="1">
        <v>18</v>
      </c>
      <c r="I1652" s="1" t="s">
        <v>79</v>
      </c>
      <c r="J1652" s="13">
        <f>VALUE(MID(I1652,1,3))</f>
        <v>349</v>
      </c>
      <c r="K1652" s="13">
        <f>VALUE(MID(G1652,5,2))</f>
        <v>11</v>
      </c>
    </row>
    <row r="1653" spans="7:11">
      <c r="G1653" s="1" t="s">
        <v>210</v>
      </c>
      <c r="H1653" s="1">
        <v>0.3</v>
      </c>
      <c r="I1653" s="1" t="s">
        <v>79</v>
      </c>
      <c r="J1653" s="13">
        <f>VALUE(MID(I1653,1,3))</f>
        <v>349</v>
      </c>
      <c r="K1653" s="13">
        <f>VALUE(MID(G1653,5,2))</f>
        <v>11</v>
      </c>
    </row>
    <row r="1654" spans="7:11">
      <c r="G1654" s="1" t="s">
        <v>210</v>
      </c>
      <c r="H1654" s="1">
        <v>4</v>
      </c>
      <c r="I1654" s="1" t="s">
        <v>79</v>
      </c>
      <c r="J1654" s="13">
        <f>VALUE(MID(I1654,1,3))</f>
        <v>349</v>
      </c>
      <c r="K1654" s="13">
        <f>VALUE(MID(G1654,5,2))</f>
        <v>11</v>
      </c>
    </row>
    <row r="1655" spans="7:11">
      <c r="G1655" s="1" t="s">
        <v>212</v>
      </c>
      <c r="H1655" s="1">
        <v>0.3</v>
      </c>
      <c r="I1655" s="1" t="s">
        <v>79</v>
      </c>
      <c r="J1655" s="13">
        <f>VALUE(MID(I1655,1,3))</f>
        <v>349</v>
      </c>
      <c r="K1655" s="13">
        <f>VALUE(MID(G1655,5,2))</f>
        <v>11</v>
      </c>
    </row>
    <row r="1656" spans="7:11">
      <c r="G1656" s="1" t="s">
        <v>212</v>
      </c>
      <c r="H1656" s="1">
        <v>4</v>
      </c>
      <c r="I1656" s="1" t="s">
        <v>79</v>
      </c>
      <c r="J1656" s="13">
        <f>VALUE(MID(I1656,1,3))</f>
        <v>349</v>
      </c>
      <c r="K1656" s="13">
        <f>VALUE(MID(G1656,5,2))</f>
        <v>11</v>
      </c>
    </row>
    <row r="1657" spans="7:11">
      <c r="G1657" s="1" t="s">
        <v>219</v>
      </c>
      <c r="H1657" s="1">
        <v>22</v>
      </c>
      <c r="I1657" s="1" t="s">
        <v>79</v>
      </c>
      <c r="J1657" s="13">
        <f>VALUE(MID(I1657,1,3))</f>
        <v>349</v>
      </c>
      <c r="K1657" s="13">
        <f>VALUE(MID(G1657,5,2))</f>
        <v>12</v>
      </c>
    </row>
    <row r="1658" spans="7:11">
      <c r="G1658" s="1" t="s">
        <v>219</v>
      </c>
      <c r="H1658" s="1">
        <v>12.6</v>
      </c>
      <c r="I1658" s="1" t="s">
        <v>79</v>
      </c>
      <c r="J1658" s="13">
        <f>VALUE(MID(I1658,1,3))</f>
        <v>349</v>
      </c>
      <c r="K1658" s="13">
        <f>VALUE(MID(G1658,5,2))</f>
        <v>12</v>
      </c>
    </row>
    <row r="1659" spans="7:11">
      <c r="G1659" s="1" t="s">
        <v>219</v>
      </c>
      <c r="H1659" s="1">
        <v>0.6</v>
      </c>
      <c r="I1659" s="1" t="s">
        <v>79</v>
      </c>
      <c r="J1659" s="13">
        <f>VALUE(MID(I1659,1,3))</f>
        <v>349</v>
      </c>
      <c r="K1659" s="13">
        <f>VALUE(MID(G1659,5,2))</f>
        <v>12</v>
      </c>
    </row>
    <row r="1660" spans="7:11">
      <c r="G1660" s="1" t="s">
        <v>219</v>
      </c>
      <c r="H1660" s="1">
        <v>0.3</v>
      </c>
      <c r="I1660" s="1" t="s">
        <v>79</v>
      </c>
      <c r="J1660" s="13">
        <f>VALUE(MID(I1660,1,3))</f>
        <v>349</v>
      </c>
      <c r="K1660" s="13">
        <f>VALUE(MID(G1660,5,2))</f>
        <v>12</v>
      </c>
    </row>
    <row r="1661" spans="7:11">
      <c r="G1661" s="1" t="s">
        <v>223</v>
      </c>
      <c r="H1661" s="1">
        <v>0.3</v>
      </c>
      <c r="I1661" s="1" t="s">
        <v>79</v>
      </c>
      <c r="J1661" s="13">
        <f>VALUE(MID(I1661,1,3))</f>
        <v>349</v>
      </c>
      <c r="K1661" s="13">
        <f>VALUE(MID(G1661,5,2))</f>
        <v>12</v>
      </c>
    </row>
    <row r="1662" spans="7:11">
      <c r="G1662" s="1" t="s">
        <v>223</v>
      </c>
      <c r="H1662" s="1">
        <v>4</v>
      </c>
      <c r="I1662" s="1" t="s">
        <v>79</v>
      </c>
      <c r="J1662" s="13">
        <f>VALUE(MID(I1662,1,3))</f>
        <v>349</v>
      </c>
      <c r="K1662" s="13">
        <f>VALUE(MID(G1662,5,2))</f>
        <v>12</v>
      </c>
    </row>
    <row r="1663" spans="7:11">
      <c r="G1663" s="1" t="s">
        <v>226</v>
      </c>
      <c r="H1663" s="1">
        <v>4</v>
      </c>
      <c r="I1663" s="1" t="s">
        <v>79</v>
      </c>
      <c r="J1663" s="13">
        <f>VALUE(MID(I1663,1,3))</f>
        <v>349</v>
      </c>
      <c r="K1663" s="13">
        <f>VALUE(MID(G1663,5,2))</f>
        <v>1</v>
      </c>
    </row>
    <row r="1664" spans="7:11">
      <c r="G1664" s="1" t="s">
        <v>73</v>
      </c>
      <c r="H1664" s="1">
        <v>1000</v>
      </c>
      <c r="I1664" s="1" t="s">
        <v>74</v>
      </c>
      <c r="J1664" s="13">
        <f>VALUE(MID(I1664,1,3))</f>
        <v>482</v>
      </c>
      <c r="K1664" s="13">
        <f>VALUE(MID(G1664,5,2))</f>
        <v>1</v>
      </c>
    </row>
    <row r="1665" spans="7:11">
      <c r="G1665" s="1" t="s">
        <v>73</v>
      </c>
      <c r="H1665" s="1">
        <v>2284</v>
      </c>
      <c r="I1665" s="1" t="s">
        <v>74</v>
      </c>
      <c r="J1665" s="13">
        <f>VALUE(MID(I1665,1,3))</f>
        <v>482</v>
      </c>
      <c r="K1665" s="13">
        <f>VALUE(MID(G1665,5,2))</f>
        <v>1</v>
      </c>
    </row>
    <row r="1666" spans="7:11">
      <c r="G1666" s="1" t="s">
        <v>73</v>
      </c>
      <c r="H1666" s="1">
        <v>30</v>
      </c>
      <c r="I1666" s="1" t="s">
        <v>74</v>
      </c>
      <c r="J1666" s="13">
        <f>VALUE(MID(I1666,1,3))</f>
        <v>482</v>
      </c>
      <c r="K1666" s="13">
        <f>VALUE(MID(G1666,5,2))</f>
        <v>1</v>
      </c>
    </row>
    <row r="1667" spans="7:11">
      <c r="G1667" s="1" t="s">
        <v>73</v>
      </c>
      <c r="H1667" s="1">
        <v>1000</v>
      </c>
      <c r="I1667" s="1" t="s">
        <v>74</v>
      </c>
      <c r="J1667" s="13">
        <f>VALUE(MID(I1667,1,3))</f>
        <v>482</v>
      </c>
      <c r="K1667" s="13">
        <f>VALUE(MID(G1667,5,2))</f>
        <v>1</v>
      </c>
    </row>
    <row r="1668" spans="7:11">
      <c r="G1668" s="1" t="s">
        <v>120</v>
      </c>
      <c r="H1668" s="1">
        <v>14716.79</v>
      </c>
      <c r="I1668" s="1" t="s">
        <v>74</v>
      </c>
      <c r="J1668" s="13">
        <f>VALUE(MID(I1668,1,3))</f>
        <v>482</v>
      </c>
      <c r="K1668" s="13">
        <f>VALUE(MID(G1668,5,2))</f>
        <v>3</v>
      </c>
    </row>
    <row r="1669" spans="7:11">
      <c r="G1669" s="1" t="s">
        <v>120</v>
      </c>
      <c r="H1669" s="1">
        <v>5152.59</v>
      </c>
      <c r="I1669" s="1" t="s">
        <v>74</v>
      </c>
      <c r="J1669" s="13">
        <f>VALUE(MID(I1669,1,3))</f>
        <v>482</v>
      </c>
      <c r="K1669" s="13">
        <f>VALUE(MID(G1669,5,2))</f>
        <v>3</v>
      </c>
    </row>
    <row r="1670" spans="7:11">
      <c r="G1670" s="1" t="s">
        <v>120</v>
      </c>
      <c r="H1670" s="1">
        <v>540</v>
      </c>
      <c r="I1670" s="1" t="s">
        <v>74</v>
      </c>
      <c r="J1670" s="13">
        <f>VALUE(MID(I1670,1,3))</f>
        <v>482</v>
      </c>
      <c r="K1670" s="13">
        <f>VALUE(MID(G1670,5,2))</f>
        <v>3</v>
      </c>
    </row>
    <row r="1671" spans="7:11">
      <c r="G1671" s="1" t="s">
        <v>120</v>
      </c>
      <c r="H1671" s="1">
        <v>1016.69</v>
      </c>
      <c r="I1671" s="1" t="s">
        <v>122</v>
      </c>
      <c r="J1671" s="13">
        <f>VALUE(MID(I1671,1,3))</f>
        <v>482</v>
      </c>
      <c r="K1671" s="13">
        <f>VALUE(MID(G1671,5,2))</f>
        <v>3</v>
      </c>
    </row>
    <row r="1672" spans="7:11">
      <c r="G1672" s="1" t="s">
        <v>120</v>
      </c>
      <c r="H1672" s="1">
        <v>821.9</v>
      </c>
      <c r="I1672" s="1" t="s">
        <v>122</v>
      </c>
      <c r="J1672" s="13">
        <f>VALUE(MID(I1672,1,3))</f>
        <v>482</v>
      </c>
      <c r="K1672" s="13">
        <f>VALUE(MID(G1672,5,2))</f>
        <v>3</v>
      </c>
    </row>
    <row r="1673" spans="7:11">
      <c r="G1673" s="1" t="s">
        <v>120</v>
      </c>
      <c r="H1673" s="1">
        <v>657.52</v>
      </c>
      <c r="I1673" s="1" t="s">
        <v>122</v>
      </c>
      <c r="J1673" s="13">
        <f>VALUE(MID(I1673,1,3))</f>
        <v>482</v>
      </c>
      <c r="K1673" s="13">
        <f>VALUE(MID(G1673,5,2))</f>
        <v>3</v>
      </c>
    </row>
    <row r="1674" spans="7:11">
      <c r="G1674" s="1" t="s">
        <v>130</v>
      </c>
      <c r="H1674" s="1">
        <v>821.9</v>
      </c>
      <c r="I1674" s="1" t="s">
        <v>122</v>
      </c>
      <c r="J1674" s="13">
        <f>VALUE(MID(I1674,1,3))</f>
        <v>482</v>
      </c>
      <c r="K1674" s="13">
        <f>VALUE(MID(G1674,5,2))</f>
        <v>3</v>
      </c>
    </row>
    <row r="1675" spans="7:11">
      <c r="G1675" s="1" t="s">
        <v>139</v>
      </c>
      <c r="H1675" s="1">
        <v>75</v>
      </c>
      <c r="I1675" s="1" t="s">
        <v>74</v>
      </c>
      <c r="J1675" s="13">
        <f>VALUE(MID(I1675,1,3))</f>
        <v>482</v>
      </c>
      <c r="K1675" s="13">
        <f>VALUE(MID(G1675,5,2))</f>
        <v>4</v>
      </c>
    </row>
    <row r="1676" spans="7:11">
      <c r="G1676" s="1" t="s">
        <v>139</v>
      </c>
      <c r="H1676" s="1">
        <v>958.23</v>
      </c>
      <c r="I1676" s="1" t="s">
        <v>74</v>
      </c>
      <c r="J1676" s="13">
        <f>VALUE(MID(I1676,1,3))</f>
        <v>482</v>
      </c>
      <c r="K1676" s="13">
        <f>VALUE(MID(G1676,5,2))</f>
        <v>4</v>
      </c>
    </row>
    <row r="1677" spans="7:11">
      <c r="G1677" s="1" t="s">
        <v>139</v>
      </c>
      <c r="H1677" s="1">
        <v>180</v>
      </c>
      <c r="I1677" s="1" t="s">
        <v>143</v>
      </c>
      <c r="J1677" s="13">
        <f>VALUE(MID(I1677,1,3))</f>
        <v>482</v>
      </c>
      <c r="K1677" s="13">
        <f>VALUE(MID(G1677,5,2))</f>
        <v>4</v>
      </c>
    </row>
    <row r="1678" spans="7:11">
      <c r="G1678" s="1" t="s">
        <v>152</v>
      </c>
      <c r="H1678" s="1">
        <v>500</v>
      </c>
      <c r="I1678" s="1" t="s">
        <v>74</v>
      </c>
      <c r="J1678" s="13">
        <f>VALUE(MID(I1678,1,3))</f>
        <v>482</v>
      </c>
      <c r="K1678" s="13">
        <f>VALUE(MID(G1678,5,2))</f>
        <v>5</v>
      </c>
    </row>
    <row r="1679" spans="7:11">
      <c r="G1679" s="1" t="s">
        <v>152</v>
      </c>
      <c r="H1679" s="1">
        <v>900</v>
      </c>
      <c r="I1679" s="1" t="s">
        <v>143</v>
      </c>
      <c r="J1679" s="13">
        <f>VALUE(MID(I1679,1,3))</f>
        <v>482</v>
      </c>
      <c r="K1679" s="13">
        <f>VALUE(MID(G1679,5,2))</f>
        <v>5</v>
      </c>
    </row>
    <row r="1680" spans="7:11">
      <c r="G1680" s="1" t="s">
        <v>167</v>
      </c>
      <c r="H1680" s="1">
        <v>435.73</v>
      </c>
      <c r="I1680" s="1" t="s">
        <v>122</v>
      </c>
      <c r="J1680" s="13">
        <f>VALUE(MID(I1680,1,3))</f>
        <v>482</v>
      </c>
      <c r="K1680" s="13">
        <f>VALUE(MID(G1680,5,2))</f>
        <v>6</v>
      </c>
    </row>
    <row r="1681" spans="7:11">
      <c r="G1681" s="1" t="s">
        <v>175</v>
      </c>
      <c r="H1681" s="1">
        <v>960</v>
      </c>
      <c r="I1681" s="1" t="s">
        <v>74</v>
      </c>
      <c r="J1681" s="13">
        <f>VALUE(MID(I1681,1,3))</f>
        <v>482</v>
      </c>
      <c r="K1681" s="13">
        <f>VALUE(MID(G1681,5,2))</f>
        <v>7</v>
      </c>
    </row>
    <row r="1682" spans="7:11">
      <c r="G1682" s="1" t="s">
        <v>187</v>
      </c>
      <c r="H1682" s="1">
        <v>958.23</v>
      </c>
      <c r="I1682" s="1" t="s">
        <v>74</v>
      </c>
      <c r="J1682" s="13">
        <f>VALUE(MID(I1682,1,3))</f>
        <v>482</v>
      </c>
      <c r="K1682" s="13">
        <f>VALUE(MID(G1682,5,2))</f>
        <v>9</v>
      </c>
    </row>
    <row r="1683" spans="7:11">
      <c r="G1683" s="1" t="s">
        <v>203</v>
      </c>
      <c r="H1683" s="1">
        <v>1000</v>
      </c>
      <c r="I1683" s="1" t="s">
        <v>74</v>
      </c>
      <c r="J1683" s="13">
        <f>VALUE(MID(I1683,1,3))</f>
        <v>482</v>
      </c>
      <c r="K1683" s="13">
        <f>VALUE(MID(G1683,5,2))</f>
        <v>10</v>
      </c>
    </row>
    <row r="1684" spans="7:11">
      <c r="G1684" s="1" t="s">
        <v>203</v>
      </c>
      <c r="H1684" s="1">
        <v>958.23</v>
      </c>
      <c r="I1684" s="1" t="s">
        <v>74</v>
      </c>
      <c r="J1684" s="13">
        <f>VALUE(MID(I1684,1,3))</f>
        <v>482</v>
      </c>
      <c r="K1684" s="13">
        <f>VALUE(MID(G1684,5,2))</f>
        <v>10</v>
      </c>
    </row>
    <row r="1685" spans="7:11">
      <c r="G1685" s="1" t="s">
        <v>210</v>
      </c>
      <c r="H1685" s="1">
        <v>675</v>
      </c>
      <c r="I1685" s="1" t="s">
        <v>143</v>
      </c>
      <c r="J1685" s="13">
        <f>VALUE(MID(I1685,1,3))</f>
        <v>482</v>
      </c>
      <c r="K1685" s="13">
        <f>VALUE(MID(G1685,5,2))</f>
        <v>11</v>
      </c>
    </row>
    <row r="1686" spans="7:11">
      <c r="G1686" s="1" t="s">
        <v>210</v>
      </c>
      <c r="H1686" s="1">
        <v>315</v>
      </c>
      <c r="I1686" s="1" t="s">
        <v>143</v>
      </c>
      <c r="J1686" s="13">
        <f>VALUE(MID(I1686,1,3))</f>
        <v>482</v>
      </c>
      <c r="K1686" s="13">
        <f>VALUE(MID(G1686,5,2))</f>
        <v>11</v>
      </c>
    </row>
    <row r="1687" spans="7:11">
      <c r="G1687" s="1" t="s">
        <v>210</v>
      </c>
      <c r="H1687" s="1">
        <v>164.38</v>
      </c>
      <c r="I1687" s="1" t="s">
        <v>122</v>
      </c>
      <c r="J1687" s="13">
        <f>VALUE(MID(I1687,1,3))</f>
        <v>482</v>
      </c>
      <c r="K1687" s="13">
        <f>VALUE(MID(G1687,5,2))</f>
        <v>11</v>
      </c>
    </row>
    <row r="1688" spans="7:11">
      <c r="G1688" s="1" t="s">
        <v>219</v>
      </c>
      <c r="H1688" s="1">
        <v>18000</v>
      </c>
      <c r="I1688" s="1" t="s">
        <v>74</v>
      </c>
      <c r="J1688" s="13">
        <f>VALUE(MID(I1688,1,3))</f>
        <v>482</v>
      </c>
      <c r="K1688" s="13">
        <f>VALUE(MID(G1688,5,2))</f>
        <v>12</v>
      </c>
    </row>
    <row r="1689" spans="7:11">
      <c r="G1689" s="1" t="s">
        <v>226</v>
      </c>
      <c r="H1689" s="1">
        <v>13351.15</v>
      </c>
      <c r="I1689" s="1" t="s">
        <v>74</v>
      </c>
      <c r="J1689" s="13">
        <f>VALUE(MID(I1689,1,3))</f>
        <v>482</v>
      </c>
      <c r="K1689" s="13">
        <f>VALUE(MID(G1689,5,2))</f>
        <v>1</v>
      </c>
    </row>
    <row r="1690" spans="7:11">
      <c r="G1690" s="1" t="s">
        <v>226</v>
      </c>
      <c r="H1690" s="1">
        <v>300</v>
      </c>
      <c r="I1690" s="1" t="s">
        <v>143</v>
      </c>
      <c r="J1690" s="13">
        <f>VALUE(MID(I1690,1,3))</f>
        <v>482</v>
      </c>
      <c r="K1690" s="13">
        <f>VALUE(MID(G1690,5,2))</f>
        <v>1</v>
      </c>
    </row>
    <row r="1691" spans="7:11">
      <c r="G1691" s="1" t="s">
        <v>226</v>
      </c>
      <c r="H1691" s="1">
        <v>48</v>
      </c>
      <c r="I1691" s="1" t="s">
        <v>143</v>
      </c>
      <c r="J1691" s="13">
        <f>VALUE(MID(I1691,1,3))</f>
        <v>482</v>
      </c>
      <c r="K1691" s="13">
        <f>VALUE(MID(G1691,5,2))</f>
        <v>1</v>
      </c>
    </row>
    <row r="1692" spans="7:11">
      <c r="G1692" s="1" t="s">
        <v>226</v>
      </c>
      <c r="H1692" s="1">
        <v>958.23</v>
      </c>
      <c r="I1692" s="1" t="s">
        <v>74</v>
      </c>
      <c r="J1692" s="13">
        <f>VALUE(MID(I1692,1,3))</f>
        <v>482</v>
      </c>
      <c r="K1692" s="13">
        <f>VALUE(MID(G1692,5,2))</f>
        <v>1</v>
      </c>
    </row>
    <row r="1693" spans="7:11">
      <c r="G1693" s="1" t="s">
        <v>226</v>
      </c>
      <c r="H1693" s="1">
        <v>1769.39</v>
      </c>
      <c r="I1693" s="1" t="s">
        <v>122</v>
      </c>
      <c r="J1693" s="13">
        <f>VALUE(MID(I1693,1,3))</f>
        <v>482</v>
      </c>
      <c r="K1693" s="13">
        <f>VALUE(MID(G1693,5,2))</f>
        <v>1</v>
      </c>
    </row>
    <row r="1694" spans="7:11">
      <c r="G1694" s="1" t="s">
        <v>226</v>
      </c>
      <c r="H1694" s="1">
        <v>1769.39</v>
      </c>
      <c r="I1694" s="1" t="s">
        <v>122</v>
      </c>
      <c r="J1694" s="13">
        <f>VALUE(MID(I1694,1,3))</f>
        <v>482</v>
      </c>
      <c r="K1694" s="13">
        <f>VALUE(MID(G1694,5,2))</f>
        <v>1</v>
      </c>
    </row>
    <row r="1695" spans="7:11">
      <c r="G1695" s="1" t="s">
        <v>146</v>
      </c>
      <c r="H1695" s="1">
        <v>-429.5</v>
      </c>
      <c r="I1695" s="1" t="s">
        <v>147</v>
      </c>
      <c r="J1695" s="13">
        <f>VALUE(MID(I1695,1,3))</f>
        <v>522</v>
      </c>
      <c r="K1695" s="13">
        <f>VALUE(MID(G1695,5,2))</f>
        <v>4</v>
      </c>
    </row>
    <row r="1696" spans="7:11">
      <c r="G1696" s="1" t="s">
        <v>172</v>
      </c>
      <c r="H1696" s="1">
        <v>-3</v>
      </c>
      <c r="I1696" s="1" t="s">
        <v>171</v>
      </c>
      <c r="J1696" s="13">
        <f>VALUE(MID(I1696,1,3))</f>
        <v>534</v>
      </c>
      <c r="K1696" s="13">
        <f>VALUE(MID(G1696,5,2))</f>
        <v>8</v>
      </c>
    </row>
    <row r="1697" spans="7:11">
      <c r="G1697" s="1" t="s">
        <v>120</v>
      </c>
      <c r="H1697" s="1">
        <v>520</v>
      </c>
      <c r="I1697" s="1" t="s">
        <v>127</v>
      </c>
      <c r="J1697" s="13">
        <f>VALUE(MID(I1697,1,3))</f>
        <v>603</v>
      </c>
      <c r="K1697" s="13">
        <f>VALUE(MID(G1697,5,2))</f>
        <v>3</v>
      </c>
    </row>
    <row r="1698" spans="7:11">
      <c r="G1698" s="1" t="s">
        <v>120</v>
      </c>
      <c r="H1698" s="1">
        <v>2743.1</v>
      </c>
      <c r="I1698" s="1" t="s">
        <v>127</v>
      </c>
      <c r="J1698" s="13">
        <f>VALUE(MID(I1698,1,3))</f>
        <v>603</v>
      </c>
      <c r="K1698" s="13">
        <f>VALUE(MID(G1698,5,2))</f>
        <v>3</v>
      </c>
    </row>
    <row r="1699" spans="7:11">
      <c r="G1699" s="1" t="s">
        <v>120</v>
      </c>
      <c r="H1699" s="1">
        <v>327.60000000000002</v>
      </c>
      <c r="I1699" s="1" t="s">
        <v>127</v>
      </c>
      <c r="J1699" s="13">
        <f>VALUE(MID(I1699,1,3))</f>
        <v>603</v>
      </c>
      <c r="K1699" s="13">
        <f>VALUE(MID(G1699,5,2))</f>
        <v>3</v>
      </c>
    </row>
    <row r="1700" spans="7:11">
      <c r="G1700" s="1" t="s">
        <v>152</v>
      </c>
      <c r="H1700" s="1">
        <v>158.47999999999999</v>
      </c>
      <c r="I1700" s="1" t="s">
        <v>127</v>
      </c>
      <c r="J1700" s="13">
        <f>VALUE(MID(I1700,1,3))</f>
        <v>603</v>
      </c>
      <c r="K1700" s="13">
        <f>VALUE(MID(G1700,5,2))</f>
        <v>5</v>
      </c>
    </row>
    <row r="1701" spans="7:11">
      <c r="G1701" s="1" t="s">
        <v>152</v>
      </c>
      <c r="H1701" s="1">
        <v>3016</v>
      </c>
      <c r="I1701" s="1" t="s">
        <v>127</v>
      </c>
      <c r="J1701" s="13">
        <f>VALUE(MID(I1701,1,3))</f>
        <v>603</v>
      </c>
      <c r="K1701" s="13">
        <f>VALUE(MID(G1701,5,2))</f>
        <v>5</v>
      </c>
    </row>
    <row r="1702" spans="7:11">
      <c r="G1702" s="1" t="s">
        <v>175</v>
      </c>
      <c r="H1702" s="1">
        <v>1045.47</v>
      </c>
      <c r="I1702" s="1" t="s">
        <v>127</v>
      </c>
      <c r="J1702" s="13">
        <f>VALUE(MID(I1702,1,3))</f>
        <v>603</v>
      </c>
      <c r="K1702" s="13">
        <f>VALUE(MID(G1702,5,2))</f>
        <v>7</v>
      </c>
    </row>
    <row r="1703" spans="7:11">
      <c r="G1703" s="1" t="s">
        <v>187</v>
      </c>
      <c r="H1703" s="1">
        <v>3215.41</v>
      </c>
      <c r="I1703" s="1" t="s">
        <v>127</v>
      </c>
      <c r="J1703" s="13">
        <f>VALUE(MID(I1703,1,3))</f>
        <v>603</v>
      </c>
      <c r="K1703" s="13">
        <f>VALUE(MID(G1703,5,2))</f>
        <v>9</v>
      </c>
    </row>
    <row r="1704" spans="7:11">
      <c r="G1704" s="1" t="s">
        <v>192</v>
      </c>
      <c r="H1704" s="1">
        <v>2406.9499999999998</v>
      </c>
      <c r="I1704" s="1" t="s">
        <v>127</v>
      </c>
      <c r="J1704" s="13">
        <f>VALUE(MID(I1704,1,3))</f>
        <v>603</v>
      </c>
      <c r="K1704" s="13">
        <f>VALUE(MID(G1704,5,2))</f>
        <v>9</v>
      </c>
    </row>
    <row r="1705" spans="7:11">
      <c r="G1705" s="1" t="s">
        <v>203</v>
      </c>
      <c r="H1705" s="1">
        <v>458.96</v>
      </c>
      <c r="I1705" s="1" t="s">
        <v>127</v>
      </c>
      <c r="J1705" s="13">
        <f>VALUE(MID(I1705,1,3))</f>
        <v>603</v>
      </c>
      <c r="K1705" s="13">
        <f>VALUE(MID(G1705,5,2))</f>
        <v>10</v>
      </c>
    </row>
    <row r="1706" spans="7:11">
      <c r="G1706" s="1" t="s">
        <v>203</v>
      </c>
      <c r="H1706" s="1">
        <v>150</v>
      </c>
      <c r="I1706" s="1" t="s">
        <v>127</v>
      </c>
      <c r="J1706" s="13">
        <f>VALUE(MID(I1706,1,3))</f>
        <v>603</v>
      </c>
      <c r="K1706" s="13">
        <f>VALUE(MID(G1706,5,2))</f>
        <v>10</v>
      </c>
    </row>
    <row r="1707" spans="7:11">
      <c r="G1707" s="1" t="s">
        <v>210</v>
      </c>
      <c r="H1707" s="1">
        <v>780</v>
      </c>
      <c r="I1707" s="1" t="s">
        <v>127</v>
      </c>
      <c r="J1707" s="13">
        <f>VALUE(MID(I1707,1,3))</f>
        <v>603</v>
      </c>
      <c r="K1707" s="13">
        <f>VALUE(MID(G1707,5,2))</f>
        <v>11</v>
      </c>
    </row>
    <row r="1708" spans="7:11">
      <c r="G1708" s="1" t="s">
        <v>210</v>
      </c>
      <c r="H1708" s="1">
        <v>667.12</v>
      </c>
      <c r="I1708" s="1" t="s">
        <v>127</v>
      </c>
      <c r="J1708" s="13">
        <f>VALUE(MID(I1708,1,3))</f>
        <v>603</v>
      </c>
      <c r="K1708" s="13">
        <f>VALUE(MID(G1708,5,2))</f>
        <v>11</v>
      </c>
    </row>
    <row r="1709" spans="7:11">
      <c r="G1709" s="1" t="s">
        <v>219</v>
      </c>
      <c r="H1709" s="1">
        <v>3016</v>
      </c>
      <c r="I1709" s="1" t="s">
        <v>127</v>
      </c>
      <c r="J1709" s="13">
        <f>VALUE(MID(I1709,1,3))</f>
        <v>603</v>
      </c>
      <c r="K1709" s="13">
        <f>VALUE(MID(G1709,5,2))</f>
        <v>12</v>
      </c>
    </row>
    <row r="1710" spans="7:11">
      <c r="G1710" s="1" t="s">
        <v>219</v>
      </c>
      <c r="H1710" s="1">
        <v>520</v>
      </c>
      <c r="I1710" s="1" t="s">
        <v>127</v>
      </c>
      <c r="J1710" s="13">
        <f>VALUE(MID(I1710,1,3))</f>
        <v>603</v>
      </c>
      <c r="K1710" s="13">
        <f>VALUE(MID(G1710,5,2))</f>
        <v>12</v>
      </c>
    </row>
    <row r="1711" spans="7:11">
      <c r="G1711" s="1" t="s">
        <v>226</v>
      </c>
      <c r="H1711" s="1">
        <v>582.4</v>
      </c>
      <c r="I1711" s="1" t="s">
        <v>127</v>
      </c>
      <c r="J1711" s="13">
        <f>VALUE(MID(I1711,1,3))</f>
        <v>603</v>
      </c>
      <c r="K1711" s="13">
        <f>VALUE(MID(G1711,5,2))</f>
        <v>1</v>
      </c>
    </row>
    <row r="1712" spans="7:11">
      <c r="G1712" s="1" t="s">
        <v>226</v>
      </c>
      <c r="H1712" s="1">
        <v>1104.55</v>
      </c>
      <c r="I1712" s="1" t="s">
        <v>127</v>
      </c>
      <c r="J1712" s="13">
        <f>VALUE(MID(I1712,1,3))</f>
        <v>603</v>
      </c>
      <c r="K1712" s="13">
        <f>VALUE(MID(G1712,5,2))</f>
        <v>1</v>
      </c>
    </row>
    <row r="1713" spans="7:11">
      <c r="G1713" s="1" t="s">
        <v>226</v>
      </c>
      <c r="H1713" s="1">
        <v>8220.24</v>
      </c>
      <c r="I1713" s="1" t="s">
        <v>127</v>
      </c>
      <c r="J1713" s="13">
        <f>VALUE(MID(I1713,1,3))</f>
        <v>603</v>
      </c>
      <c r="K1713" s="13">
        <f>VALUE(MID(G1713,5,2))</f>
        <v>1</v>
      </c>
    </row>
    <row r="1714" spans="7:11">
      <c r="G1714" s="1" t="s">
        <v>120</v>
      </c>
      <c r="H1714" s="1">
        <v>264.39999999999998</v>
      </c>
      <c r="I1714" s="1" t="s">
        <v>124</v>
      </c>
      <c r="J1714" s="13">
        <f>VALUE(MID(I1714,1,3))</f>
        <v>605</v>
      </c>
      <c r="K1714" s="13">
        <f>VALUE(MID(G1714,5,2))</f>
        <v>3</v>
      </c>
    </row>
    <row r="1715" spans="7:11">
      <c r="G1715" s="1" t="s">
        <v>120</v>
      </c>
      <c r="H1715" s="1">
        <v>448</v>
      </c>
      <c r="I1715" s="1" t="s">
        <v>126</v>
      </c>
      <c r="J1715" s="13">
        <f>VALUE(MID(I1715,1,3))</f>
        <v>605</v>
      </c>
      <c r="K1715" s="13">
        <f>VALUE(MID(G1715,5,2))</f>
        <v>3</v>
      </c>
    </row>
    <row r="1716" spans="7:11">
      <c r="G1716" s="1" t="s">
        <v>140</v>
      </c>
      <c r="H1716" s="1">
        <v>640</v>
      </c>
      <c r="I1716" s="1" t="s">
        <v>126</v>
      </c>
      <c r="J1716" s="13">
        <f>VALUE(MID(I1716,1,3))</f>
        <v>605</v>
      </c>
      <c r="K1716" s="13">
        <f>VALUE(MID(G1716,5,2))</f>
        <v>4</v>
      </c>
    </row>
    <row r="1717" spans="7:11">
      <c r="G1717" s="1" t="s">
        <v>139</v>
      </c>
      <c r="H1717" s="1">
        <v>519.41999999999996</v>
      </c>
      <c r="I1717" s="1" t="s">
        <v>124</v>
      </c>
      <c r="J1717" s="13">
        <f>VALUE(MID(I1717,1,3))</f>
        <v>605</v>
      </c>
      <c r="K1717" s="13">
        <f>VALUE(MID(G1717,5,2))</f>
        <v>4</v>
      </c>
    </row>
    <row r="1718" spans="7:11">
      <c r="G1718" s="1" t="s">
        <v>139</v>
      </c>
      <c r="H1718" s="1">
        <v>240</v>
      </c>
      <c r="I1718" s="1" t="s">
        <v>126</v>
      </c>
      <c r="J1718" s="13">
        <f>VALUE(MID(I1718,1,3))</f>
        <v>605</v>
      </c>
      <c r="K1718" s="13">
        <f>VALUE(MID(G1718,5,2))</f>
        <v>4</v>
      </c>
    </row>
    <row r="1719" spans="7:11">
      <c r="G1719" s="1" t="s">
        <v>153</v>
      </c>
      <c r="H1719" s="1">
        <v>640</v>
      </c>
      <c r="I1719" s="1" t="s">
        <v>126</v>
      </c>
      <c r="J1719" s="13">
        <f>VALUE(MID(I1719,1,3))</f>
        <v>605</v>
      </c>
      <c r="K1719" s="13">
        <f>VALUE(MID(G1719,5,2))</f>
        <v>5</v>
      </c>
    </row>
    <row r="1720" spans="7:11">
      <c r="G1720" s="1" t="s">
        <v>167</v>
      </c>
      <c r="H1720" s="1">
        <v>750</v>
      </c>
      <c r="I1720" s="1" t="s">
        <v>124</v>
      </c>
      <c r="J1720" s="13">
        <f>VALUE(MID(I1720,1,3))</f>
        <v>605</v>
      </c>
      <c r="K1720" s="13">
        <f>VALUE(MID(G1720,5,2))</f>
        <v>6</v>
      </c>
    </row>
    <row r="1721" spans="7:11">
      <c r="G1721" s="1" t="s">
        <v>167</v>
      </c>
      <c r="H1721" s="1">
        <v>7490</v>
      </c>
      <c r="I1721" s="1" t="s">
        <v>124</v>
      </c>
      <c r="J1721" s="13">
        <f>VALUE(MID(I1721,1,3))</f>
        <v>605</v>
      </c>
      <c r="K1721" s="13">
        <f>VALUE(MID(G1721,5,2))</f>
        <v>6</v>
      </c>
    </row>
    <row r="1722" spans="7:11">
      <c r="G1722" s="1" t="s">
        <v>167</v>
      </c>
      <c r="H1722" s="1">
        <v>195</v>
      </c>
      <c r="I1722" s="1" t="s">
        <v>124</v>
      </c>
      <c r="J1722" s="13">
        <f>VALUE(MID(I1722,1,3))</f>
        <v>605</v>
      </c>
      <c r="K1722" s="13">
        <f>VALUE(MID(G1722,5,2))</f>
        <v>6</v>
      </c>
    </row>
    <row r="1723" spans="7:11">
      <c r="G1723" s="1" t="s">
        <v>167</v>
      </c>
      <c r="H1723" s="1">
        <v>480</v>
      </c>
      <c r="I1723" s="1" t="s">
        <v>126</v>
      </c>
      <c r="J1723" s="13">
        <f>VALUE(MID(I1723,1,3))</f>
        <v>605</v>
      </c>
      <c r="K1723" s="13">
        <f>VALUE(MID(G1723,5,2))</f>
        <v>6</v>
      </c>
    </row>
    <row r="1724" spans="7:11">
      <c r="G1724" s="1" t="s">
        <v>167</v>
      </c>
      <c r="H1724" s="1">
        <v>480</v>
      </c>
      <c r="I1724" s="1" t="s">
        <v>126</v>
      </c>
      <c r="J1724" s="13">
        <f>VALUE(MID(I1724,1,3))</f>
        <v>605</v>
      </c>
      <c r="K1724" s="13">
        <f>VALUE(MID(G1724,5,2))</f>
        <v>6</v>
      </c>
    </row>
    <row r="1725" spans="7:11">
      <c r="G1725" s="1" t="s">
        <v>175</v>
      </c>
      <c r="H1725" s="1">
        <v>195</v>
      </c>
      <c r="I1725" s="1" t="s">
        <v>124</v>
      </c>
      <c r="J1725" s="13">
        <f>VALUE(MID(I1725,1,3))</f>
        <v>605</v>
      </c>
      <c r="K1725" s="13">
        <f>VALUE(MID(G1725,5,2))</f>
        <v>7</v>
      </c>
    </row>
    <row r="1726" spans="7:11">
      <c r="G1726" s="1" t="s">
        <v>203</v>
      </c>
      <c r="H1726" s="1">
        <v>276.77999999999997</v>
      </c>
      <c r="I1726" s="1" t="s">
        <v>126</v>
      </c>
      <c r="J1726" s="13">
        <f>VALUE(MID(I1726,1,3))</f>
        <v>605</v>
      </c>
      <c r="K1726" s="13">
        <f>VALUE(MID(G1726,5,2))</f>
        <v>10</v>
      </c>
    </row>
    <row r="1727" spans="7:11">
      <c r="G1727" s="1" t="s">
        <v>203</v>
      </c>
      <c r="H1727" s="1">
        <v>220.64</v>
      </c>
      <c r="I1727" s="1" t="s">
        <v>124</v>
      </c>
      <c r="J1727" s="13">
        <f>VALUE(MID(I1727,1,3))</f>
        <v>605</v>
      </c>
      <c r="K1727" s="13">
        <f>VALUE(MID(G1727,5,2))</f>
        <v>10</v>
      </c>
    </row>
    <row r="1728" spans="7:11">
      <c r="G1728" s="1" t="s">
        <v>203</v>
      </c>
      <c r="H1728" s="1">
        <v>1005</v>
      </c>
      <c r="I1728" s="1" t="s">
        <v>126</v>
      </c>
      <c r="J1728" s="13">
        <f>VALUE(MID(I1728,1,3))</f>
        <v>605</v>
      </c>
      <c r="K1728" s="13">
        <f>VALUE(MID(G1728,5,2))</f>
        <v>10</v>
      </c>
    </row>
    <row r="1729" spans="7:11">
      <c r="G1729" s="1" t="s">
        <v>203</v>
      </c>
      <c r="H1729" s="1">
        <v>4658.68</v>
      </c>
      <c r="I1729" s="1" t="s">
        <v>126</v>
      </c>
      <c r="J1729" s="13">
        <f>VALUE(MID(I1729,1,3))</f>
        <v>605</v>
      </c>
      <c r="K1729" s="13">
        <f>VALUE(MID(G1729,5,2))</f>
        <v>10</v>
      </c>
    </row>
    <row r="1730" spans="7:11">
      <c r="G1730" s="1" t="s">
        <v>203</v>
      </c>
      <c r="H1730" s="1">
        <v>2678.62</v>
      </c>
      <c r="I1730" s="1" t="s">
        <v>126</v>
      </c>
      <c r="J1730" s="13">
        <f>VALUE(MID(I1730,1,3))</f>
        <v>605</v>
      </c>
      <c r="K1730" s="13">
        <f>VALUE(MID(G1730,5,2))</f>
        <v>10</v>
      </c>
    </row>
    <row r="1731" spans="7:11">
      <c r="G1731" s="1" t="s">
        <v>210</v>
      </c>
      <c r="H1731" s="1">
        <v>2032</v>
      </c>
      <c r="I1731" s="1" t="s">
        <v>126</v>
      </c>
      <c r="J1731" s="13">
        <f>VALUE(MID(I1731,1,3))</f>
        <v>605</v>
      </c>
      <c r="K1731" s="13">
        <f>VALUE(MID(G1731,5,2))</f>
        <v>11</v>
      </c>
    </row>
    <row r="1732" spans="7:11">
      <c r="G1732" s="1" t="s">
        <v>210</v>
      </c>
      <c r="H1732" s="1">
        <v>3681.25</v>
      </c>
      <c r="I1732" s="1" t="s">
        <v>126</v>
      </c>
      <c r="J1732" s="13">
        <f>VALUE(MID(I1732,1,3))</f>
        <v>605</v>
      </c>
      <c r="K1732" s="13">
        <f>VALUE(MID(G1732,5,2))</f>
        <v>11</v>
      </c>
    </row>
    <row r="1733" spans="7:11">
      <c r="G1733" s="1" t="s">
        <v>210</v>
      </c>
      <c r="H1733" s="1">
        <v>226.42</v>
      </c>
      <c r="I1733" s="1" t="s">
        <v>126</v>
      </c>
      <c r="J1733" s="13">
        <f>VALUE(MID(I1733,1,3))</f>
        <v>605</v>
      </c>
      <c r="K1733" s="13">
        <f>VALUE(MID(G1733,5,2))</f>
        <v>11</v>
      </c>
    </row>
    <row r="1734" spans="7:11">
      <c r="G1734" s="1" t="s">
        <v>219</v>
      </c>
      <c r="H1734" s="1">
        <v>1275.44</v>
      </c>
      <c r="I1734" s="1" t="s">
        <v>126</v>
      </c>
      <c r="J1734" s="13">
        <f>VALUE(MID(I1734,1,3))</f>
        <v>605</v>
      </c>
      <c r="K1734" s="13">
        <f>VALUE(MID(G1734,5,2))</f>
        <v>12</v>
      </c>
    </row>
    <row r="1735" spans="7:11">
      <c r="G1735" s="1" t="s">
        <v>219</v>
      </c>
      <c r="H1735" s="1">
        <v>226.42</v>
      </c>
      <c r="I1735" s="1" t="s">
        <v>126</v>
      </c>
      <c r="J1735" s="13">
        <f>VALUE(MID(I1735,1,3))</f>
        <v>605</v>
      </c>
      <c r="K1735" s="13">
        <f>VALUE(MID(G1735,5,2))</f>
        <v>12</v>
      </c>
    </row>
    <row r="1736" spans="7:11">
      <c r="G1736" s="1" t="s">
        <v>226</v>
      </c>
      <c r="H1736" s="1">
        <v>18000</v>
      </c>
      <c r="I1736" s="1" t="s">
        <v>126</v>
      </c>
      <c r="J1736" s="13">
        <f>VALUE(MID(I1736,1,3))</f>
        <v>605</v>
      </c>
      <c r="K1736" s="13">
        <f>VALUE(MID(G1736,5,2))</f>
        <v>1</v>
      </c>
    </row>
    <row r="1737" spans="7:11">
      <c r="G1737" s="1" t="s">
        <v>226</v>
      </c>
      <c r="H1737" s="1">
        <v>1375.21</v>
      </c>
      <c r="I1737" s="1" t="s">
        <v>126</v>
      </c>
      <c r="J1737" s="13">
        <f>VALUE(MID(I1737,1,3))</f>
        <v>605</v>
      </c>
      <c r="K1737" s="13">
        <f>VALUE(MID(G1737,5,2))</f>
        <v>1</v>
      </c>
    </row>
    <row r="1738" spans="7:11">
      <c r="G1738" s="1" t="s">
        <v>226</v>
      </c>
      <c r="H1738" s="1">
        <v>650</v>
      </c>
      <c r="I1738" s="1" t="s">
        <v>126</v>
      </c>
      <c r="J1738" s="13">
        <f>VALUE(MID(I1738,1,3))</f>
        <v>605</v>
      </c>
      <c r="K1738" s="13">
        <f>VALUE(MID(G1738,5,2))</f>
        <v>1</v>
      </c>
    </row>
    <row r="1739" spans="7:11">
      <c r="G1739" s="1" t="s">
        <v>97</v>
      </c>
      <c r="H1739" s="1">
        <v>359.99</v>
      </c>
      <c r="I1739" s="1" t="s">
        <v>105</v>
      </c>
      <c r="J1739" s="13">
        <f>VALUE(MID(I1739,1,3))</f>
        <v>606</v>
      </c>
      <c r="K1739" s="13">
        <f>VALUE(MID(G1739,5,2))</f>
        <v>2</v>
      </c>
    </row>
    <row r="1740" spans="7:11">
      <c r="G1740" s="1" t="s">
        <v>139</v>
      </c>
      <c r="H1740" s="1">
        <v>1100</v>
      </c>
      <c r="I1740" s="1" t="s">
        <v>105</v>
      </c>
      <c r="J1740" s="13">
        <f>VALUE(MID(I1740,1,3))</f>
        <v>606</v>
      </c>
      <c r="K1740" s="13">
        <f>VALUE(MID(G1740,5,2))</f>
        <v>4</v>
      </c>
    </row>
    <row r="1741" spans="7:11">
      <c r="G1741" s="1" t="s">
        <v>167</v>
      </c>
      <c r="H1741" s="1">
        <v>248.31</v>
      </c>
      <c r="I1741" s="1" t="s">
        <v>105</v>
      </c>
      <c r="J1741" s="13">
        <f>VALUE(MID(I1741,1,3))</f>
        <v>606</v>
      </c>
      <c r="K1741" s="13">
        <f>VALUE(MID(G1741,5,2))</f>
        <v>6</v>
      </c>
    </row>
    <row r="1742" spans="7:11">
      <c r="G1742" s="1" t="s">
        <v>167</v>
      </c>
      <c r="H1742" s="1">
        <v>243.36</v>
      </c>
      <c r="I1742" s="1" t="s">
        <v>105</v>
      </c>
      <c r="J1742" s="13">
        <f>VALUE(MID(I1742,1,3))</f>
        <v>606</v>
      </c>
      <c r="K1742" s="13">
        <f>VALUE(MID(G1742,5,2))</f>
        <v>6</v>
      </c>
    </row>
    <row r="1743" spans="7:11">
      <c r="G1743" s="1" t="s">
        <v>175</v>
      </c>
      <c r="H1743" s="1">
        <v>298.97000000000003</v>
      </c>
      <c r="I1743" s="1" t="s">
        <v>105</v>
      </c>
      <c r="J1743" s="13">
        <f>VALUE(MID(I1743,1,3))</f>
        <v>606</v>
      </c>
      <c r="K1743" s="13">
        <f>VALUE(MID(G1743,5,2))</f>
        <v>7</v>
      </c>
    </row>
    <row r="1744" spans="7:11">
      <c r="G1744" s="1" t="s">
        <v>175</v>
      </c>
      <c r="H1744" s="1">
        <v>369.59</v>
      </c>
      <c r="I1744" s="1" t="s">
        <v>105</v>
      </c>
      <c r="J1744" s="13">
        <f>VALUE(MID(I1744,1,3))</f>
        <v>606</v>
      </c>
      <c r="K1744" s="13">
        <f>VALUE(MID(G1744,5,2))</f>
        <v>7</v>
      </c>
    </row>
    <row r="1745" spans="7:11">
      <c r="G1745" s="1" t="s">
        <v>187</v>
      </c>
      <c r="H1745" s="1">
        <v>651.33000000000004</v>
      </c>
      <c r="I1745" s="1" t="s">
        <v>105</v>
      </c>
      <c r="J1745" s="13">
        <f>VALUE(MID(I1745,1,3))</f>
        <v>606</v>
      </c>
      <c r="K1745" s="13">
        <f>VALUE(MID(G1745,5,2))</f>
        <v>9</v>
      </c>
    </row>
    <row r="1746" spans="7:11">
      <c r="G1746" s="1" t="s">
        <v>203</v>
      </c>
      <c r="H1746" s="1">
        <v>2794</v>
      </c>
      <c r="I1746" s="1" t="s">
        <v>105</v>
      </c>
      <c r="J1746" s="13">
        <f>VALUE(MID(I1746,1,3))</f>
        <v>606</v>
      </c>
      <c r="K1746" s="13">
        <f>VALUE(MID(G1746,5,2))</f>
        <v>10</v>
      </c>
    </row>
    <row r="1747" spans="7:11">
      <c r="G1747" s="1" t="s">
        <v>203</v>
      </c>
      <c r="H1747" s="1">
        <v>565</v>
      </c>
      <c r="I1747" s="1" t="s">
        <v>105</v>
      </c>
      <c r="J1747" s="13">
        <f>VALUE(MID(I1747,1,3))</f>
        <v>606</v>
      </c>
      <c r="K1747" s="13">
        <f>VALUE(MID(G1747,5,2))</f>
        <v>10</v>
      </c>
    </row>
    <row r="1748" spans="7:11">
      <c r="G1748" s="1" t="s">
        <v>203</v>
      </c>
      <c r="H1748" s="1">
        <v>491.85</v>
      </c>
      <c r="I1748" s="1" t="s">
        <v>105</v>
      </c>
      <c r="J1748" s="13">
        <f>VALUE(MID(I1748,1,3))</f>
        <v>606</v>
      </c>
      <c r="K1748" s="13">
        <f>VALUE(MID(G1748,5,2))</f>
        <v>10</v>
      </c>
    </row>
    <row r="1749" spans="7:11">
      <c r="G1749" s="1" t="s">
        <v>203</v>
      </c>
      <c r="H1749" s="1">
        <v>1475.55</v>
      </c>
      <c r="I1749" s="1" t="s">
        <v>105</v>
      </c>
      <c r="J1749" s="13">
        <f>VALUE(MID(I1749,1,3))</f>
        <v>606</v>
      </c>
      <c r="K1749" s="13">
        <f>VALUE(MID(G1749,5,2))</f>
        <v>10</v>
      </c>
    </row>
    <row r="1750" spans="7:11">
      <c r="G1750" s="1" t="s">
        <v>210</v>
      </c>
      <c r="H1750" s="1">
        <v>2285.4</v>
      </c>
      <c r="I1750" s="1" t="s">
        <v>105</v>
      </c>
      <c r="J1750" s="13">
        <f>VALUE(MID(I1750,1,3))</f>
        <v>606</v>
      </c>
      <c r="K1750" s="13">
        <f>VALUE(MID(G1750,5,2))</f>
        <v>11</v>
      </c>
    </row>
    <row r="1751" spans="7:11">
      <c r="G1751" s="1" t="s">
        <v>210</v>
      </c>
      <c r="H1751" s="1">
        <v>3106.82</v>
      </c>
      <c r="I1751" s="1" t="s">
        <v>105</v>
      </c>
      <c r="J1751" s="13">
        <f>VALUE(MID(I1751,1,3))</f>
        <v>606</v>
      </c>
      <c r="K1751" s="13">
        <f>VALUE(MID(G1751,5,2))</f>
        <v>11</v>
      </c>
    </row>
    <row r="1752" spans="7:11">
      <c r="G1752" s="1" t="s">
        <v>210</v>
      </c>
      <c r="H1752" s="1">
        <v>2393.04</v>
      </c>
      <c r="I1752" s="1" t="s">
        <v>105</v>
      </c>
      <c r="J1752" s="13">
        <f>VALUE(MID(I1752,1,3))</f>
        <v>606</v>
      </c>
      <c r="K1752" s="13">
        <f>VALUE(MID(G1752,5,2))</f>
        <v>11</v>
      </c>
    </row>
    <row r="1753" spans="7:11">
      <c r="G1753" s="1" t="s">
        <v>219</v>
      </c>
      <c r="H1753" s="1">
        <v>3769.8</v>
      </c>
      <c r="I1753" s="1" t="s">
        <v>105</v>
      </c>
      <c r="J1753" s="13">
        <f>VALUE(MID(I1753,1,3))</f>
        <v>606</v>
      </c>
      <c r="K1753" s="13">
        <f>VALUE(MID(G1753,5,2))</f>
        <v>12</v>
      </c>
    </row>
    <row r="1754" spans="7:11">
      <c r="G1754" s="1" t="s">
        <v>120</v>
      </c>
      <c r="H1754" s="1">
        <v>62.5</v>
      </c>
      <c r="I1754" s="1" t="s">
        <v>121</v>
      </c>
      <c r="J1754" s="13">
        <f>VALUE(MID(I1754,1,3))</f>
        <v>608</v>
      </c>
      <c r="K1754" s="13">
        <f>VALUE(MID(G1754,5,2))</f>
        <v>3</v>
      </c>
    </row>
    <row r="1755" spans="7:11">
      <c r="G1755" s="1" t="s">
        <v>120</v>
      </c>
      <c r="H1755" s="1">
        <v>310</v>
      </c>
      <c r="I1755" s="1" t="s">
        <v>128</v>
      </c>
      <c r="J1755" s="13">
        <f>VALUE(MID(I1755,1,3))</f>
        <v>608</v>
      </c>
      <c r="K1755" s="13">
        <f>VALUE(MID(G1755,5,2))</f>
        <v>3</v>
      </c>
    </row>
    <row r="1756" spans="7:11">
      <c r="G1756" s="1" t="s">
        <v>139</v>
      </c>
      <c r="H1756" s="1">
        <v>1510.08</v>
      </c>
      <c r="I1756" s="1" t="s">
        <v>128</v>
      </c>
      <c r="J1756" s="13">
        <f>VALUE(MID(I1756,1,3))</f>
        <v>608</v>
      </c>
      <c r="K1756" s="13">
        <f>VALUE(MID(G1756,5,2))</f>
        <v>4</v>
      </c>
    </row>
    <row r="1757" spans="7:11">
      <c r="G1757" s="1" t="s">
        <v>139</v>
      </c>
      <c r="H1757" s="1">
        <v>673.92</v>
      </c>
      <c r="I1757" s="1" t="s">
        <v>128</v>
      </c>
      <c r="J1757" s="13">
        <f>VALUE(MID(I1757,1,3))</f>
        <v>608</v>
      </c>
      <c r="K1757" s="13">
        <f>VALUE(MID(G1757,5,2))</f>
        <v>4</v>
      </c>
    </row>
    <row r="1758" spans="7:11">
      <c r="G1758" s="1" t="s">
        <v>152</v>
      </c>
      <c r="H1758" s="1">
        <v>165</v>
      </c>
      <c r="I1758" s="1" t="s">
        <v>128</v>
      </c>
      <c r="J1758" s="13">
        <f>VALUE(MID(I1758,1,3))</f>
        <v>608</v>
      </c>
      <c r="K1758" s="13">
        <f>VALUE(MID(G1758,5,2))</f>
        <v>5</v>
      </c>
    </row>
    <row r="1759" spans="7:11">
      <c r="G1759" s="1" t="s">
        <v>167</v>
      </c>
      <c r="H1759" s="1">
        <v>125</v>
      </c>
      <c r="I1759" s="1" t="s">
        <v>121</v>
      </c>
      <c r="J1759" s="13">
        <f>VALUE(MID(I1759,1,3))</f>
        <v>608</v>
      </c>
      <c r="K1759" s="13">
        <f>VALUE(MID(G1759,5,2))</f>
        <v>6</v>
      </c>
    </row>
    <row r="1760" spans="7:11">
      <c r="G1760" s="1" t="s">
        <v>187</v>
      </c>
      <c r="H1760" s="1">
        <v>62.5</v>
      </c>
      <c r="I1760" s="1" t="s">
        <v>121</v>
      </c>
      <c r="J1760" s="13">
        <f>VALUE(MID(I1760,1,3))</f>
        <v>608</v>
      </c>
      <c r="K1760" s="13">
        <f>VALUE(MID(G1760,5,2))</f>
        <v>9</v>
      </c>
    </row>
    <row r="1761" spans="7:11">
      <c r="G1761" s="1" t="s">
        <v>203</v>
      </c>
      <c r="H1761" s="1">
        <v>237.3</v>
      </c>
      <c r="I1761" s="1" t="s">
        <v>128</v>
      </c>
      <c r="J1761" s="13">
        <f>VALUE(MID(I1761,1,3))</f>
        <v>608</v>
      </c>
      <c r="K1761" s="13">
        <f>VALUE(MID(G1761,5,2))</f>
        <v>10</v>
      </c>
    </row>
    <row r="1762" spans="7:11">
      <c r="G1762" s="1" t="s">
        <v>219</v>
      </c>
      <c r="H1762" s="1">
        <v>6435.9</v>
      </c>
      <c r="I1762" s="1" t="s">
        <v>128</v>
      </c>
      <c r="J1762" s="13">
        <f>VALUE(MID(I1762,1,3))</f>
        <v>608</v>
      </c>
      <c r="K1762" s="13">
        <f>VALUE(MID(G1762,5,2))</f>
        <v>12</v>
      </c>
    </row>
    <row r="1763" spans="7:11">
      <c r="G1763" s="1" t="s">
        <v>219</v>
      </c>
      <c r="H1763" s="1">
        <v>5530</v>
      </c>
      <c r="I1763" s="1" t="s">
        <v>128</v>
      </c>
      <c r="J1763" s="13">
        <f>VALUE(MID(I1763,1,3))</f>
        <v>608</v>
      </c>
      <c r="K1763" s="13">
        <f>VALUE(MID(G1763,5,2))</f>
        <v>12</v>
      </c>
    </row>
    <row r="1764" spans="7:11">
      <c r="G1764" s="1" t="s">
        <v>226</v>
      </c>
      <c r="H1764" s="1">
        <v>585</v>
      </c>
      <c r="I1764" s="1" t="s">
        <v>128</v>
      </c>
      <c r="J1764" s="13">
        <f>VALUE(MID(I1764,1,3))</f>
        <v>608</v>
      </c>
      <c r="K1764" s="13">
        <f>VALUE(MID(G1764,5,2))</f>
        <v>1</v>
      </c>
    </row>
    <row r="1765" spans="7:11">
      <c r="G1765" s="1" t="s">
        <v>194</v>
      </c>
      <c r="H1765" s="1">
        <v>-3.91</v>
      </c>
      <c r="I1765" s="1" t="s">
        <v>195</v>
      </c>
      <c r="J1765" s="13">
        <f>VALUE(MID(I1765,1,3))</f>
        <v>623</v>
      </c>
      <c r="K1765" s="13">
        <f>VALUE(MID(G1765,5,2))</f>
        <v>9</v>
      </c>
    </row>
    <row r="1766" spans="7:11">
      <c r="G1766" s="1" t="s">
        <v>120</v>
      </c>
      <c r="H1766" s="1">
        <v>163.9</v>
      </c>
      <c r="I1766" s="1" t="s">
        <v>123</v>
      </c>
      <c r="J1766" s="13">
        <f>VALUE(MID(I1766,1,3))</f>
        <v>640</v>
      </c>
      <c r="K1766" s="13">
        <f>VALUE(MID(G1766,5,2))</f>
        <v>3</v>
      </c>
    </row>
    <row r="1767" spans="7:11">
      <c r="G1767" s="1" t="s">
        <v>139</v>
      </c>
      <c r="H1767" s="1">
        <v>145</v>
      </c>
      <c r="I1767" s="1" t="s">
        <v>123</v>
      </c>
      <c r="J1767" s="13">
        <f>VALUE(MID(I1767,1,3))</f>
        <v>640</v>
      </c>
      <c r="K1767" s="13">
        <f>VALUE(MID(G1767,5,2))</f>
        <v>4</v>
      </c>
    </row>
    <row r="1768" spans="7:11">
      <c r="G1768" s="1" t="s">
        <v>152</v>
      </c>
      <c r="H1768" s="1">
        <v>5636.25</v>
      </c>
      <c r="I1768" s="1" t="s">
        <v>123</v>
      </c>
      <c r="J1768" s="13">
        <f>VALUE(MID(I1768,1,3))</f>
        <v>640</v>
      </c>
      <c r="K1768" s="13">
        <f>VALUE(MID(G1768,5,2))</f>
        <v>5</v>
      </c>
    </row>
    <row r="1769" spans="7:11">
      <c r="G1769" s="1" t="s">
        <v>152</v>
      </c>
      <c r="H1769" s="1">
        <v>145</v>
      </c>
      <c r="I1769" s="1" t="s">
        <v>123</v>
      </c>
      <c r="J1769" s="13">
        <f>VALUE(MID(I1769,1,3))</f>
        <v>640</v>
      </c>
      <c r="K1769" s="13">
        <f>VALUE(MID(G1769,5,2))</f>
        <v>5</v>
      </c>
    </row>
    <row r="1770" spans="7:11">
      <c r="G1770" s="1" t="s">
        <v>152</v>
      </c>
      <c r="H1770" s="1">
        <v>413.74</v>
      </c>
      <c r="I1770" s="1" t="s">
        <v>158</v>
      </c>
      <c r="J1770" s="13">
        <f>VALUE(MID(I1770,1,3))</f>
        <v>640</v>
      </c>
      <c r="K1770" s="13">
        <f>VALUE(MID(G1770,5,2))</f>
        <v>5</v>
      </c>
    </row>
    <row r="1771" spans="7:11">
      <c r="G1771" s="1" t="s">
        <v>167</v>
      </c>
      <c r="H1771" s="1">
        <v>1107.99</v>
      </c>
      <c r="I1771" s="1" t="s">
        <v>123</v>
      </c>
      <c r="J1771" s="13">
        <f>VALUE(MID(I1771,1,3))</f>
        <v>640</v>
      </c>
      <c r="K1771" s="13">
        <f>VALUE(MID(G1771,5,2))</f>
        <v>6</v>
      </c>
    </row>
    <row r="1772" spans="7:11">
      <c r="G1772" s="1" t="s">
        <v>167</v>
      </c>
      <c r="H1772" s="1">
        <v>696.28</v>
      </c>
      <c r="I1772" s="1" t="s">
        <v>158</v>
      </c>
      <c r="J1772" s="13">
        <f>VALUE(MID(I1772,1,3))</f>
        <v>640</v>
      </c>
      <c r="K1772" s="13">
        <f>VALUE(MID(G1772,5,2))</f>
        <v>6</v>
      </c>
    </row>
    <row r="1773" spans="7:11">
      <c r="G1773" s="1" t="s">
        <v>175</v>
      </c>
      <c r="H1773" s="1">
        <v>879.2</v>
      </c>
      <c r="I1773" s="1" t="s">
        <v>123</v>
      </c>
      <c r="J1773" s="13">
        <f>VALUE(MID(I1773,1,3))</f>
        <v>640</v>
      </c>
      <c r="K1773" s="13">
        <f>VALUE(MID(G1773,5,2))</f>
        <v>7</v>
      </c>
    </row>
    <row r="1774" spans="7:11">
      <c r="G1774" s="1" t="s">
        <v>192</v>
      </c>
      <c r="H1774" s="1">
        <v>31879.72</v>
      </c>
      <c r="I1774" s="1" t="s">
        <v>123</v>
      </c>
      <c r="J1774" s="13">
        <f>VALUE(MID(I1774,1,3))</f>
        <v>640</v>
      </c>
      <c r="K1774" s="13">
        <f>VALUE(MID(G1774,5,2))</f>
        <v>9</v>
      </c>
    </row>
    <row r="1775" spans="7:11">
      <c r="G1775" s="1" t="s">
        <v>203</v>
      </c>
      <c r="H1775" s="1">
        <v>880</v>
      </c>
      <c r="I1775" s="1" t="s">
        <v>123</v>
      </c>
      <c r="J1775" s="13">
        <f>VALUE(MID(I1775,1,3))</f>
        <v>640</v>
      </c>
      <c r="K1775" s="13">
        <f>VALUE(MID(G1775,5,2))</f>
        <v>10</v>
      </c>
    </row>
    <row r="1776" spans="7:11">
      <c r="G1776" s="1" t="s">
        <v>219</v>
      </c>
      <c r="H1776" s="1">
        <v>282.54000000000002</v>
      </c>
      <c r="I1776" s="1" t="s">
        <v>158</v>
      </c>
      <c r="J1776" s="13">
        <f>VALUE(MID(I1776,1,3))</f>
        <v>640</v>
      </c>
      <c r="K1776" s="13">
        <f>VALUE(MID(G1776,5,2))</f>
        <v>12</v>
      </c>
    </row>
    <row r="1777" spans="7:11">
      <c r="G1777" s="1" t="s">
        <v>219</v>
      </c>
      <c r="H1777" s="1">
        <v>413.74</v>
      </c>
      <c r="I1777" s="1" t="s">
        <v>158</v>
      </c>
      <c r="J1777" s="13">
        <f>VALUE(MID(I1777,1,3))</f>
        <v>640</v>
      </c>
      <c r="K1777" s="13">
        <f>VALUE(MID(G1777,5,2))</f>
        <v>12</v>
      </c>
    </row>
    <row r="1778" spans="7:11">
      <c r="G1778" s="1" t="s">
        <v>226</v>
      </c>
      <c r="H1778" s="1">
        <v>7150</v>
      </c>
      <c r="I1778" s="1" t="s">
        <v>123</v>
      </c>
      <c r="J1778" s="13">
        <f>VALUE(MID(I1778,1,3))</f>
        <v>640</v>
      </c>
      <c r="K1778" s="13">
        <f>VALUE(MID(G1778,5,2))</f>
        <v>1</v>
      </c>
    </row>
    <row r="1779" spans="7:11">
      <c r="G1779" s="1" t="s">
        <v>194</v>
      </c>
      <c r="H1779" s="1">
        <v>-26.27</v>
      </c>
      <c r="I1779" s="1" t="s">
        <v>196</v>
      </c>
      <c r="J1779" s="13">
        <f>VALUE(MID(I1779,1,3))</f>
        <v>723</v>
      </c>
      <c r="K1779" s="13">
        <f>VALUE(MID(G1779,5,2))</f>
        <v>9</v>
      </c>
    </row>
    <row r="1780" spans="7:11">
      <c r="G1780" s="1" t="s">
        <v>142</v>
      </c>
      <c r="H1780" s="1">
        <v>-640</v>
      </c>
      <c r="I1780" s="1" t="s">
        <v>154</v>
      </c>
      <c r="J1780" s="13">
        <f>VALUE(MID(I1780,1,3))</f>
        <v>760</v>
      </c>
      <c r="K1780" s="13">
        <f>VALUE(MID(G1780,5,2))</f>
        <v>6</v>
      </c>
    </row>
    <row r="1782" spans="7:11">
      <c r="J1782" s="20"/>
      <c r="K1782" s="20"/>
    </row>
  </sheetData>
  <sortState ref="G2:K1780">
    <sortCondition ref="J2:J1780"/>
  </sortState>
  <mergeCells count="3">
    <mergeCell ref="M4:N4"/>
    <mergeCell ref="M17:N17"/>
    <mergeCell ref="W1:AE3"/>
  </mergeCells>
  <pageMargins left="0.7" right="0.7" top="0.75" bottom="0.75" header="0.3" footer="0.3"/>
  <drawing r:id="rId1"/>
  <legacyDrawing r:id="rId2"/>
  <controls>
    <control shapeId="2052" r:id="rId3" name="CommandButton2"/>
    <control shapeId="2051" r:id="rId4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DADES</vt:lpstr>
      <vt:lpstr>EXERCICI_1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2015-05-28T15:57:57Z</dcterms:modified>
</cp:coreProperties>
</file>